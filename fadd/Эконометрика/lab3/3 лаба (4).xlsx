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zxcgul/Desktop/Laboratonyi3kyrs/fadd/Эконометрика/lab3/"/>
    </mc:Choice>
  </mc:AlternateContent>
  <xr:revisionPtr revIDLastSave="0" documentId="8_{4A9468FA-A7E0-2148-952E-DD3028CC0FA0}" xr6:coauthVersionLast="47" xr6:coauthVersionMax="47" xr10:uidLastSave="{00000000-0000-0000-0000-000000000000}"/>
  <bookViews>
    <workbookView xWindow="0" yWindow="0" windowWidth="51200" windowHeight="28800" activeTab="2" xr2:uid="{00000000-000D-0000-FFFF-FFFF00000000}"/>
  </bookViews>
  <sheets>
    <sheet name="ЛБ3" sheetId="1" r:id="rId1"/>
    <sheet name="Лист3" sheetId="2" r:id="rId2"/>
    <sheet name="CI_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/>
  <c r="H59" i="3" a="1"/>
  <c r="H59" i="3" s="1"/>
  <c r="G59" i="3" a="1"/>
  <c r="G59" i="3" s="1"/>
  <c r="B43" i="3" a="1"/>
  <c r="B43" i="3" s="1"/>
  <c r="A43" i="3" a="1"/>
  <c r="A43" i="3" s="1"/>
  <c r="H68" i="3" a="1"/>
  <c r="H68" i="3" s="1"/>
  <c r="G68" i="3" a="1"/>
  <c r="G68" i="3" s="1"/>
  <c r="B37" i="3" a="1"/>
  <c r="B37" i="3" s="1"/>
  <c r="A37" i="3" a="1"/>
  <c r="A37" i="3" s="1"/>
  <c r="H33" i="3" a="1"/>
  <c r="H33" i="3" s="1"/>
  <c r="G33" i="3" a="1"/>
  <c r="G33" i="3" s="1"/>
  <c r="B42" i="3" a="1"/>
  <c r="B42" i="3" s="1"/>
  <c r="A42" i="3" a="1"/>
  <c r="A42" i="3" s="1"/>
  <c r="H72" i="3" a="1"/>
  <c r="H72" i="3" s="1"/>
  <c r="G72" i="3" a="1"/>
  <c r="G72" i="3" s="1"/>
  <c r="B25" i="3" a="1"/>
  <c r="B25" i="3" s="1"/>
  <c r="A25" i="3" a="1"/>
  <c r="A25" i="3" s="1"/>
  <c r="H32" i="3" a="1"/>
  <c r="H32" i="3" s="1"/>
  <c r="G32" i="3" a="1"/>
  <c r="G32" i="3" s="1"/>
  <c r="B57" i="3" a="1"/>
  <c r="B57" i="3" s="1"/>
  <c r="A57" i="3" a="1"/>
  <c r="A57" i="3" s="1"/>
  <c r="H49" i="3" a="1"/>
  <c r="H49" i="3" s="1"/>
  <c r="G49" i="3" a="1"/>
  <c r="G49" i="3" s="1"/>
  <c r="B65" i="3" a="1"/>
  <c r="B65" i="3" s="1"/>
  <c r="A65" i="3" a="1"/>
  <c r="A65" i="3" s="1"/>
  <c r="H31" i="3" a="1"/>
  <c r="H31" i="3" s="1"/>
  <c r="G31" i="3" a="1"/>
  <c r="G31" i="3" s="1"/>
  <c r="B60" i="3" a="1"/>
  <c r="B60" i="3" s="1"/>
  <c r="A60" i="3" a="1"/>
  <c r="A60" i="3" s="1"/>
  <c r="H48" i="3" a="1"/>
  <c r="H48" i="3" s="1"/>
  <c r="G48" i="3" a="1"/>
  <c r="G48" i="3" s="1"/>
  <c r="B72" i="3" a="1"/>
  <c r="B72" i="3" s="1"/>
  <c r="A72" i="3" a="1"/>
  <c r="A72" i="3" s="1"/>
  <c r="H47" i="3" a="1"/>
  <c r="H47" i="3"/>
  <c r="G47" i="3" a="1"/>
  <c r="G47" i="3" s="1"/>
  <c r="B31" i="3" a="1"/>
  <c r="B31" i="3" s="1"/>
  <c r="A31" i="3" a="1"/>
  <c r="A31" i="3" s="1"/>
  <c r="H30" i="3" a="1"/>
  <c r="H30" i="3" s="1"/>
  <c r="G30" i="3" a="1"/>
  <c r="G30" i="3"/>
  <c r="B67" i="3" a="1"/>
  <c r="B67" i="3" s="1"/>
  <c r="A67" i="3" a="1"/>
  <c r="A67" i="3" s="1"/>
  <c r="H46" i="3" a="1"/>
  <c r="H46" i="3" s="1"/>
  <c r="G46" i="3" a="1"/>
  <c r="G46" i="3" s="1"/>
  <c r="B71" i="3" a="1"/>
  <c r="B71" i="3" s="1"/>
  <c r="A71" i="3" a="1"/>
  <c r="A71" i="3"/>
  <c r="H71" i="3" a="1"/>
  <c r="H71" i="3" s="1"/>
  <c r="G71" i="3" a="1"/>
  <c r="G71" i="3" s="1"/>
  <c r="B55" i="3" a="1"/>
  <c r="B55" i="3" s="1"/>
  <c r="A55" i="3" a="1"/>
  <c r="A55" i="3" s="1"/>
  <c r="H23" i="3" a="1"/>
  <c r="H23" i="3" s="1"/>
  <c r="G23" i="3" a="1"/>
  <c r="G23" i="3" s="1"/>
  <c r="B28" i="3" a="1"/>
  <c r="B28" i="3" s="1"/>
  <c r="A28" i="3" a="1"/>
  <c r="A28" i="3" s="1"/>
  <c r="H67" i="3" a="1"/>
  <c r="H67" i="3" s="1"/>
  <c r="G67" i="3" a="1"/>
  <c r="G67" i="3"/>
  <c r="B56" i="3" a="1"/>
  <c r="B56" i="3" s="1"/>
  <c r="A56" i="3" a="1"/>
  <c r="A56" i="3" s="1"/>
  <c r="H58" i="3" a="1"/>
  <c r="H58" i="3" s="1"/>
  <c r="G58" i="3" a="1"/>
  <c r="G58" i="3" s="1"/>
  <c r="B41" i="3" a="1"/>
  <c r="B41" i="3" s="1"/>
  <c r="A41" i="3" a="1"/>
  <c r="A41" i="3" s="1"/>
  <c r="H57" i="3" a="1"/>
  <c r="H57" i="3" s="1"/>
  <c r="G57" i="3" a="1"/>
  <c r="G57" i="3" s="1"/>
  <c r="B49" i="3" a="1"/>
  <c r="B49" i="3" s="1"/>
  <c r="A49" i="3" a="1"/>
  <c r="A49" i="3" s="1"/>
  <c r="H66" i="3" a="1"/>
  <c r="H66" i="3" s="1"/>
  <c r="G66" i="3" a="1"/>
  <c r="G66" i="3" s="1"/>
  <c r="B30" i="3" a="1"/>
  <c r="B30" i="3" s="1"/>
  <c r="A30" i="3" a="1"/>
  <c r="A30" i="3" s="1"/>
  <c r="H56" i="3" a="1"/>
  <c r="H56" i="3" s="1"/>
  <c r="G56" i="3" a="1"/>
  <c r="G56" i="3"/>
  <c r="B39" i="3" a="1"/>
  <c r="B39" i="3" s="1"/>
  <c r="A39" i="3" a="1"/>
  <c r="A39" i="3" s="1"/>
  <c r="H45" i="3" a="1"/>
  <c r="H45" i="3" s="1"/>
  <c r="G45" i="3" a="1"/>
  <c r="G45" i="3" s="1"/>
  <c r="B35" i="3" a="1"/>
  <c r="B35" i="3" s="1"/>
  <c r="A35" i="3" a="1"/>
  <c r="A35" i="3" s="1"/>
  <c r="H65" i="3" a="1"/>
  <c r="H65" i="3" s="1"/>
  <c r="G65" i="3" a="1"/>
  <c r="G65" i="3" s="1"/>
  <c r="B32" i="3" a="1"/>
  <c r="B32" i="3" s="1"/>
  <c r="A32" i="3" a="1"/>
  <c r="A32" i="3" s="1"/>
  <c r="H29" i="3" a="1"/>
  <c r="H29" i="3"/>
  <c r="G29" i="3" a="1"/>
  <c r="G29" i="3" s="1"/>
  <c r="B70" i="3" a="1"/>
  <c r="B70" i="3" s="1"/>
  <c r="A70" i="3" a="1"/>
  <c r="A70" i="3" s="1"/>
  <c r="H28" i="3" a="1"/>
  <c r="H28" i="3" s="1"/>
  <c r="G28" i="3" a="1"/>
  <c r="G28" i="3"/>
  <c r="B29" i="3" a="1"/>
  <c r="B29" i="3" s="1"/>
  <c r="A29" i="3" a="1"/>
  <c r="A29" i="3" s="1"/>
  <c r="H40" i="3" a="1"/>
  <c r="H40" i="3" s="1"/>
  <c r="G40" i="3" a="1"/>
  <c r="G40" i="3" s="1"/>
  <c r="B47" i="3" a="1"/>
  <c r="B47" i="3" s="1"/>
  <c r="A47" i="3" a="1"/>
  <c r="A47" i="3" s="1"/>
  <c r="H39" i="3" a="1"/>
  <c r="H39" i="3" s="1"/>
  <c r="G39" i="3" a="1"/>
  <c r="G39" i="3" s="1"/>
  <c r="B50" i="3" a="1"/>
  <c r="B50" i="3" s="1"/>
  <c r="A50" i="3" a="1"/>
  <c r="A50" i="3" s="1"/>
  <c r="H64" i="3" a="1"/>
  <c r="H64" i="3" s="1"/>
  <c r="G64" i="3" a="1"/>
  <c r="G64" i="3" s="1"/>
  <c r="B69" i="3" a="1"/>
  <c r="B69" i="3" s="1"/>
  <c r="A69" i="3" a="1"/>
  <c r="A69" i="3" s="1"/>
  <c r="H44" i="3" a="1"/>
  <c r="H44" i="3"/>
  <c r="G44" i="3" a="1"/>
  <c r="G44" i="3" s="1"/>
  <c r="B46" i="3" a="1"/>
  <c r="B46" i="3" s="1"/>
  <c r="A46" i="3" a="1"/>
  <c r="A46" i="3" s="1"/>
  <c r="H55" i="3" a="1"/>
  <c r="H55" i="3" s="1"/>
  <c r="G55" i="3" a="1"/>
  <c r="G55" i="3"/>
  <c r="B45" i="3" a="1"/>
  <c r="B45" i="3" s="1"/>
  <c r="A45" i="3" a="1"/>
  <c r="A45" i="3" s="1"/>
  <c r="H25" i="3" a="1"/>
  <c r="H25" i="3" s="1"/>
  <c r="G25" i="3" a="1"/>
  <c r="G25" i="3" s="1"/>
  <c r="B63" i="3" a="1"/>
  <c r="B63" i="3" s="1"/>
  <c r="A63" i="3" a="1"/>
  <c r="A63" i="3"/>
  <c r="H63" i="3" a="1"/>
  <c r="H63" i="3"/>
  <c r="G63" i="3" a="1"/>
  <c r="G63" i="3" s="1"/>
  <c r="B40" i="3" a="1"/>
  <c r="B40" i="3" s="1"/>
  <c r="A40" i="3" a="1"/>
  <c r="A40" i="3" s="1"/>
  <c r="H43" i="3" a="1"/>
  <c r="H43" i="3"/>
  <c r="G43" i="3" a="1"/>
  <c r="G43" i="3"/>
  <c r="B62" i="3" a="1"/>
  <c r="B62" i="3" s="1"/>
  <c r="A62" i="3" a="1"/>
  <c r="A62" i="3" s="1"/>
  <c r="H38" i="3" a="1"/>
  <c r="H38" i="3" s="1"/>
  <c r="G38" i="3" a="1"/>
  <c r="G38" i="3" s="1"/>
  <c r="B68" i="3" a="1"/>
  <c r="B68" i="3"/>
  <c r="A68" i="3" a="1"/>
  <c r="A68" i="3" s="1"/>
  <c r="H54" i="3" a="1"/>
  <c r="H54" i="3" s="1"/>
  <c r="G54" i="3" a="1"/>
  <c r="G54" i="3" s="1"/>
  <c r="B58" i="3" a="1"/>
  <c r="B58" i="3" s="1"/>
  <c r="A58" i="3" a="1"/>
  <c r="A58" i="3" s="1"/>
  <c r="H24" i="3" a="1"/>
  <c r="H24" i="3" s="1"/>
  <c r="G24" i="3" a="1"/>
  <c r="G24" i="3" s="1"/>
  <c r="B44" i="3" a="1"/>
  <c r="B44" i="3" s="1"/>
  <c r="A44" i="3" a="1"/>
  <c r="A44" i="3" s="1"/>
  <c r="H62" i="3" a="1"/>
  <c r="H62" i="3" s="1"/>
  <c r="G62" i="3" a="1"/>
  <c r="G62" i="3" s="1"/>
  <c r="B26" i="3" a="1"/>
  <c r="B26" i="3" s="1"/>
  <c r="A26" i="3" a="1"/>
  <c r="A26" i="3" s="1"/>
  <c r="H61" i="3" a="1"/>
  <c r="H61" i="3" s="1"/>
  <c r="G61" i="3" a="1"/>
  <c r="G61" i="3"/>
  <c r="B59" i="3" a="1"/>
  <c r="B59" i="3" s="1"/>
  <c r="A59" i="3" a="1"/>
  <c r="A59" i="3" s="1"/>
  <c r="H53" i="3" a="1"/>
  <c r="H53" i="3" s="1"/>
  <c r="G53" i="3" a="1"/>
  <c r="G53" i="3" s="1"/>
  <c r="B51" i="3" a="1"/>
  <c r="B51" i="3" s="1"/>
  <c r="A51" i="3" a="1"/>
  <c r="A51" i="3"/>
  <c r="H37" i="3" a="1"/>
  <c r="H37" i="3" s="1"/>
  <c r="G37" i="3" a="1"/>
  <c r="G37" i="3" s="1"/>
  <c r="B54" i="3" a="1"/>
  <c r="B54" i="3" s="1"/>
  <c r="A54" i="3" a="1"/>
  <c r="A54" i="3" s="1"/>
  <c r="H70" i="3" a="1"/>
  <c r="H70" i="3" s="1"/>
  <c r="G70" i="3" a="1"/>
  <c r="G70" i="3"/>
  <c r="B24" i="3" a="1"/>
  <c r="B24" i="3" s="1"/>
  <c r="A24" i="3" a="1"/>
  <c r="A24" i="3" s="1"/>
  <c r="H60" i="3" a="1"/>
  <c r="H60" i="3" s="1"/>
  <c r="G60" i="3" a="1"/>
  <c r="G60" i="3" s="1"/>
  <c r="B36" i="3" a="1"/>
  <c r="B36" i="3" s="1"/>
  <c r="A36" i="3" a="1"/>
  <c r="A36" i="3" s="1"/>
  <c r="H42" i="3" a="1"/>
  <c r="H42" i="3" s="1"/>
  <c r="G42" i="3" a="1"/>
  <c r="G42" i="3" s="1"/>
  <c r="B64" i="3" a="1"/>
  <c r="B64" i="3" s="1"/>
  <c r="A64" i="3" a="1"/>
  <c r="A64" i="3" s="1"/>
  <c r="H52" i="3" a="1"/>
  <c r="H52" i="3" s="1"/>
  <c r="G52" i="3" a="1"/>
  <c r="G52" i="3" s="1"/>
  <c r="B38" i="3" a="1"/>
  <c r="B38" i="3" s="1"/>
  <c r="A38" i="3" a="1"/>
  <c r="A38" i="3" s="1"/>
  <c r="H27" i="3" a="1"/>
  <c r="H27" i="3"/>
  <c r="G27" i="3" a="1"/>
  <c r="G27" i="3"/>
  <c r="B48" i="3" a="1"/>
  <c r="B48" i="3" s="1"/>
  <c r="A48" i="3" a="1"/>
  <c r="A48" i="3" s="1"/>
  <c r="H41" i="3" a="1"/>
  <c r="H41" i="3" s="1"/>
  <c r="G41" i="3" a="1"/>
  <c r="G41" i="3" s="1"/>
  <c r="B53" i="3" a="1"/>
  <c r="B53" i="3" s="1"/>
  <c r="A53" i="3" a="1"/>
  <c r="A53" i="3" s="1"/>
  <c r="H51" i="3" a="1"/>
  <c r="H51" i="3" s="1"/>
  <c r="G51" i="3" a="1"/>
  <c r="G51" i="3" s="1"/>
  <c r="B34" i="3" a="1"/>
  <c r="B34" i="3" s="1"/>
  <c r="A34" i="3" a="1"/>
  <c r="A34" i="3" s="1"/>
  <c r="H50" i="3" a="1"/>
  <c r="H50" i="3"/>
  <c r="G50" i="3" a="1"/>
  <c r="G50" i="3" s="1"/>
  <c r="B52" i="3" a="1"/>
  <c r="B52" i="3" s="1"/>
  <c r="A52" i="3" a="1"/>
  <c r="A52" i="3" s="1"/>
  <c r="H69" i="3" a="1"/>
  <c r="H69" i="3" s="1"/>
  <c r="G69" i="3" a="1"/>
  <c r="G69" i="3" s="1"/>
  <c r="B61" i="3" a="1"/>
  <c r="B61" i="3" s="1"/>
  <c r="A61" i="3" a="1"/>
  <c r="A61" i="3" s="1"/>
  <c r="H26" i="3" a="1"/>
  <c r="H26" i="3" s="1"/>
  <c r="G26" i="3" a="1"/>
  <c r="G26" i="3"/>
  <c r="B23" i="3" a="1"/>
  <c r="B23" i="3" s="1"/>
  <c r="A23" i="3" a="1"/>
  <c r="A23" i="3"/>
  <c r="H36" i="3" a="1"/>
  <c r="H36" i="3" s="1"/>
  <c r="G36" i="3" a="1"/>
  <c r="G36" i="3" s="1"/>
  <c r="B33" i="3" a="1"/>
  <c r="B33" i="3" s="1"/>
  <c r="A33" i="3" a="1"/>
  <c r="A33" i="3" s="1"/>
  <c r="H35" i="3" a="1"/>
  <c r="H35" i="3"/>
  <c r="G35" i="3" a="1"/>
  <c r="G35" i="3" s="1"/>
  <c r="B27" i="3" a="1"/>
  <c r="B27" i="3" s="1"/>
  <c r="A27" i="3" a="1"/>
  <c r="A27" i="3" s="1"/>
  <c r="H34" i="3" a="1"/>
  <c r="H34" i="3"/>
  <c r="G34" i="3" a="1"/>
  <c r="G34" i="3" s="1"/>
  <c r="B66" i="3" a="1"/>
  <c r="B66" i="3" s="1"/>
  <c r="A66" i="3" a="1"/>
  <c r="A66" i="3" s="1"/>
  <c r="B19" i="3"/>
  <c r="B18" i="3"/>
  <c r="B17" i="3"/>
  <c r="B16" i="3"/>
  <c r="B15" i="3"/>
  <c r="B12" i="3"/>
  <c r="B11" i="3"/>
  <c r="B10" i="3"/>
  <c r="B9" i="3"/>
  <c r="I68" i="3" l="1"/>
  <c r="K68" i="3" s="1"/>
  <c r="I51" i="3"/>
  <c r="I42" i="3"/>
  <c r="I26" i="3"/>
  <c r="I41" i="3"/>
  <c r="I60" i="3"/>
  <c r="I61" i="3"/>
  <c r="I38" i="3"/>
  <c r="I55" i="3"/>
  <c r="I40" i="3"/>
  <c r="I45" i="3"/>
  <c r="I58" i="3"/>
  <c r="I46" i="3"/>
  <c r="I31" i="3"/>
  <c r="I33" i="3"/>
  <c r="I36" i="3"/>
  <c r="I71" i="3"/>
  <c r="I48" i="3"/>
  <c r="I72" i="3"/>
  <c r="I53" i="3"/>
  <c r="I54" i="3"/>
  <c r="I25" i="3"/>
  <c r="I39" i="3"/>
  <c r="I65" i="3"/>
  <c r="I57" i="3"/>
  <c r="I35" i="3"/>
  <c r="I50" i="3"/>
  <c r="I52" i="3"/>
  <c r="I37" i="3"/>
  <c r="I24" i="3"/>
  <c r="I63" i="3"/>
  <c r="I64" i="3"/>
  <c r="I29" i="3"/>
  <c r="I66" i="3"/>
  <c r="I23" i="3"/>
  <c r="I47" i="3"/>
  <c r="I32" i="3"/>
  <c r="I59" i="3"/>
  <c r="I34" i="3"/>
  <c r="I69" i="3"/>
  <c r="I27" i="3"/>
  <c r="I70" i="3"/>
  <c r="I62" i="3"/>
  <c r="I43" i="3"/>
  <c r="I44" i="3"/>
  <c r="I28" i="3"/>
  <c r="I56" i="3"/>
  <c r="I67" i="3"/>
  <c r="I30" i="3"/>
  <c r="I49" i="3"/>
  <c r="J68" i="3" l="1"/>
  <c r="K44" i="3"/>
  <c r="J44" i="3"/>
  <c r="K29" i="3"/>
  <c r="J29" i="3"/>
  <c r="K39" i="3"/>
  <c r="J39" i="3"/>
  <c r="K71" i="3"/>
  <c r="J71" i="3"/>
  <c r="J46" i="3"/>
  <c r="K46" i="3"/>
  <c r="K41" i="3"/>
  <c r="J41" i="3"/>
  <c r="K43" i="3"/>
  <c r="J43" i="3"/>
  <c r="K64" i="3"/>
  <c r="J64" i="3"/>
  <c r="K25" i="3"/>
  <c r="J25" i="3"/>
  <c r="K36" i="3"/>
  <c r="J36" i="3"/>
  <c r="K58" i="3"/>
  <c r="J58" i="3"/>
  <c r="J26" i="3"/>
  <c r="K26" i="3"/>
  <c r="K59" i="3"/>
  <c r="J59" i="3"/>
  <c r="K24" i="3"/>
  <c r="J24" i="3"/>
  <c r="K53" i="3"/>
  <c r="J53" i="3"/>
  <c r="J40" i="3"/>
  <c r="K40" i="3"/>
  <c r="K51" i="3"/>
  <c r="J51" i="3"/>
  <c r="K55" i="3"/>
  <c r="J55" i="3"/>
  <c r="K62" i="3"/>
  <c r="J62" i="3"/>
  <c r="K45" i="3"/>
  <c r="J45" i="3"/>
  <c r="K49" i="3"/>
  <c r="J49" i="3"/>
  <c r="K30" i="3"/>
  <c r="J30" i="3"/>
  <c r="K37" i="3"/>
  <c r="J37" i="3"/>
  <c r="K67" i="3"/>
  <c r="J67" i="3"/>
  <c r="K47" i="3"/>
  <c r="J47" i="3"/>
  <c r="K52" i="3"/>
  <c r="J52" i="3"/>
  <c r="K38" i="3"/>
  <c r="J38" i="3"/>
  <c r="K42" i="3"/>
  <c r="J42" i="3"/>
  <c r="K32" i="3"/>
  <c r="J32" i="3"/>
  <c r="K56" i="3"/>
  <c r="J56" i="3"/>
  <c r="K23" i="3"/>
  <c r="J23" i="3"/>
  <c r="K57" i="3"/>
  <c r="J57" i="3"/>
  <c r="K72" i="3"/>
  <c r="J72" i="3"/>
  <c r="K70" i="3"/>
  <c r="J70" i="3"/>
  <c r="K33" i="3"/>
  <c r="J33" i="3"/>
  <c r="K66" i="3"/>
  <c r="J66" i="3"/>
  <c r="K35" i="3"/>
  <c r="J35" i="3"/>
  <c r="K65" i="3"/>
  <c r="J65" i="3"/>
  <c r="J31" i="3"/>
  <c r="K31" i="3"/>
  <c r="K60" i="3"/>
  <c r="J60" i="3"/>
  <c r="K63" i="3"/>
  <c r="J63" i="3"/>
  <c r="K54" i="3"/>
  <c r="J54" i="3"/>
  <c r="K27" i="3"/>
  <c r="J27" i="3"/>
  <c r="K69" i="3"/>
  <c r="J69" i="3"/>
  <c r="K34" i="3"/>
  <c r="J34" i="3"/>
  <c r="K50" i="3"/>
  <c r="J50" i="3"/>
  <c r="K61" i="3"/>
  <c r="J61" i="3"/>
  <c r="K28" i="3"/>
  <c r="J28" i="3"/>
  <c r="K48" i="3"/>
  <c r="J48" i="3"/>
  <c r="C62" i="3"/>
  <c r="E62" i="3" s="1"/>
  <c r="C39" i="3"/>
  <c r="E39" i="3" s="1"/>
  <c r="C38" i="3"/>
  <c r="D38" i="3" s="1"/>
  <c r="C24" i="3"/>
  <c r="D24" i="3" s="1"/>
  <c r="C41" i="3"/>
  <c r="E41" i="3" s="1"/>
  <c r="C23" i="3"/>
  <c r="D23" i="3" s="1"/>
  <c r="C28" i="3"/>
  <c r="E28" i="3" s="1"/>
  <c r="C63" i="3"/>
  <c r="D63" i="3" s="1"/>
  <c r="C70" i="3"/>
  <c r="E70" i="3" s="1"/>
  <c r="C44" i="3"/>
  <c r="D44" i="3" s="1"/>
  <c r="C56" i="3"/>
  <c r="D56" i="3" s="1"/>
  <c r="C54" i="3"/>
  <c r="E54" i="3" s="1"/>
  <c r="C31" i="3"/>
  <c r="E31" i="3" s="1"/>
  <c r="C57" i="3"/>
  <c r="D57" i="3" s="1"/>
  <c r="C65" i="3"/>
  <c r="D65" i="3" s="1"/>
  <c r="C59" i="3"/>
  <c r="E59" i="3" s="1"/>
  <c r="C51" i="3"/>
  <c r="E51" i="3" s="1"/>
  <c r="C42" i="3"/>
  <c r="E42" i="3" s="1"/>
  <c r="C35" i="3"/>
  <c r="E35" i="3" s="1"/>
  <c r="C33" i="3"/>
  <c r="E33" i="3" s="1"/>
  <c r="C34" i="3"/>
  <c r="D34" i="3" s="1"/>
  <c r="C25" i="3"/>
  <c r="E25" i="3" s="1"/>
  <c r="C29" i="3"/>
  <c r="D29" i="3" s="1"/>
  <c r="C64" i="3"/>
  <c r="E64" i="3" s="1"/>
  <c r="C71" i="3"/>
  <c r="E71" i="3" s="1"/>
  <c r="C52" i="3"/>
  <c r="D52" i="3" s="1"/>
  <c r="E52" i="3"/>
  <c r="C37" i="3"/>
  <c r="D37" i="3" s="1"/>
  <c r="C60" i="3"/>
  <c r="E60" i="3" s="1"/>
  <c r="C50" i="3"/>
  <c r="D50" i="3" s="1"/>
  <c r="C32" i="3"/>
  <c r="D32" i="3" s="1"/>
  <c r="C40" i="3"/>
  <c r="E40" i="3" s="1"/>
  <c r="C72" i="3"/>
  <c r="D72" i="3" s="1"/>
  <c r="E72" i="3"/>
  <c r="C46" i="3"/>
  <c r="D46" i="3" s="1"/>
  <c r="C58" i="3"/>
  <c r="E58" i="3" s="1"/>
  <c r="C45" i="3"/>
  <c r="D45" i="3" s="1"/>
  <c r="C27" i="3"/>
  <c r="E27" i="3" s="1"/>
  <c r="C49" i="3"/>
  <c r="E49" i="3" s="1"/>
  <c r="C67" i="3"/>
  <c r="E67" i="3" s="1"/>
  <c r="C55" i="3"/>
  <c r="D55" i="3" s="1"/>
  <c r="C69" i="3"/>
  <c r="E69" i="3" s="1"/>
  <c r="C30" i="3"/>
  <c r="E30" i="3" s="1"/>
  <c r="C26" i="3"/>
  <c r="E26" i="3" s="1"/>
  <c r="C68" i="3"/>
  <c r="D68" i="3" s="1"/>
  <c r="C47" i="3"/>
  <c r="D47" i="3" s="1"/>
  <c r="C36" i="3"/>
  <c r="E36" i="3" s="1"/>
  <c r="C53" i="3"/>
  <c r="E53" i="3" s="1"/>
  <c r="C61" i="3"/>
  <c r="D61" i="3" s="1"/>
  <c r="C48" i="3"/>
  <c r="E48" i="3" s="1"/>
  <c r="C66" i="3"/>
  <c r="E66" i="3" s="1"/>
  <c r="C43" i="3"/>
  <c r="E43" i="3" s="1"/>
  <c r="D27" i="3" l="1"/>
  <c r="D64" i="3"/>
  <c r="D33" i="3"/>
  <c r="E65" i="3"/>
  <c r="D69" i="3"/>
  <c r="D62" i="3"/>
  <c r="D25" i="3"/>
  <c r="D70" i="3"/>
  <c r="D40" i="3"/>
  <c r="E46" i="3"/>
  <c r="D59" i="3"/>
  <c r="E44" i="3"/>
  <c r="D30" i="3"/>
  <c r="E32" i="3"/>
  <c r="D43" i="3"/>
  <c r="E47" i="3"/>
  <c r="D60" i="3"/>
  <c r="E29" i="3"/>
  <c r="D42" i="3"/>
  <c r="D28" i="3"/>
  <c r="D66" i="3"/>
  <c r="E61" i="3"/>
  <c r="D26" i="3"/>
  <c r="D71" i="3"/>
  <c r="E63" i="3"/>
  <c r="D39" i="3"/>
  <c r="D53" i="3"/>
  <c r="D67" i="3"/>
  <c r="D54" i="3"/>
  <c r="E55" i="3"/>
  <c r="D58" i="3"/>
  <c r="D51" i="3"/>
  <c r="E57" i="3"/>
  <c r="E24" i="3"/>
  <c r="D36" i="3"/>
  <c r="E23" i="3"/>
  <c r="E50" i="3"/>
  <c r="D48" i="3"/>
  <c r="E68" i="3"/>
  <c r="E45" i="3"/>
  <c r="E37" i="3"/>
  <c r="D35" i="3"/>
  <c r="E56" i="3"/>
  <c r="E38" i="3"/>
  <c r="D49" i="3"/>
  <c r="D31" i="3"/>
  <c r="D41" i="3"/>
  <c r="E3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Алиса Старикова</author>
  </authors>
  <commentList>
    <comment ref="N17" authorId="0" shapeId="0" xr:uid="{00000000-0006-0000-0000-000001000000}">
      <text>
        <r>
          <rPr>
            <sz val="9"/>
            <color rgb="FF000000"/>
            <rFont val="Arial"/>
            <family val="2"/>
          </rPr>
          <t>Алиса Старикова:
Она показывает минимальный уровень значимости, при котором основная гипотеза отвергается</t>
        </r>
      </text>
    </comment>
    <comment ref="J23" authorId="0" shapeId="0" xr:uid="{00000000-0006-0000-0000-000002000000}">
      <text>
        <r>
          <rPr>
            <sz val="9"/>
            <color rgb="FF000000"/>
            <rFont val="Arial"/>
            <family val="2"/>
          </rPr>
          <t xml:space="preserve">Алиса Старикова:
явдяются незначимыми, т.к. их t-статистика меньше крит.значения(p-значения) 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<sst xmlns="http://schemas.openxmlformats.org/spreadsheetml/2006/main" count="222" uniqueCount="150">
  <si>
    <t>Вариант 23</t>
  </si>
  <si>
    <t>Дни продаж</t>
  </si>
  <si>
    <t>мыло</t>
  </si>
  <si>
    <t>порошок</t>
  </si>
  <si>
    <t>средство</t>
  </si>
  <si>
    <t>краска</t>
  </si>
  <si>
    <t>пена</t>
  </si>
  <si>
    <t>прибыль</t>
  </si>
  <si>
    <t>ВЫВОД ИТОГОВ</t>
  </si>
  <si>
    <t>шт.</t>
  </si>
  <si>
    <t>тыс. руб.</t>
  </si>
  <si>
    <t>Регрессионная статистика</t>
  </si>
  <si>
    <t>Множественный R</t>
  </si>
  <si>
    <t xml:space="preserve">	0.5572</t>
  </si>
  <si>
    <t>R-квадрат</t>
  </si>
  <si>
    <t>0.7465</t>
  </si>
  <si>
    <t>Нормированный R-квадрат</t>
  </si>
  <si>
    <t>0.5170</t>
  </si>
  <si>
    <t>Стандартная ошибка</t>
  </si>
  <si>
    <t>1.286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</si>
  <si>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</si>
  <si>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</si>
  <si>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</si>
  <si>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</si>
  <si>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</si>
  <si>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</si>
  <si>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</si>
  <si>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</si>
  <si>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 xml:space="preserve">                   91.547735</t>
  </si>
  <si>
    <t xml:space="preserve">                 18.309547</t>
  </si>
  <si>
    <t xml:space="preserve">                  11.08598</t>
  </si>
  <si>
    <t xml:space="preserve">                1.3232E-07</t>
  </si>
  <si>
    <t>Остаток</t>
  </si>
  <si>
    <t xml:space="preserve">                 72.738825</t>
  </si>
  <si>
    <t xml:space="preserve">                   1.653155</t>
  </si>
  <si>
    <t>Итого</t>
  </si>
  <si>
    <t xml:space="preserve">               164.286560</t>
  </si>
  <si>
    <t>Коэффициенты</t>
  </si>
  <si>
    <t>t-статистика</t>
  </si>
  <si>
    <t>P-Значение</t>
  </si>
  <si>
    <t>Нижние 95%</t>
  </si>
  <si>
    <t>Верхние 95%</t>
  </si>
  <si>
    <t>Y-пересечение</t>
  </si>
  <si>
    <t>7.649389</t>
  </si>
  <si>
    <t>3.603557</t>
  </si>
  <si>
    <t>2.122733</t>
  </si>
  <si>
    <t>0.039440</t>
  </si>
  <si>
    <t>0.386897</t>
  </si>
  <si>
    <t>14.911882</t>
  </si>
  <si>
    <t>0.071344</t>
  </si>
  <si>
    <t>0.007774</t>
  </si>
  <si>
    <t>9.176708</t>
  </si>
  <si>
    <t>0.000000</t>
  </si>
  <si>
    <t>0.055675</t>
  </si>
  <si>
    <t>0.087012</t>
  </si>
  <si>
    <t>-0.010543</t>
  </si>
  <si>
    <t>0.023925</t>
  </si>
  <si>
    <t>-0.440672</t>
  </si>
  <si>
    <t>0.661608</t>
  </si>
  <si>
    <t>-0.058761</t>
  </si>
  <si>
    <t>0.037675</t>
  </si>
  <si>
    <t>0.024113</t>
  </si>
  <si>
    <t>0.053055</t>
  </si>
  <si>
    <t>0.454497</t>
  </si>
  <si>
    <t>0.651706</t>
  </si>
  <si>
    <t>-0.082812</t>
  </si>
  <si>
    <t>0.131039</t>
  </si>
  <si>
    <t>0.253675</t>
  </si>
  <si>
    <t>0.074723</t>
  </si>
  <si>
    <t>3.394879</t>
  </si>
  <si>
    <t>0.001464</t>
  </si>
  <si>
    <t>0.103081</t>
  </si>
  <si>
    <t>0.404269</t>
  </si>
  <si>
    <t>0.064749</t>
  </si>
  <si>
    <t>0.069325</t>
  </si>
  <si>
    <t>0.934005</t>
  </si>
  <si>
    <t>0.355399</t>
  </si>
  <si>
    <t>-0.074965</t>
  </si>
  <si>
    <t>0.204464</t>
  </si>
  <si>
    <t>корреляция</t>
  </si>
  <si>
    <t xml:space="preserve"> </t>
  </si>
  <si>
    <t>0.9378</t>
  </si>
  <si>
    <t>0.8794</t>
  </si>
  <si>
    <t>0.8743</t>
  </si>
  <si>
    <t>0.5162</t>
  </si>
  <si>
    <t>74.6518</t>
  </si>
  <si>
    <t>37.3259</t>
  </si>
  <si>
    <t>140.147</t>
  </si>
  <si>
    <t>1.37E-20</t>
  </si>
  <si>
    <t>12.493</t>
  </si>
  <si>
    <t>0.2658</t>
  </si>
  <si>
    <t>87.1452</t>
  </si>
  <si>
    <t>4.720</t>
  </si>
  <si>
    <t xml:space="preserve">	
1.3689</t>
  </si>
  <si>
    <t xml:space="preserve">	3.448</t>
  </si>
  <si>
    <t xml:space="preserve">	0.0012</t>
  </si>
  <si>
    <t xml:space="preserve">	1.964</t>
  </si>
  <si>
    <t>7.476</t>
  </si>
  <si>
    <t>0.1543</t>
  </si>
  <si>
    <t>0.0106</t>
  </si>
  <si>
    <t>14.547</t>
  </si>
  <si>
    <t>1.72E-18</t>
  </si>
  <si>
    <t>0.1329</t>
  </si>
  <si>
    <t xml:space="preserve">	0.1757</t>
  </si>
  <si>
    <t>0.3047</t>
  </si>
  <si>
    <t xml:space="preserve">	0.0521</t>
  </si>
  <si>
    <t>5.849</t>
  </si>
  <si>
    <t>2.48E-07</t>
  </si>
  <si>
    <t xml:space="preserve">	0.1998</t>
  </si>
  <si>
    <t>0.4096</t>
  </si>
  <si>
    <t>95% ДОВЕРИТЕЛЬНЫЕ ИНТЕРВАЛЫ</t>
  </si>
  <si>
    <t/>
  </si>
  <si>
    <t>ПАРАМЕТРЫ:</t>
  </si>
  <si>
    <t>n</t>
  </si>
  <si>
    <t>t-крит (95%, df=48)</t>
  </si>
  <si>
    <t>РЕГРЕССИЯ 1: Y = f(Мыло)</t>
  </si>
  <si>
    <t>Уравнение: Y = a0 + a1*X</t>
  </si>
  <si>
    <t>a0 (intercept)</t>
  </si>
  <si>
    <t>a1 (slope)</t>
  </si>
  <si>
    <t>Уравнение: Y = b0 + b1*X</t>
  </si>
  <si>
    <t>Se</t>
  </si>
  <si>
    <t>X_mean</t>
  </si>
  <si>
    <t>SSx</t>
  </si>
  <si>
    <t>РЕГРЕССИЯ 2: Y = f(Краска)</t>
  </si>
  <si>
    <t>b0 (intercept)</t>
  </si>
  <si>
    <t>b1 (slope)</t>
  </si>
  <si>
    <t>ГРАФИК 1: Прибыль = f(Мыло)</t>
  </si>
  <si>
    <t>ГРАФИК 2: Прибыль = f(Краска)</t>
  </si>
  <si>
    <t>Мыло</t>
  </si>
  <si>
    <t>Прибыль</t>
  </si>
  <si>
    <t>Y_pred</t>
  </si>
  <si>
    <t>CI_low</t>
  </si>
  <si>
    <t>CI_high</t>
  </si>
  <si>
    <t>Краска</t>
  </si>
  <si>
    <t>ИНСТРУКЦИЯ ПО ПОСТРОЕНИЮ ГРАФИКОВ:</t>
  </si>
  <si>
    <t>ГРАФИК 1 (Мыло -&gt; Прибыль):</t>
  </si>
  <si>
    <t>1. Выделите диапазон A22:E72</t>
  </si>
  <si>
    <t>2. Вставка -&gt; Диаграмма -&gt; Точечная (XY)</t>
  </si>
  <si>
    <t>3. Ряд 'Прибыль' - точки (исходные данные)</t>
  </si>
  <si>
    <t>4. Ряд 'Y_pred' - линия регрессии</t>
  </si>
  <si>
    <t>5. Ряды 'CI_low' и 'CI_high' - пунктирные линии (95% CI)</t>
  </si>
  <si>
    <t>ГРАФИК 2 (Краска -&gt; Прибыль):</t>
  </si>
  <si>
    <t>1. Выделите диапазон G22:K72</t>
  </si>
  <si>
    <t>3. Аналогично графику 1</t>
  </si>
  <si>
    <t>ФОРМУЛА 95% ДОВЕРИТЕЛЬНОГО ИНТЕРВАЛА:</t>
  </si>
  <si>
    <t>ŷ ± t(α/2, n-2) × Se × √(1/n + (x-x̄)²/Σ(xi-x̄)²)</t>
  </si>
  <si>
    <t>Где:</t>
  </si>
  <si>
    <t>t(α/2, n-2) = 2.0106 для 95% CI и n=50</t>
  </si>
  <si>
    <t>Se - стандартная ошибка регрессии</t>
  </si>
  <si>
    <t>x̄ - среднее значение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</si>
</sst>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0"/>
      <name val="Arial Cyr"/>
    </font>
    <font>
      <sz val="12"/>
      <color theme="1"/>
      <name val="Calibri"/>
      <scheme val="minor"/>
    </font>
    <font>
      <sz val="11"/>
      <color rgb="FF9C0006"/>
      <name val="Calibri"/>
      <scheme val="minor"/>
    </font>
    <font>
      <i/>
      <sz val="11"/>
      <color theme="1"/>
      <name val="Calibri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name val="Calibri"/>
      <scheme val="minor"/>
    </font>
    <font>
      <b/>
      <sz val="12"/>
      <color rgb="FF0000FF"/>
      <name val="Calibri"/>
    </font>
    <font>
      <sz val="11"/>
      <color theme="1"/>
      <name val="Calibri"/>
      <scheme val="minor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</patternFill>
    </fill>
    <fill>
      <patternFill patternType="solid">
        <fgColor rgb="FFF96555"/>
      </patternFill>
    </fill>
    <fill>
      <patternFill patternType="solid">
        <fgColor rgb="FFD3D3D3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1"/>
    <xf numFmtId="0" fontId="1" fillId="0" borderId="1"/>
    <xf numFmtId="0" fontId="2" fillId="0" borderId="1"/>
    <xf numFmtId="0" fontId="3" fillId="2" borderId="1" applyNumberFormat="0" applyBorder="0" applyAlignment="0" applyProtection="0"/>
    <xf numFmtId="0" fontId="9" fillId="0" borderId="1"/>
  </cellStyleXfs>
  <cellXfs count="45">
    <xf numFmtId="0" fontId="0" fillId="0" borderId="1" xfId="0"/>
    <xf numFmtId="0" fontId="0" fillId="0" borderId="2" xfId="4" applyFont="1" applyBorder="1" applyAlignment="1">
      <alignment horizontal="left"/>
    </xf>
    <xf numFmtId="0" fontId="0" fillId="0" borderId="2" xfId="4" applyFont="1" applyBorder="1" applyAlignment="1">
      <alignment horizontal="center"/>
    </xf>
    <xf numFmtId="0" fontId="4" fillId="0" borderId="3" xfId="4" applyFont="1" applyBorder="1" applyAlignment="1">
      <alignment horizontal="center"/>
    </xf>
    <xf numFmtId="0" fontId="0" fillId="0" borderId="3" xfId="4" applyFont="1" applyBorder="1" applyAlignment="1">
      <alignment wrapText="1"/>
    </xf>
    <xf numFmtId="17" fontId="0" fillId="0" borderId="3" xfId="4" applyNumberFormat="1" applyFont="1" applyBorder="1" applyAlignment="1">
      <alignment wrapText="1"/>
    </xf>
    <xf numFmtId="0" fontId="0" fillId="0" borderId="3" xfId="4" applyFont="1" applyBorder="1"/>
    <xf numFmtId="0" fontId="4" fillId="0" borderId="3" xfId="4" applyFont="1" applyBorder="1" applyAlignment="1">
      <alignment horizontal="left"/>
    </xf>
    <xf numFmtId="0" fontId="4" fillId="0" borderId="5" xfId="4" applyFont="1" applyBorder="1" applyAlignment="1">
      <alignment horizontal="left"/>
    </xf>
    <xf numFmtId="0" fontId="2" fillId="0" borderId="1" xfId="2"/>
    <xf numFmtId="0" fontId="0" fillId="0" borderId="6" xfId="4" applyFont="1" applyBorder="1"/>
    <xf numFmtId="0" fontId="0" fillId="3" borderId="3" xfId="4" applyFont="1" applyFill="1" applyBorder="1"/>
    <xf numFmtId="0" fontId="2" fillId="3" borderId="1" xfId="2" applyFill="1"/>
    <xf numFmtId="0" fontId="0" fillId="4" borderId="3" xfId="3" applyFont="1" applyFill="1" applyBorder="1"/>
    <xf numFmtId="0" fontId="2" fillId="4" borderId="1" xfId="2" applyFill="1"/>
    <xf numFmtId="0" fontId="0" fillId="3" borderId="6" xfId="3" applyFont="1" applyFill="1" applyBorder="1"/>
    <xf numFmtId="0" fontId="0" fillId="3" borderId="1" xfId="3" applyFont="1" applyFill="1"/>
    <xf numFmtId="0" fontId="0" fillId="3" borderId="6" xfId="4" applyFont="1" applyFill="1" applyBorder="1"/>
    <xf numFmtId="0" fontId="0" fillId="3" borderId="1" xfId="4" applyFont="1" applyFill="1"/>
    <xf numFmtId="0" fontId="0" fillId="3" borderId="4" xfId="3" applyFont="1" applyFill="1" applyBorder="1"/>
    <xf numFmtId="0" fontId="4" fillId="0" borderId="5" xfId="4" applyFont="1" applyBorder="1" applyAlignment="1">
      <alignment horizontal="center"/>
    </xf>
    <xf numFmtId="2" fontId="0" fillId="0" borderId="1" xfId="4" applyNumberFormat="1" applyFont="1"/>
    <xf numFmtId="0" fontId="0" fillId="0" borderId="4" xfId="4" applyFont="1" applyBorder="1"/>
    <xf numFmtId="2" fontId="0" fillId="0" borderId="4" xfId="4" applyNumberFormat="1" applyFont="1" applyBorder="1"/>
    <xf numFmtId="0" fontId="0" fillId="4" borderId="1" xfId="4" applyFont="1" applyFill="1"/>
    <xf numFmtId="0" fontId="0" fillId="0" borderId="1" xfId="4" applyFont="1" applyAlignment="1">
      <alignment horizontal="left"/>
    </xf>
    <xf numFmtId="0" fontId="2" fillId="0" borderId="2" xfId="2" applyBorder="1"/>
    <xf numFmtId="0" fontId="0" fillId="0" borderId="1" xfId="4" applyFont="1" applyAlignment="1">
      <alignment wrapText="1"/>
    </xf>
    <xf numFmtId="0" fontId="0" fillId="0" borderId="4" xfId="4" applyFont="1" applyBorder="1" applyAlignment="1">
      <alignment wrapText="1"/>
    </xf>
    <xf numFmtId="17" fontId="0" fillId="0" borderId="1" xfId="4" applyNumberFormat="1" applyFont="1" applyAlignment="1">
      <alignment wrapText="1"/>
    </xf>
    <xf numFmtId="0" fontId="5" fillId="0" borderId="0" xfId="4" applyFont="1" applyBorder="1" applyAlignment="1">
      <alignment horizontal="left" vertical="top"/>
    </xf>
    <xf numFmtId="0" fontId="6" fillId="5" borderId="7" xfId="4" applyFont="1" applyFill="1" applyBorder="1" applyAlignment="1">
      <alignment horizontal="center" vertical="top"/>
    </xf>
    <xf numFmtId="0" fontId="7" fillId="0" borderId="0" xfId="4" applyFont="1" applyBorder="1" applyAlignment="1">
      <alignment vertical="top"/>
    </xf>
    <xf numFmtId="0" fontId="8" fillId="0" borderId="0" xfId="4" applyFont="1" applyBorder="1" applyAlignment="1">
      <alignment horizontal="left" vertical="top"/>
    </xf>
    <xf numFmtId="2" fontId="0" fillId="0" borderId="2" xfId="4" applyNumberFormat="1" applyFont="1" applyBorder="1" applyAlignment="1">
      <alignment horizontal="center"/>
    </xf>
    <xf numFmtId="0" fontId="2" fillId="0" borderId="2" xfId="2" applyNumberFormat="1" applyBorder="1"/>
    <xf numFmtId="0" fontId="4" fillId="0" borderId="3" xfId="4" applyFont="1" applyBorder="1" applyAlignment="1">
      <alignment horizontal="center"/>
    </xf>
    <xf numFmtId="0" fontId="0" fillId="0" borderId="4" xfId="4" applyFont="1" applyBorder="1" applyAlignment="1">
      <alignment horizontal="left"/>
    </xf>
    <xf numFmtId="0" fontId="0" fillId="0" borderId="4" xfId="4" applyFont="1" applyBorder="1" applyAlignment="1">
      <alignment horizontal="center"/>
    </xf>
    <xf numFmtId="0" fontId="0" fillId="0" borderId="3" xfId="4" applyFont="1" applyBorder="1" applyAlignment="1">
      <alignment horizontal="left"/>
    </xf>
    <xf numFmtId="0" fontId="0" fillId="0" borderId="1" xfId="4" applyFont="1"/>
    <xf numFmtId="0" fontId="4" fillId="0" borderId="5" xfId="4" applyFont="1" applyBorder="1" applyAlignment="1">
      <alignment horizontal="center"/>
    </xf>
    <xf numFmtId="0" fontId="7" fillId="0" borderId="1" xfId="4" applyFont="1" applyBorder="1" applyAlignment="1">
      <alignment vertical="top"/>
    </xf>
    <xf numFmtId="0" fontId="0" fillId="0" borderId="0" xfId="0" applyBorder="1"/>
    <xf numFmtId="0" fontId="0" fillId="0" borderId="1" xfId="0" applyNumberFormat="1"/>
  </cellXfs>
  <cellStyles count="5">
    <cellStyle name="Обычный" xfId="0" builtinId="0"/>
    <cellStyle name="Обычный 2" xfId="1" xr:uid="{00000000-0005-0000-0000-000001000000}"/>
    <cellStyle name="Обычный 3" xfId="4" xr:uid="{00000000-0005-0000-0000-000002000000}"/>
    <cellStyle name="Обычный 4" xfId="2" xr:uid="{00000000-0005-0000-0000-000003000000}"/>
    <cellStyle name="Плохой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title>
    <c:autoTitleDeleted val="0"/>
    <c:plotArea>
      <c:layout>
        <c:manualLayout>
          <c:layoutTarget val="inner"/>
          <c:xMode val="edge"/>
          <c:yMode val="edge"/>
          <c:x val="5.2455491073168936E-2"/>
          <c:y val="0.18516530931979328"/>
          <c:w val="0.900143125254387"/>
          <c:h val="0.6556643132145703"/>
        </c:manualLayout>
      </c:layout>
      <c:scatterChart>
        <c:scatterStyle val="lineMarker"/>
        <c:varyColors val="0"/>
        <c:ser>
          <c:idx val="0"/>
          <c:order val="0"/>
          <c:tx>
            <c:v>Прибыль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CI_Analysis!$A$23:$A$72</c:f>
              <c:numCache>
                <c:formatCode>General</c:formatCode>
                <c:ptCount val="50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73</c:v>
                </c:pt>
                <c:pt idx="5">
                  <c:v>73</c:v>
                </c:pt>
                <c:pt idx="6">
                  <c:v>74</c:v>
                </c:pt>
                <c:pt idx="7">
                  <c:v>74</c:v>
                </c:pt>
                <c:pt idx="8">
                  <c:v>74</c:v>
                </c:pt>
                <c:pt idx="9">
                  <c:v>76</c:v>
                </c:pt>
                <c:pt idx="10">
                  <c:v>77</c:v>
                </c:pt>
                <c:pt idx="11">
                  <c:v>77</c:v>
                </c:pt>
                <c:pt idx="12">
                  <c:v>78</c:v>
                </c:pt>
                <c:pt idx="13">
                  <c:v>82</c:v>
                </c:pt>
                <c:pt idx="14">
                  <c:v>83</c:v>
                </c:pt>
                <c:pt idx="15">
                  <c:v>88</c:v>
                </c:pt>
                <c:pt idx="16">
                  <c:v>88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93</c:v>
                </c:pt>
                <c:pt idx="22">
                  <c:v>93</c:v>
                </c:pt>
                <c:pt idx="23">
                  <c:v>93</c:v>
                </c:pt>
                <c:pt idx="24">
                  <c:v>100</c:v>
                </c:pt>
                <c:pt idx="25">
                  <c:v>101</c:v>
                </c:pt>
                <c:pt idx="26">
                  <c:v>102</c:v>
                </c:pt>
                <c:pt idx="27">
                  <c:v>103</c:v>
                </c:pt>
                <c:pt idx="28">
                  <c:v>105</c:v>
                </c:pt>
                <c:pt idx="29">
                  <c:v>106</c:v>
                </c:pt>
                <c:pt idx="30">
                  <c:v>109</c:v>
                </c:pt>
                <c:pt idx="31">
                  <c:v>109</c:v>
                </c:pt>
                <c:pt idx="32">
                  <c:v>109</c:v>
                </c:pt>
                <c:pt idx="33">
                  <c:v>111</c:v>
                </c:pt>
                <c:pt idx="34">
                  <c:v>111</c:v>
                </c:pt>
                <c:pt idx="35">
                  <c:v>112</c:v>
                </c:pt>
                <c:pt idx="36">
                  <c:v>113</c:v>
                </c:pt>
                <c:pt idx="37">
                  <c:v>113</c:v>
                </c:pt>
                <c:pt idx="38">
                  <c:v>115</c:v>
                </c:pt>
                <c:pt idx="39">
                  <c:v>116</c:v>
                </c:pt>
                <c:pt idx="40">
                  <c:v>116</c:v>
                </c:pt>
                <c:pt idx="41">
                  <c:v>117</c:v>
                </c:pt>
                <c:pt idx="42">
                  <c:v>118</c:v>
                </c:pt>
                <c:pt idx="43">
                  <c:v>120</c:v>
                </c:pt>
                <c:pt idx="44">
                  <c:v>120</c:v>
                </c:pt>
                <c:pt idx="45">
                  <c:v>124</c:v>
                </c:pt>
                <c:pt idx="46">
                  <c:v>125</c:v>
                </c:pt>
                <c:pt idx="47">
                  <c:v>125</c:v>
                </c:pt>
                <c:pt idx="48">
                  <c:v>127</c:v>
                </c:pt>
                <c:pt idx="49">
                  <c:v>128</c:v>
                </c:pt>
              </c:numCache>
            </c:numRef>
          </c:xVal>
          <c:yVal>
            <c:numRef>
              <c:f>CI_Analysis!$B$23:$B$72</c:f>
              <c:numCache>
                <c:formatCode>General</c:formatCode>
                <c:ptCount val="50"/>
                <c:pt idx="0">
                  <c:v>23.911999999999999</c:v>
                </c:pt>
                <c:pt idx="1">
                  <c:v>25.071999999999999</c:v>
                </c:pt>
                <c:pt idx="2">
                  <c:v>25.143999999999998</c:v>
                </c:pt>
                <c:pt idx="3">
                  <c:v>25.414000000000001</c:v>
                </c:pt>
                <c:pt idx="4">
                  <c:v>24.463999999999999</c:v>
                </c:pt>
                <c:pt idx="5">
                  <c:v>24.001999999999999</c:v>
                </c:pt>
                <c:pt idx="6">
                  <c:v>24.391999999999999</c:v>
                </c:pt>
                <c:pt idx="7">
                  <c:v>25.63</c:v>
                </c:pt>
                <c:pt idx="8">
                  <c:v>25.111999999999998</c:v>
                </c:pt>
                <c:pt idx="9">
                  <c:v>25.702000000000002</c:v>
                </c:pt>
                <c:pt idx="10">
                  <c:v>24.751999999999999</c:v>
                </c:pt>
                <c:pt idx="11">
                  <c:v>25.24</c:v>
                </c:pt>
                <c:pt idx="12">
                  <c:v>25.315999999999999</c:v>
                </c:pt>
                <c:pt idx="13">
                  <c:v>26.23</c:v>
                </c:pt>
                <c:pt idx="14">
                  <c:v>26.402000000000001</c:v>
                </c:pt>
                <c:pt idx="15">
                  <c:v>25.981999999999999</c:v>
                </c:pt>
                <c:pt idx="16">
                  <c:v>25.981999999999999</c:v>
                </c:pt>
                <c:pt idx="17">
                  <c:v>26.716000000000001</c:v>
                </c:pt>
                <c:pt idx="18">
                  <c:v>26.47</c:v>
                </c:pt>
                <c:pt idx="19">
                  <c:v>26</c:v>
                </c:pt>
                <c:pt idx="20">
                  <c:v>26.716000000000001</c:v>
                </c:pt>
                <c:pt idx="21">
                  <c:v>26.3</c:v>
                </c:pt>
                <c:pt idx="22">
                  <c:v>27.02</c:v>
                </c:pt>
                <c:pt idx="23">
                  <c:v>26.774000000000001</c:v>
                </c:pt>
                <c:pt idx="24">
                  <c:v>26.81</c:v>
                </c:pt>
                <c:pt idx="25">
                  <c:v>26.366</c:v>
                </c:pt>
                <c:pt idx="26">
                  <c:v>27.26</c:v>
                </c:pt>
                <c:pt idx="27">
                  <c:v>27.026</c:v>
                </c:pt>
                <c:pt idx="28">
                  <c:v>27.404</c:v>
                </c:pt>
                <c:pt idx="29">
                  <c:v>27.475999999999999</c:v>
                </c:pt>
                <c:pt idx="30">
                  <c:v>27.332000000000001</c:v>
                </c:pt>
                <c:pt idx="31">
                  <c:v>27.085999999999999</c:v>
                </c:pt>
                <c:pt idx="32">
                  <c:v>28.074000000000002</c:v>
                </c:pt>
                <c:pt idx="33">
                  <c:v>28.045999999999999</c:v>
                </c:pt>
                <c:pt idx="34">
                  <c:v>27.116</c:v>
                </c:pt>
                <c:pt idx="35">
                  <c:v>27.794</c:v>
                </c:pt>
                <c:pt idx="36">
                  <c:v>28.29</c:v>
                </c:pt>
                <c:pt idx="37">
                  <c:v>27.31</c:v>
                </c:pt>
                <c:pt idx="38">
                  <c:v>28.292000000000002</c:v>
                </c:pt>
                <c:pt idx="39">
                  <c:v>27.794</c:v>
                </c:pt>
                <c:pt idx="40">
                  <c:v>27.074000000000002</c:v>
                </c:pt>
                <c:pt idx="41">
                  <c:v>27.866</c:v>
                </c:pt>
                <c:pt idx="42">
                  <c:v>27.937999999999999</c:v>
                </c:pt>
                <c:pt idx="43">
                  <c:v>27.506</c:v>
                </c:pt>
                <c:pt idx="44">
                  <c:v>27.26</c:v>
                </c:pt>
                <c:pt idx="45">
                  <c:v>27.885999999999999</c:v>
                </c:pt>
                <c:pt idx="46">
                  <c:v>28.672000000000001</c:v>
                </c:pt>
                <c:pt idx="47">
                  <c:v>27.692</c:v>
                </c:pt>
                <c:pt idx="48">
                  <c:v>28.03</c:v>
                </c:pt>
                <c:pt idx="49">
                  <c:v>28.102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66-CF45-B6D4-7B7A5CA922B3}"/>
            </c:ext>
          </c:extLst>
        </c:ser>
        <c:ser>
          <c:idx val="1"/>
          <c:order val="1"/>
          <c:tx>
            <c:v>Прогнозируемое значение Y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CI_Analysis!$A$23:$A$72</c:f>
              <c:numCache>
                <c:formatCode>General</c:formatCode>
                <c:ptCount val="50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73</c:v>
                </c:pt>
                <c:pt idx="5">
                  <c:v>73</c:v>
                </c:pt>
                <c:pt idx="6">
                  <c:v>74</c:v>
                </c:pt>
                <c:pt idx="7">
                  <c:v>74</c:v>
                </c:pt>
                <c:pt idx="8">
                  <c:v>74</c:v>
                </c:pt>
                <c:pt idx="9">
                  <c:v>76</c:v>
                </c:pt>
                <c:pt idx="10">
                  <c:v>77</c:v>
                </c:pt>
                <c:pt idx="11">
                  <c:v>77</c:v>
                </c:pt>
                <c:pt idx="12">
                  <c:v>78</c:v>
                </c:pt>
                <c:pt idx="13">
                  <c:v>82</c:v>
                </c:pt>
                <c:pt idx="14">
                  <c:v>83</c:v>
                </c:pt>
                <c:pt idx="15">
                  <c:v>88</c:v>
                </c:pt>
                <c:pt idx="16">
                  <c:v>88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93</c:v>
                </c:pt>
                <c:pt idx="22">
                  <c:v>93</c:v>
                </c:pt>
                <c:pt idx="23">
                  <c:v>93</c:v>
                </c:pt>
                <c:pt idx="24">
                  <c:v>100</c:v>
                </c:pt>
                <c:pt idx="25">
                  <c:v>101</c:v>
                </c:pt>
                <c:pt idx="26">
                  <c:v>102</c:v>
                </c:pt>
                <c:pt idx="27">
                  <c:v>103</c:v>
                </c:pt>
                <c:pt idx="28">
                  <c:v>105</c:v>
                </c:pt>
                <c:pt idx="29">
                  <c:v>106</c:v>
                </c:pt>
                <c:pt idx="30">
                  <c:v>109</c:v>
                </c:pt>
                <c:pt idx="31">
                  <c:v>109</c:v>
                </c:pt>
                <c:pt idx="32">
                  <c:v>109</c:v>
                </c:pt>
                <c:pt idx="33">
                  <c:v>111</c:v>
                </c:pt>
                <c:pt idx="34">
                  <c:v>111</c:v>
                </c:pt>
                <c:pt idx="35">
                  <c:v>112</c:v>
                </c:pt>
                <c:pt idx="36">
                  <c:v>113</c:v>
                </c:pt>
                <c:pt idx="37">
                  <c:v>113</c:v>
                </c:pt>
                <c:pt idx="38">
                  <c:v>115</c:v>
                </c:pt>
                <c:pt idx="39">
                  <c:v>116</c:v>
                </c:pt>
                <c:pt idx="40">
                  <c:v>116</c:v>
                </c:pt>
                <c:pt idx="41">
                  <c:v>117</c:v>
                </c:pt>
                <c:pt idx="42">
                  <c:v>118</c:v>
                </c:pt>
                <c:pt idx="43">
                  <c:v>120</c:v>
                </c:pt>
                <c:pt idx="44">
                  <c:v>120</c:v>
                </c:pt>
                <c:pt idx="45">
                  <c:v>124</c:v>
                </c:pt>
                <c:pt idx="46">
                  <c:v>125</c:v>
                </c:pt>
                <c:pt idx="47">
                  <c:v>125</c:v>
                </c:pt>
                <c:pt idx="48">
                  <c:v>127</c:v>
                </c:pt>
                <c:pt idx="49">
                  <c:v>128</c:v>
                </c:pt>
              </c:numCache>
            </c:numRef>
          </c:xVal>
          <c:yVal>
            <c:numRef>
              <c:f>CI_Analysis!$C$23:$C$72</c:f>
              <c:numCache>
                <c:formatCode>General</c:formatCode>
                <c:ptCount val="50"/>
                <c:pt idx="0">
                  <c:v>24.703152899503895</c:v>
                </c:pt>
                <c:pt idx="1">
                  <c:v>24.762826135536351</c:v>
                </c:pt>
                <c:pt idx="2">
                  <c:v>24.822499371568806</c:v>
                </c:pt>
                <c:pt idx="3">
                  <c:v>24.882172607601262</c:v>
                </c:pt>
                <c:pt idx="4">
                  <c:v>25.180538787763538</c:v>
                </c:pt>
                <c:pt idx="5">
                  <c:v>25.180538787763538</c:v>
                </c:pt>
                <c:pt idx="6">
                  <c:v>25.240212023795998</c:v>
                </c:pt>
                <c:pt idx="7">
                  <c:v>25.240212023795998</c:v>
                </c:pt>
                <c:pt idx="8">
                  <c:v>25.240212023795998</c:v>
                </c:pt>
                <c:pt idx="9">
                  <c:v>25.359558495860906</c:v>
                </c:pt>
                <c:pt idx="10">
                  <c:v>25.419231731893362</c:v>
                </c:pt>
                <c:pt idx="11">
                  <c:v>25.419231731893362</c:v>
                </c:pt>
                <c:pt idx="12">
                  <c:v>25.478904967925818</c:v>
                </c:pt>
                <c:pt idx="13">
                  <c:v>25.717597912055641</c:v>
                </c:pt>
                <c:pt idx="14">
                  <c:v>25.777271148088097</c:v>
                </c:pt>
                <c:pt idx="15">
                  <c:v>26.075637328250373</c:v>
                </c:pt>
                <c:pt idx="16">
                  <c:v>26.075637328250373</c:v>
                </c:pt>
                <c:pt idx="17">
                  <c:v>26.194983800315285</c:v>
                </c:pt>
                <c:pt idx="18">
                  <c:v>26.194983800315285</c:v>
                </c:pt>
                <c:pt idx="19">
                  <c:v>26.194983800315285</c:v>
                </c:pt>
                <c:pt idx="20">
                  <c:v>26.194983800315285</c:v>
                </c:pt>
                <c:pt idx="21">
                  <c:v>26.374003508412653</c:v>
                </c:pt>
                <c:pt idx="22">
                  <c:v>26.374003508412653</c:v>
                </c:pt>
                <c:pt idx="23">
                  <c:v>26.374003508412653</c:v>
                </c:pt>
                <c:pt idx="24">
                  <c:v>26.791716160639844</c:v>
                </c:pt>
                <c:pt idx="25">
                  <c:v>26.851389396672296</c:v>
                </c:pt>
                <c:pt idx="26">
                  <c:v>26.911062632704756</c:v>
                </c:pt>
                <c:pt idx="27">
                  <c:v>26.970735868737208</c:v>
                </c:pt>
                <c:pt idx="28">
                  <c:v>27.09008234080212</c:v>
                </c:pt>
                <c:pt idx="29">
                  <c:v>27.149755576834576</c:v>
                </c:pt>
                <c:pt idx="30">
                  <c:v>27.328775284931943</c:v>
                </c:pt>
                <c:pt idx="31">
                  <c:v>27.328775284931943</c:v>
                </c:pt>
                <c:pt idx="32">
                  <c:v>27.328775284931943</c:v>
                </c:pt>
                <c:pt idx="33">
                  <c:v>27.448121756996855</c:v>
                </c:pt>
                <c:pt idx="34">
                  <c:v>27.448121756996855</c:v>
                </c:pt>
                <c:pt idx="35">
                  <c:v>27.507794993029311</c:v>
                </c:pt>
                <c:pt idx="36">
                  <c:v>27.567468229061767</c:v>
                </c:pt>
                <c:pt idx="37">
                  <c:v>27.567468229061767</c:v>
                </c:pt>
                <c:pt idx="38">
                  <c:v>27.686814701126679</c:v>
                </c:pt>
                <c:pt idx="39">
                  <c:v>27.746487937159131</c:v>
                </c:pt>
                <c:pt idx="40">
                  <c:v>27.746487937159131</c:v>
                </c:pt>
                <c:pt idx="41">
                  <c:v>27.806161173191587</c:v>
                </c:pt>
                <c:pt idx="42">
                  <c:v>27.865834409224043</c:v>
                </c:pt>
                <c:pt idx="43">
                  <c:v>27.985180881288954</c:v>
                </c:pt>
                <c:pt idx="44">
                  <c:v>27.985180881288954</c:v>
                </c:pt>
                <c:pt idx="45">
                  <c:v>28.223873825418778</c:v>
                </c:pt>
                <c:pt idx="46">
                  <c:v>28.283547061451234</c:v>
                </c:pt>
                <c:pt idx="47">
                  <c:v>28.283547061451234</c:v>
                </c:pt>
                <c:pt idx="48">
                  <c:v>28.402893533516142</c:v>
                </c:pt>
                <c:pt idx="49">
                  <c:v>28.462566769548602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66-CF45-B6D4-7B7A5CA922B3}"/>
            </c:ext>
          </c:extLst>
        </c:ser>
        <c:ser>
          <c:idx val="2"/>
          <c:order val="2"/>
          <c:tx>
            <c:v>Нижняя граница доверительного интервала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CI_Analysis!$A$23:$A$72</c:f>
              <c:numCache>
                <c:formatCode>General</c:formatCode>
                <c:ptCount val="50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73</c:v>
                </c:pt>
                <c:pt idx="5">
                  <c:v>73</c:v>
                </c:pt>
                <c:pt idx="6">
                  <c:v>74</c:v>
                </c:pt>
                <c:pt idx="7">
                  <c:v>74</c:v>
                </c:pt>
                <c:pt idx="8">
                  <c:v>74</c:v>
                </c:pt>
                <c:pt idx="9">
                  <c:v>76</c:v>
                </c:pt>
                <c:pt idx="10">
                  <c:v>77</c:v>
                </c:pt>
                <c:pt idx="11">
                  <c:v>77</c:v>
                </c:pt>
                <c:pt idx="12">
                  <c:v>78</c:v>
                </c:pt>
                <c:pt idx="13">
                  <c:v>82</c:v>
                </c:pt>
                <c:pt idx="14">
                  <c:v>83</c:v>
                </c:pt>
                <c:pt idx="15">
                  <c:v>88</c:v>
                </c:pt>
                <c:pt idx="16">
                  <c:v>88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93</c:v>
                </c:pt>
                <c:pt idx="22">
                  <c:v>93</c:v>
                </c:pt>
                <c:pt idx="23">
                  <c:v>93</c:v>
                </c:pt>
                <c:pt idx="24">
                  <c:v>100</c:v>
                </c:pt>
                <c:pt idx="25">
                  <c:v>101</c:v>
                </c:pt>
                <c:pt idx="26">
                  <c:v>102</c:v>
                </c:pt>
                <c:pt idx="27">
                  <c:v>103</c:v>
                </c:pt>
                <c:pt idx="28">
                  <c:v>105</c:v>
                </c:pt>
                <c:pt idx="29">
                  <c:v>106</c:v>
                </c:pt>
                <c:pt idx="30">
                  <c:v>109</c:v>
                </c:pt>
                <c:pt idx="31">
                  <c:v>109</c:v>
                </c:pt>
                <c:pt idx="32">
                  <c:v>109</c:v>
                </c:pt>
                <c:pt idx="33">
                  <c:v>111</c:v>
                </c:pt>
                <c:pt idx="34">
                  <c:v>111</c:v>
                </c:pt>
                <c:pt idx="35">
                  <c:v>112</c:v>
                </c:pt>
                <c:pt idx="36">
                  <c:v>113</c:v>
                </c:pt>
                <c:pt idx="37">
                  <c:v>113</c:v>
                </c:pt>
                <c:pt idx="38">
                  <c:v>115</c:v>
                </c:pt>
                <c:pt idx="39">
                  <c:v>116</c:v>
                </c:pt>
                <c:pt idx="40">
                  <c:v>116</c:v>
                </c:pt>
                <c:pt idx="41">
                  <c:v>117</c:v>
                </c:pt>
                <c:pt idx="42">
                  <c:v>118</c:v>
                </c:pt>
                <c:pt idx="43">
                  <c:v>120</c:v>
                </c:pt>
                <c:pt idx="44">
                  <c:v>120</c:v>
                </c:pt>
                <c:pt idx="45">
                  <c:v>124</c:v>
                </c:pt>
                <c:pt idx="46">
                  <c:v>125</c:v>
                </c:pt>
                <c:pt idx="47">
                  <c:v>125</c:v>
                </c:pt>
                <c:pt idx="48">
                  <c:v>127</c:v>
                </c:pt>
                <c:pt idx="49">
                  <c:v>128</c:v>
                </c:pt>
              </c:numCache>
            </c:numRef>
          </c:xVal>
          <c:yVal>
            <c:numRef>
              <c:f>CI_Analysis!$D$23:$D$72</c:f>
              <c:numCache>
                <c:formatCode>General</c:formatCode>
                <c:ptCount val="50"/>
                <c:pt idx="0">
                  <c:v>24.428994350121037</c:v>
                </c:pt>
                <c:pt idx="1">
                  <c:v>24.494950272902088</c:v>
                </c:pt>
                <c:pt idx="2">
                  <c:v>24.560853939220355</c:v>
                </c:pt>
                <c:pt idx="3">
                  <c:v>24.626701525754434</c:v>
                </c:pt>
                <c:pt idx="4">
                  <c:v>24.954938512537179</c:v>
                </c:pt>
                <c:pt idx="5">
                  <c:v>24.954938512537179</c:v>
                </c:pt>
                <c:pt idx="6">
                  <c:v>25.020347640595997</c:v>
                </c:pt>
                <c:pt idx="7">
                  <c:v>25.020347640595997</c:v>
                </c:pt>
                <c:pt idx="8">
                  <c:v>25.020347640595997</c:v>
                </c:pt>
                <c:pt idx="9">
                  <c:v>25.15087468396214</c:v>
                </c:pt>
                <c:pt idx="10">
                  <c:v>25.215976579733393</c:v>
                </c:pt>
                <c:pt idx="11">
                  <c:v>25.215976579733393</c:v>
                </c:pt>
                <c:pt idx="12">
                  <c:v>25.280958845672902</c:v>
                </c:pt>
                <c:pt idx="13">
                  <c:v>25.539481157928588</c:v>
                </c:pt>
                <c:pt idx="14">
                  <c:v>25.603699770671604</c:v>
                </c:pt>
                <c:pt idx="15">
                  <c:v>25.92159658230279</c:v>
                </c:pt>
                <c:pt idx="16">
                  <c:v>25.92159658230279</c:v>
                </c:pt>
                <c:pt idx="17">
                  <c:v>26.046952820163934</c:v>
                </c:pt>
                <c:pt idx="18">
                  <c:v>26.046952820163934</c:v>
                </c:pt>
                <c:pt idx="19">
                  <c:v>26.046952820163934</c:v>
                </c:pt>
                <c:pt idx="20">
                  <c:v>26.046952820163934</c:v>
                </c:pt>
                <c:pt idx="21">
                  <c:v>26.23262722901454</c:v>
                </c:pt>
                <c:pt idx="22">
                  <c:v>26.23262722901454</c:v>
                </c:pt>
                <c:pt idx="23">
                  <c:v>26.23262722901454</c:v>
                </c:pt>
                <c:pt idx="24">
                  <c:v>26.653103449418019</c:v>
                </c:pt>
                <c:pt idx="25">
                  <c:v>26.711646443542801</c:v>
                </c:pt>
                <c:pt idx="26">
                  <c:v>26.769821742411395</c:v>
                </c:pt>
                <c:pt idx="27">
                  <c:v>26.827640892805867</c:v>
                </c:pt>
                <c:pt idx="28">
                  <c:v>26.942266918934454</c:v>
                </c:pt>
                <c:pt idx="29">
                  <c:v>26.999105509788087</c:v>
                </c:pt>
                <c:pt idx="30">
                  <c:v>27.167929721097487</c:v>
                </c:pt>
                <c:pt idx="31">
                  <c:v>27.167929721097487</c:v>
                </c:pt>
                <c:pt idx="32">
                  <c:v>27.167929721097487</c:v>
                </c:pt>
                <c:pt idx="33">
                  <c:v>27.279243205773184</c:v>
                </c:pt>
                <c:pt idx="34">
                  <c:v>27.279243205773184</c:v>
                </c:pt>
                <c:pt idx="35">
                  <c:v>27.334579144305444</c:v>
                </c:pt>
                <c:pt idx="36">
                  <c:v>27.389721830112943</c:v>
                </c:pt>
                <c:pt idx="37">
                  <c:v>27.389721830112943</c:v>
                </c:pt>
                <c:pt idx="38">
                  <c:v>27.499484118378348</c:v>
                </c:pt>
                <c:pt idx="39">
                  <c:v>27.554129781532087</c:v>
                </c:pt>
                <c:pt idx="40">
                  <c:v>27.554129781532087</c:v>
                </c:pt>
                <c:pt idx="41">
                  <c:v>27.608634314906269</c:v>
                </c:pt>
                <c:pt idx="42">
                  <c:v>27.66300850763275</c:v>
                </c:pt>
                <c:pt idx="43">
                  <c:v>27.771404876334962</c:v>
                </c:pt>
                <c:pt idx="44">
                  <c:v>27.771404876334962</c:v>
                </c:pt>
                <c:pt idx="45">
                  <c:v>27.987020936429257</c:v>
                </c:pt>
                <c:pt idx="46">
                  <c:v>28.040720403182654</c:v>
                </c:pt>
                <c:pt idx="47">
                  <c:v>28.040720403182654</c:v>
                </c:pt>
                <c:pt idx="48">
                  <c:v>28.147913854785553</c:v>
                </c:pt>
                <c:pt idx="49">
                  <c:v>28.201417401902383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266-CF45-B6D4-7B7A5CA922B3}"/>
            </c:ext>
          </c:extLst>
        </c:ser>
        <c:ser>
          <c:idx val="3"/>
          <c:order val="3"/>
          <c:tx>
            <c:v> Верхняя граница доверительного интервала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CI_Analysis!$A$23:$A$72</c:f>
              <c:numCache>
                <c:formatCode>General</c:formatCode>
                <c:ptCount val="50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73</c:v>
                </c:pt>
                <c:pt idx="5">
                  <c:v>73</c:v>
                </c:pt>
                <c:pt idx="6">
                  <c:v>74</c:v>
                </c:pt>
                <c:pt idx="7">
                  <c:v>74</c:v>
                </c:pt>
                <c:pt idx="8">
                  <c:v>74</c:v>
                </c:pt>
                <c:pt idx="9">
                  <c:v>76</c:v>
                </c:pt>
                <c:pt idx="10">
                  <c:v>77</c:v>
                </c:pt>
                <c:pt idx="11">
                  <c:v>77</c:v>
                </c:pt>
                <c:pt idx="12">
                  <c:v>78</c:v>
                </c:pt>
                <c:pt idx="13">
                  <c:v>82</c:v>
                </c:pt>
                <c:pt idx="14">
                  <c:v>83</c:v>
                </c:pt>
                <c:pt idx="15">
                  <c:v>88</c:v>
                </c:pt>
                <c:pt idx="16">
                  <c:v>88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93</c:v>
                </c:pt>
                <c:pt idx="22">
                  <c:v>93</c:v>
                </c:pt>
                <c:pt idx="23">
                  <c:v>93</c:v>
                </c:pt>
                <c:pt idx="24">
                  <c:v>100</c:v>
                </c:pt>
                <c:pt idx="25">
                  <c:v>101</c:v>
                </c:pt>
                <c:pt idx="26">
                  <c:v>102</c:v>
                </c:pt>
                <c:pt idx="27">
                  <c:v>103</c:v>
                </c:pt>
                <c:pt idx="28">
                  <c:v>105</c:v>
                </c:pt>
                <c:pt idx="29">
                  <c:v>106</c:v>
                </c:pt>
                <c:pt idx="30">
                  <c:v>109</c:v>
                </c:pt>
                <c:pt idx="31">
                  <c:v>109</c:v>
                </c:pt>
                <c:pt idx="32">
                  <c:v>109</c:v>
                </c:pt>
                <c:pt idx="33">
                  <c:v>111</c:v>
                </c:pt>
                <c:pt idx="34">
                  <c:v>111</c:v>
                </c:pt>
                <c:pt idx="35">
                  <c:v>112</c:v>
                </c:pt>
                <c:pt idx="36">
                  <c:v>113</c:v>
                </c:pt>
                <c:pt idx="37">
                  <c:v>113</c:v>
                </c:pt>
                <c:pt idx="38">
                  <c:v>115</c:v>
                </c:pt>
                <c:pt idx="39">
                  <c:v>116</c:v>
                </c:pt>
                <c:pt idx="40">
                  <c:v>116</c:v>
                </c:pt>
                <c:pt idx="41">
                  <c:v>117</c:v>
                </c:pt>
                <c:pt idx="42">
                  <c:v>118</c:v>
                </c:pt>
                <c:pt idx="43">
                  <c:v>120</c:v>
                </c:pt>
                <c:pt idx="44">
                  <c:v>120</c:v>
                </c:pt>
                <c:pt idx="45">
                  <c:v>124</c:v>
                </c:pt>
                <c:pt idx="46">
                  <c:v>125</c:v>
                </c:pt>
                <c:pt idx="47">
                  <c:v>125</c:v>
                </c:pt>
                <c:pt idx="48">
                  <c:v>127</c:v>
                </c:pt>
                <c:pt idx="49">
                  <c:v>128</c:v>
                </c:pt>
              </c:numCache>
            </c:numRef>
          </c:xVal>
          <c:yVal>
            <c:numRef>
              <c:f>CI_Analysis!$E$23:$E$72</c:f>
              <c:numCache>
                <c:formatCode>General</c:formatCode>
                <c:ptCount val="50"/>
                <c:pt idx="0">
                  <c:v>24.977311448886752</c:v>
                </c:pt>
                <c:pt idx="1">
                  <c:v>25.030701998170613</c:v>
                </c:pt>
                <c:pt idx="2">
                  <c:v>25.084144803917258</c:v>
                </c:pt>
                <c:pt idx="3">
                  <c:v>25.13764368944809</c:v>
                </c:pt>
                <c:pt idx="4">
                  <c:v>25.406139062989897</c:v>
                </c:pt>
                <c:pt idx="5">
                  <c:v>25.406139062989897</c:v>
                </c:pt>
                <c:pt idx="6">
                  <c:v>25.460076406995999</c:v>
                </c:pt>
                <c:pt idx="7">
                  <c:v>25.460076406995999</c:v>
                </c:pt>
                <c:pt idx="8">
                  <c:v>25.460076406995999</c:v>
                </c:pt>
                <c:pt idx="9">
                  <c:v>25.568242307759672</c:v>
                </c:pt>
                <c:pt idx="10">
                  <c:v>25.62248688405333</c:v>
                </c:pt>
                <c:pt idx="11">
                  <c:v>25.62248688405333</c:v>
                </c:pt>
                <c:pt idx="12">
                  <c:v>25.676851090178733</c:v>
                </c:pt>
                <c:pt idx="13">
                  <c:v>25.895714666182695</c:v>
                </c:pt>
                <c:pt idx="14">
                  <c:v>25.950842525504591</c:v>
                </c:pt>
                <c:pt idx="15">
                  <c:v>26.229678074197956</c:v>
                </c:pt>
                <c:pt idx="16">
                  <c:v>26.229678074197956</c:v>
                </c:pt>
                <c:pt idx="17">
                  <c:v>26.343014780466635</c:v>
                </c:pt>
                <c:pt idx="18">
                  <c:v>26.343014780466635</c:v>
                </c:pt>
                <c:pt idx="19">
                  <c:v>26.343014780466635</c:v>
                </c:pt>
                <c:pt idx="20">
                  <c:v>26.343014780466635</c:v>
                </c:pt>
                <c:pt idx="21">
                  <c:v>26.515379787810765</c:v>
                </c:pt>
                <c:pt idx="22">
                  <c:v>26.515379787810765</c:v>
                </c:pt>
                <c:pt idx="23">
                  <c:v>26.515379787810765</c:v>
                </c:pt>
                <c:pt idx="24">
                  <c:v>26.930328871861668</c:v>
                </c:pt>
                <c:pt idx="25">
                  <c:v>26.991132349801791</c:v>
                </c:pt>
                <c:pt idx="26">
                  <c:v>27.052303522998116</c:v>
                </c:pt>
                <c:pt idx="27">
                  <c:v>27.113830844668549</c:v>
                </c:pt>
                <c:pt idx="28">
                  <c:v>27.237897762669785</c:v>
                </c:pt>
                <c:pt idx="29">
                  <c:v>27.300405643881064</c:v>
                </c:pt>
                <c:pt idx="30">
                  <c:v>27.4896208487664</c:v>
                </c:pt>
                <c:pt idx="31">
                  <c:v>27.4896208487664</c:v>
                </c:pt>
                <c:pt idx="32">
                  <c:v>27.4896208487664</c:v>
                </c:pt>
                <c:pt idx="33">
                  <c:v>27.617000308220526</c:v>
                </c:pt>
                <c:pt idx="34">
                  <c:v>27.617000308220526</c:v>
                </c:pt>
                <c:pt idx="35">
                  <c:v>27.681010841753178</c:v>
                </c:pt>
                <c:pt idx="36">
                  <c:v>27.74521462801059</c:v>
                </c:pt>
                <c:pt idx="37">
                  <c:v>27.74521462801059</c:v>
                </c:pt>
                <c:pt idx="38">
                  <c:v>27.874145283875009</c:v>
                </c:pt>
                <c:pt idx="39">
                  <c:v>27.938846092786175</c:v>
                </c:pt>
                <c:pt idx="40">
                  <c:v>27.938846092786175</c:v>
                </c:pt>
                <c:pt idx="41">
                  <c:v>28.003688031476905</c:v>
                </c:pt>
                <c:pt idx="42">
                  <c:v>28.068660310815336</c:v>
                </c:pt>
                <c:pt idx="43">
                  <c:v>28.198956886242946</c:v>
                </c:pt>
                <c:pt idx="44">
                  <c:v>28.198956886242946</c:v>
                </c:pt>
                <c:pt idx="45">
                  <c:v>28.460726714408299</c:v>
                </c:pt>
                <c:pt idx="46">
                  <c:v>28.526373719719814</c:v>
                </c:pt>
                <c:pt idx="47">
                  <c:v>28.526373719719814</c:v>
                </c:pt>
                <c:pt idx="48">
                  <c:v>28.657873212246731</c:v>
                </c:pt>
                <c:pt idx="49">
                  <c:v>28.72371613719482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266-CF45-B6D4-7B7A5CA92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208000"/>
        <c:axId val="366209648"/>
      </c:scatterChart>
      <c:valAx>
        <c:axId val="366208000"/>
        <c:scaling>
          <c:orientation val="minMax"/>
          <c:max val="13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366209648"/>
        <c:crosses val="autoZero"/>
        <c:crossBetween val="midCat"/>
      </c:valAx>
      <c:valAx>
        <c:axId val="366209648"/>
        <c:scaling>
          <c:orientation val="minMax"/>
          <c:max val="29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36620800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Прибыль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accent1"/>
                </a:solidFill>
              </a:ln>
              <a:effectLst/>
            </c:spPr>
          </c:marker>
          <c:xVal>
            <c:numRef>
              <c:f>CI_Analysis!$G$23:$G$72</c:f>
              <c:numCache>
                <c:formatCode>General</c:formatCode>
                <c:ptCount val="50"/>
                <c:pt idx="0">
                  <c:v>38</c:v>
                </c:pt>
                <c:pt idx="1">
                  <c:v>39</c:v>
                </c:pt>
                <c:pt idx="2">
                  <c:v>39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42</c:v>
                </c:pt>
                <c:pt idx="19">
                  <c:v>42</c:v>
                </c:pt>
                <c:pt idx="20">
                  <c:v>42</c:v>
                </c:pt>
                <c:pt idx="21">
                  <c:v>42</c:v>
                </c:pt>
                <c:pt idx="22">
                  <c:v>42</c:v>
                </c:pt>
                <c:pt idx="23">
                  <c:v>42</c:v>
                </c:pt>
                <c:pt idx="24">
                  <c:v>42</c:v>
                </c:pt>
                <c:pt idx="25">
                  <c:v>42</c:v>
                </c:pt>
                <c:pt idx="26">
                  <c:v>42</c:v>
                </c:pt>
                <c:pt idx="27">
                  <c:v>43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</c:v>
                </c:pt>
                <c:pt idx="36">
                  <c:v>43</c:v>
                </c:pt>
                <c:pt idx="37">
                  <c:v>44</c:v>
                </c:pt>
                <c:pt idx="38">
                  <c:v>44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</c:v>
                </c:pt>
                <c:pt idx="44">
                  <c:v>44</c:v>
                </c:pt>
                <c:pt idx="45">
                  <c:v>44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</c:numCache>
            </c:numRef>
          </c:xVal>
          <c:yVal>
            <c:numRef>
              <c:f>CI_Analysis!$H$23:$H$72</c:f>
              <c:numCache>
                <c:formatCode>General</c:formatCode>
                <c:ptCount val="50"/>
                <c:pt idx="0">
                  <c:v>24.001999999999999</c:v>
                </c:pt>
                <c:pt idx="1">
                  <c:v>26.3</c:v>
                </c:pt>
                <c:pt idx="2">
                  <c:v>27.074000000000002</c:v>
                </c:pt>
                <c:pt idx="3">
                  <c:v>23.911999999999999</c:v>
                </c:pt>
                <c:pt idx="4">
                  <c:v>26.366</c:v>
                </c:pt>
                <c:pt idx="5">
                  <c:v>24.391999999999999</c:v>
                </c:pt>
                <c:pt idx="6">
                  <c:v>27.692</c:v>
                </c:pt>
                <c:pt idx="7">
                  <c:v>27.26</c:v>
                </c:pt>
                <c:pt idx="8">
                  <c:v>27.31</c:v>
                </c:pt>
                <c:pt idx="9">
                  <c:v>27.116</c:v>
                </c:pt>
                <c:pt idx="10">
                  <c:v>26</c:v>
                </c:pt>
                <c:pt idx="11">
                  <c:v>27.506</c:v>
                </c:pt>
                <c:pt idx="12">
                  <c:v>24.463999999999999</c:v>
                </c:pt>
                <c:pt idx="13">
                  <c:v>24.751999999999999</c:v>
                </c:pt>
                <c:pt idx="14">
                  <c:v>27.085999999999999</c:v>
                </c:pt>
                <c:pt idx="15">
                  <c:v>27.885999999999999</c:v>
                </c:pt>
                <c:pt idx="16">
                  <c:v>27.026</c:v>
                </c:pt>
                <c:pt idx="17">
                  <c:v>26.81</c:v>
                </c:pt>
                <c:pt idx="18">
                  <c:v>27.332000000000001</c:v>
                </c:pt>
                <c:pt idx="19">
                  <c:v>27.866</c:v>
                </c:pt>
                <c:pt idx="20">
                  <c:v>27.794</c:v>
                </c:pt>
                <c:pt idx="21">
                  <c:v>26.774000000000001</c:v>
                </c:pt>
                <c:pt idx="22">
                  <c:v>25.315999999999999</c:v>
                </c:pt>
                <c:pt idx="23">
                  <c:v>28.03</c:v>
                </c:pt>
                <c:pt idx="24">
                  <c:v>25.111999999999998</c:v>
                </c:pt>
                <c:pt idx="25">
                  <c:v>28.102</c:v>
                </c:pt>
                <c:pt idx="26">
                  <c:v>27.937999999999999</c:v>
                </c:pt>
                <c:pt idx="27">
                  <c:v>27.475999999999999</c:v>
                </c:pt>
                <c:pt idx="28">
                  <c:v>25.24</c:v>
                </c:pt>
                <c:pt idx="29">
                  <c:v>25.981999999999999</c:v>
                </c:pt>
                <c:pt idx="30">
                  <c:v>27.404</c:v>
                </c:pt>
                <c:pt idx="31">
                  <c:v>27.794</c:v>
                </c:pt>
                <c:pt idx="32">
                  <c:v>27.02</c:v>
                </c:pt>
                <c:pt idx="33">
                  <c:v>25.981999999999999</c:v>
                </c:pt>
                <c:pt idx="34">
                  <c:v>27.26</c:v>
                </c:pt>
                <c:pt idx="35">
                  <c:v>26.47</c:v>
                </c:pt>
                <c:pt idx="36">
                  <c:v>26.716000000000001</c:v>
                </c:pt>
                <c:pt idx="37">
                  <c:v>26.23</c:v>
                </c:pt>
                <c:pt idx="38">
                  <c:v>28.29</c:v>
                </c:pt>
                <c:pt idx="39">
                  <c:v>25.414000000000001</c:v>
                </c:pt>
                <c:pt idx="40">
                  <c:v>26.716000000000001</c:v>
                </c:pt>
                <c:pt idx="41">
                  <c:v>28.672000000000001</c:v>
                </c:pt>
                <c:pt idx="42">
                  <c:v>25.702000000000002</c:v>
                </c:pt>
                <c:pt idx="43">
                  <c:v>25.63</c:v>
                </c:pt>
                <c:pt idx="44">
                  <c:v>28.045999999999999</c:v>
                </c:pt>
                <c:pt idx="45">
                  <c:v>26.402000000000001</c:v>
                </c:pt>
                <c:pt idx="46">
                  <c:v>28.292000000000002</c:v>
                </c:pt>
                <c:pt idx="47">
                  <c:v>25.071999999999999</c:v>
                </c:pt>
                <c:pt idx="48">
                  <c:v>28.074000000000002</c:v>
                </c:pt>
                <c:pt idx="49">
                  <c:v>25.143999999999998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C7-4D4E-A4FA-607E72D931C7}"/>
            </c:ext>
          </c:extLst>
        </c:ser>
        <c:ser>
          <c:idx val="1"/>
          <c:order val="1"/>
          <c:tx>
            <c:v>Прогнозируемое значение Y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CI_Analysis!$G$23:$G$72</c:f>
              <c:numCache>
                <c:formatCode>General</c:formatCode>
                <c:ptCount val="50"/>
                <c:pt idx="0">
                  <c:v>38</c:v>
                </c:pt>
                <c:pt idx="1">
                  <c:v>39</c:v>
                </c:pt>
                <c:pt idx="2">
                  <c:v>39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42</c:v>
                </c:pt>
                <c:pt idx="19">
                  <c:v>42</c:v>
                </c:pt>
                <c:pt idx="20">
                  <c:v>42</c:v>
                </c:pt>
                <c:pt idx="21">
                  <c:v>42</c:v>
                </c:pt>
                <c:pt idx="22">
                  <c:v>42</c:v>
                </c:pt>
                <c:pt idx="23">
                  <c:v>42</c:v>
                </c:pt>
                <c:pt idx="24">
                  <c:v>42</c:v>
                </c:pt>
                <c:pt idx="25">
                  <c:v>42</c:v>
                </c:pt>
                <c:pt idx="26">
                  <c:v>42</c:v>
                </c:pt>
                <c:pt idx="27">
                  <c:v>43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</c:v>
                </c:pt>
                <c:pt idx="36">
                  <c:v>43</c:v>
                </c:pt>
                <c:pt idx="37">
                  <c:v>44</c:v>
                </c:pt>
                <c:pt idx="38">
                  <c:v>44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</c:v>
                </c:pt>
                <c:pt idx="44">
                  <c:v>44</c:v>
                </c:pt>
                <c:pt idx="45">
                  <c:v>44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</c:numCache>
            </c:numRef>
          </c:xVal>
          <c:yVal>
            <c:numRef>
              <c:f>CI_Analysis!$I$23:$I$72</c:f>
              <c:numCache>
                <c:formatCode>General</c:formatCode>
                <c:ptCount val="50"/>
                <c:pt idx="0">
                  <c:v>26.079814569536428</c:v>
                </c:pt>
                <c:pt idx="1">
                  <c:v>26.216313465783671</c:v>
                </c:pt>
                <c:pt idx="2">
                  <c:v>26.216313465783671</c:v>
                </c:pt>
                <c:pt idx="3">
                  <c:v>26.35281236203091</c:v>
                </c:pt>
                <c:pt idx="4">
                  <c:v>26.35281236203091</c:v>
                </c:pt>
                <c:pt idx="5">
                  <c:v>26.35281236203091</c:v>
                </c:pt>
                <c:pt idx="6">
                  <c:v>26.35281236203091</c:v>
                </c:pt>
                <c:pt idx="7">
                  <c:v>26.35281236203091</c:v>
                </c:pt>
                <c:pt idx="8">
                  <c:v>26.35281236203091</c:v>
                </c:pt>
                <c:pt idx="9">
                  <c:v>26.35281236203091</c:v>
                </c:pt>
                <c:pt idx="10">
                  <c:v>26.35281236203091</c:v>
                </c:pt>
                <c:pt idx="11">
                  <c:v>26.48931125827815</c:v>
                </c:pt>
                <c:pt idx="12">
                  <c:v>26.48931125827815</c:v>
                </c:pt>
                <c:pt idx="13">
                  <c:v>26.48931125827815</c:v>
                </c:pt>
                <c:pt idx="14">
                  <c:v>26.48931125827815</c:v>
                </c:pt>
                <c:pt idx="15">
                  <c:v>26.48931125827815</c:v>
                </c:pt>
                <c:pt idx="16">
                  <c:v>26.48931125827815</c:v>
                </c:pt>
                <c:pt idx="17">
                  <c:v>26.48931125827815</c:v>
                </c:pt>
                <c:pt idx="18">
                  <c:v>26.625810154525389</c:v>
                </c:pt>
                <c:pt idx="19">
                  <c:v>26.625810154525389</c:v>
                </c:pt>
                <c:pt idx="20">
                  <c:v>26.625810154525389</c:v>
                </c:pt>
                <c:pt idx="21">
                  <c:v>26.625810154525389</c:v>
                </c:pt>
                <c:pt idx="22">
                  <c:v>26.625810154525389</c:v>
                </c:pt>
                <c:pt idx="23">
                  <c:v>26.625810154525389</c:v>
                </c:pt>
                <c:pt idx="24">
                  <c:v>26.625810154525389</c:v>
                </c:pt>
                <c:pt idx="25">
                  <c:v>26.625810154525389</c:v>
                </c:pt>
                <c:pt idx="26">
                  <c:v>26.625810154525389</c:v>
                </c:pt>
                <c:pt idx="27">
                  <c:v>26.762309050772632</c:v>
                </c:pt>
                <c:pt idx="28">
                  <c:v>26.762309050772632</c:v>
                </c:pt>
                <c:pt idx="29">
                  <c:v>26.762309050772632</c:v>
                </c:pt>
                <c:pt idx="30">
                  <c:v>26.762309050772632</c:v>
                </c:pt>
                <c:pt idx="31">
                  <c:v>26.762309050772632</c:v>
                </c:pt>
                <c:pt idx="32">
                  <c:v>26.762309050772632</c:v>
                </c:pt>
                <c:pt idx="33">
                  <c:v>26.762309050772632</c:v>
                </c:pt>
                <c:pt idx="34">
                  <c:v>26.762309050772632</c:v>
                </c:pt>
                <c:pt idx="35">
                  <c:v>26.762309050772632</c:v>
                </c:pt>
                <c:pt idx="36">
                  <c:v>26.762309050772632</c:v>
                </c:pt>
                <c:pt idx="37">
                  <c:v>26.898807947019872</c:v>
                </c:pt>
                <c:pt idx="38">
                  <c:v>26.898807947019872</c:v>
                </c:pt>
                <c:pt idx="39">
                  <c:v>26.898807947019872</c:v>
                </c:pt>
                <c:pt idx="40">
                  <c:v>26.898807947019872</c:v>
                </c:pt>
                <c:pt idx="41">
                  <c:v>26.898807947019872</c:v>
                </c:pt>
                <c:pt idx="42">
                  <c:v>26.898807947019872</c:v>
                </c:pt>
                <c:pt idx="43">
                  <c:v>26.898807947019872</c:v>
                </c:pt>
                <c:pt idx="44">
                  <c:v>26.898807947019872</c:v>
                </c:pt>
                <c:pt idx="45">
                  <c:v>26.898807947019872</c:v>
                </c:pt>
                <c:pt idx="46">
                  <c:v>27.035306843267115</c:v>
                </c:pt>
                <c:pt idx="47">
                  <c:v>27.035306843267115</c:v>
                </c:pt>
                <c:pt idx="48">
                  <c:v>27.035306843267115</c:v>
                </c:pt>
                <c:pt idx="49">
                  <c:v>27.035306843267115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C7-4D4E-A4FA-607E72D931C7}"/>
            </c:ext>
          </c:extLst>
        </c:ser>
        <c:ser>
          <c:idx val="2"/>
          <c:order val="2"/>
          <c:tx>
            <c:v>Нижняя граница доверительного интервала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3175">
                <a:solidFill>
                  <a:srgbClr val="FF0000"/>
                </a:solidFill>
              </a:ln>
              <a:effectLst/>
            </c:spPr>
          </c:marker>
          <c:xVal>
            <c:numRef>
              <c:f>CI_Analysis!$G$23:$G$72</c:f>
              <c:numCache>
                <c:formatCode>General</c:formatCode>
                <c:ptCount val="50"/>
                <c:pt idx="0">
                  <c:v>38</c:v>
                </c:pt>
                <c:pt idx="1">
                  <c:v>39</c:v>
                </c:pt>
                <c:pt idx="2">
                  <c:v>39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42</c:v>
                </c:pt>
                <c:pt idx="19">
                  <c:v>42</c:v>
                </c:pt>
                <c:pt idx="20">
                  <c:v>42</c:v>
                </c:pt>
                <c:pt idx="21">
                  <c:v>42</c:v>
                </c:pt>
                <c:pt idx="22">
                  <c:v>42</c:v>
                </c:pt>
                <c:pt idx="23">
                  <c:v>42</c:v>
                </c:pt>
                <c:pt idx="24">
                  <c:v>42</c:v>
                </c:pt>
                <c:pt idx="25">
                  <c:v>42</c:v>
                </c:pt>
                <c:pt idx="26">
                  <c:v>42</c:v>
                </c:pt>
                <c:pt idx="27">
                  <c:v>43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</c:v>
                </c:pt>
                <c:pt idx="36">
                  <c:v>43</c:v>
                </c:pt>
                <c:pt idx="37">
                  <c:v>44</c:v>
                </c:pt>
                <c:pt idx="38">
                  <c:v>44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</c:v>
                </c:pt>
                <c:pt idx="44">
                  <c:v>44</c:v>
                </c:pt>
                <c:pt idx="45">
                  <c:v>44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</c:numCache>
            </c:numRef>
          </c:xVal>
          <c:yVal>
            <c:numRef>
              <c:f>CI_Analysis!$J$23:$J$72</c:f>
              <c:numCache>
                <c:formatCode>General</c:formatCode>
                <c:ptCount val="50"/>
                <c:pt idx="0">
                  <c:v>25.189830841462822</c:v>
                </c:pt>
                <c:pt idx="1">
                  <c:v>25.504348491175509</c:v>
                </c:pt>
                <c:pt idx="2">
                  <c:v>25.504348491175509</c:v>
                </c:pt>
                <c:pt idx="3">
                  <c:v>25.805032735568346</c:v>
                </c:pt>
                <c:pt idx="4">
                  <c:v>25.805032735568346</c:v>
                </c:pt>
                <c:pt idx="5">
                  <c:v>25.805032735568346</c:v>
                </c:pt>
                <c:pt idx="6">
                  <c:v>25.805032735568346</c:v>
                </c:pt>
                <c:pt idx="7">
                  <c:v>25.805032735568346</c:v>
                </c:pt>
                <c:pt idx="8">
                  <c:v>25.805032735568346</c:v>
                </c:pt>
                <c:pt idx="9">
                  <c:v>25.805032735568346</c:v>
                </c:pt>
                <c:pt idx="10">
                  <c:v>25.805032735568346</c:v>
                </c:pt>
                <c:pt idx="11">
                  <c:v>26.075093660231197</c:v>
                </c:pt>
                <c:pt idx="12">
                  <c:v>26.075093660231197</c:v>
                </c:pt>
                <c:pt idx="13">
                  <c:v>26.075093660231197</c:v>
                </c:pt>
                <c:pt idx="14">
                  <c:v>26.075093660231197</c:v>
                </c:pt>
                <c:pt idx="15">
                  <c:v>26.075093660231197</c:v>
                </c:pt>
                <c:pt idx="16">
                  <c:v>26.075093660231197</c:v>
                </c:pt>
                <c:pt idx="17">
                  <c:v>26.075093660231197</c:v>
                </c:pt>
                <c:pt idx="18">
                  <c:v>26.277334584130895</c:v>
                </c:pt>
                <c:pt idx="19">
                  <c:v>26.277334584130895</c:v>
                </c:pt>
                <c:pt idx="20">
                  <c:v>26.277334584130895</c:v>
                </c:pt>
                <c:pt idx="21">
                  <c:v>26.277334584130895</c:v>
                </c:pt>
                <c:pt idx="22">
                  <c:v>26.277334584130895</c:v>
                </c:pt>
                <c:pt idx="23">
                  <c:v>26.277334584130895</c:v>
                </c:pt>
                <c:pt idx="24">
                  <c:v>26.277334584130895</c:v>
                </c:pt>
                <c:pt idx="25">
                  <c:v>26.277334584130895</c:v>
                </c:pt>
                <c:pt idx="26">
                  <c:v>26.277334584130895</c:v>
                </c:pt>
                <c:pt idx="27">
                  <c:v>26.375476356888825</c:v>
                </c:pt>
                <c:pt idx="28">
                  <c:v>26.375476356888825</c:v>
                </c:pt>
                <c:pt idx="29">
                  <c:v>26.375476356888825</c:v>
                </c:pt>
                <c:pt idx="30">
                  <c:v>26.375476356888825</c:v>
                </c:pt>
                <c:pt idx="31">
                  <c:v>26.375476356888825</c:v>
                </c:pt>
                <c:pt idx="32">
                  <c:v>26.375476356888825</c:v>
                </c:pt>
                <c:pt idx="33">
                  <c:v>26.375476356888825</c:v>
                </c:pt>
                <c:pt idx="34">
                  <c:v>26.375476356888825</c:v>
                </c:pt>
                <c:pt idx="35">
                  <c:v>26.375476356888825</c:v>
                </c:pt>
                <c:pt idx="36">
                  <c:v>26.375476356888825</c:v>
                </c:pt>
                <c:pt idx="37">
                  <c:v>26.392656637411076</c:v>
                </c:pt>
                <c:pt idx="38">
                  <c:v>26.392656637411076</c:v>
                </c:pt>
                <c:pt idx="39">
                  <c:v>26.392656637411076</c:v>
                </c:pt>
                <c:pt idx="40">
                  <c:v>26.392656637411076</c:v>
                </c:pt>
                <c:pt idx="41">
                  <c:v>26.392656637411076</c:v>
                </c:pt>
                <c:pt idx="42">
                  <c:v>26.392656637411076</c:v>
                </c:pt>
                <c:pt idx="43">
                  <c:v>26.392656637411076</c:v>
                </c:pt>
                <c:pt idx="44">
                  <c:v>26.392656637411076</c:v>
                </c:pt>
                <c:pt idx="45">
                  <c:v>26.392656637411076</c:v>
                </c:pt>
                <c:pt idx="46">
                  <c:v>26.371165240409976</c:v>
                </c:pt>
                <c:pt idx="47">
                  <c:v>26.371165240409976</c:v>
                </c:pt>
                <c:pt idx="48">
                  <c:v>26.371165240409976</c:v>
                </c:pt>
                <c:pt idx="49">
                  <c:v>26.371165240409976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2C7-4D4E-A4FA-607E72D931C7}"/>
            </c:ext>
          </c:extLst>
        </c:ser>
        <c:ser>
          <c:idx val="3"/>
          <c:order val="3"/>
          <c:tx>
            <c:v>Верхняя граница доверительного интервала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CI_Analysis!$G$23:$G$72</c:f>
              <c:numCache>
                <c:formatCode>General</c:formatCode>
                <c:ptCount val="50"/>
                <c:pt idx="0">
                  <c:v>38</c:v>
                </c:pt>
                <c:pt idx="1">
                  <c:v>39</c:v>
                </c:pt>
                <c:pt idx="2">
                  <c:v>39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42</c:v>
                </c:pt>
                <c:pt idx="19">
                  <c:v>42</c:v>
                </c:pt>
                <c:pt idx="20">
                  <c:v>42</c:v>
                </c:pt>
                <c:pt idx="21">
                  <c:v>42</c:v>
                </c:pt>
                <c:pt idx="22">
                  <c:v>42</c:v>
                </c:pt>
                <c:pt idx="23">
                  <c:v>42</c:v>
                </c:pt>
                <c:pt idx="24">
                  <c:v>42</c:v>
                </c:pt>
                <c:pt idx="25">
                  <c:v>42</c:v>
                </c:pt>
                <c:pt idx="26">
                  <c:v>42</c:v>
                </c:pt>
                <c:pt idx="27">
                  <c:v>43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</c:v>
                </c:pt>
                <c:pt idx="36">
                  <c:v>43</c:v>
                </c:pt>
                <c:pt idx="37">
                  <c:v>44</c:v>
                </c:pt>
                <c:pt idx="38">
                  <c:v>44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</c:v>
                </c:pt>
                <c:pt idx="44">
                  <c:v>44</c:v>
                </c:pt>
                <c:pt idx="45">
                  <c:v>44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</c:numCache>
            </c:numRef>
          </c:xVal>
          <c:yVal>
            <c:numRef>
              <c:f>CI_Analysis!$K$23:$K$72</c:f>
              <c:numCache>
                <c:formatCode>General</c:formatCode>
                <c:ptCount val="50"/>
                <c:pt idx="0">
                  <c:v>26.969798297610033</c:v>
                </c:pt>
                <c:pt idx="1">
                  <c:v>26.928278440391832</c:v>
                </c:pt>
                <c:pt idx="2">
                  <c:v>26.928278440391832</c:v>
                </c:pt>
                <c:pt idx="3">
                  <c:v>26.900591988493474</c:v>
                </c:pt>
                <c:pt idx="4">
                  <c:v>26.900591988493474</c:v>
                </c:pt>
                <c:pt idx="5">
                  <c:v>26.900591988493474</c:v>
                </c:pt>
                <c:pt idx="6">
                  <c:v>26.900591988493474</c:v>
                </c:pt>
                <c:pt idx="7">
                  <c:v>26.900591988493474</c:v>
                </c:pt>
                <c:pt idx="8">
                  <c:v>26.900591988493474</c:v>
                </c:pt>
                <c:pt idx="9">
                  <c:v>26.900591988493474</c:v>
                </c:pt>
                <c:pt idx="10">
                  <c:v>26.900591988493474</c:v>
                </c:pt>
                <c:pt idx="11">
                  <c:v>26.903528856325103</c:v>
                </c:pt>
                <c:pt idx="12">
                  <c:v>26.903528856325103</c:v>
                </c:pt>
                <c:pt idx="13">
                  <c:v>26.903528856325103</c:v>
                </c:pt>
                <c:pt idx="14">
                  <c:v>26.903528856325103</c:v>
                </c:pt>
                <c:pt idx="15">
                  <c:v>26.903528856325103</c:v>
                </c:pt>
                <c:pt idx="16">
                  <c:v>26.903528856325103</c:v>
                </c:pt>
                <c:pt idx="17">
                  <c:v>26.903528856325103</c:v>
                </c:pt>
                <c:pt idx="18">
                  <c:v>26.974285724919884</c:v>
                </c:pt>
                <c:pt idx="19">
                  <c:v>26.974285724919884</c:v>
                </c:pt>
                <c:pt idx="20">
                  <c:v>26.974285724919884</c:v>
                </c:pt>
                <c:pt idx="21">
                  <c:v>26.974285724919884</c:v>
                </c:pt>
                <c:pt idx="22">
                  <c:v>26.974285724919884</c:v>
                </c:pt>
                <c:pt idx="23">
                  <c:v>26.974285724919884</c:v>
                </c:pt>
                <c:pt idx="24">
                  <c:v>26.974285724919884</c:v>
                </c:pt>
                <c:pt idx="25">
                  <c:v>26.974285724919884</c:v>
                </c:pt>
                <c:pt idx="26">
                  <c:v>26.974285724919884</c:v>
                </c:pt>
                <c:pt idx="27">
                  <c:v>27.14914174465644</c:v>
                </c:pt>
                <c:pt idx="28">
                  <c:v>27.14914174465644</c:v>
                </c:pt>
                <c:pt idx="29">
                  <c:v>27.14914174465644</c:v>
                </c:pt>
                <c:pt idx="30">
                  <c:v>27.14914174465644</c:v>
                </c:pt>
                <c:pt idx="31">
                  <c:v>27.14914174465644</c:v>
                </c:pt>
                <c:pt idx="32">
                  <c:v>27.14914174465644</c:v>
                </c:pt>
                <c:pt idx="33">
                  <c:v>27.14914174465644</c:v>
                </c:pt>
                <c:pt idx="34">
                  <c:v>27.14914174465644</c:v>
                </c:pt>
                <c:pt idx="35">
                  <c:v>27.14914174465644</c:v>
                </c:pt>
                <c:pt idx="36">
                  <c:v>27.14914174465644</c:v>
                </c:pt>
                <c:pt idx="37">
                  <c:v>27.404959256628668</c:v>
                </c:pt>
                <c:pt idx="38">
                  <c:v>27.404959256628668</c:v>
                </c:pt>
                <c:pt idx="39">
                  <c:v>27.404959256628668</c:v>
                </c:pt>
                <c:pt idx="40">
                  <c:v>27.404959256628668</c:v>
                </c:pt>
                <c:pt idx="41">
                  <c:v>27.404959256628668</c:v>
                </c:pt>
                <c:pt idx="42">
                  <c:v>27.404959256628668</c:v>
                </c:pt>
                <c:pt idx="43">
                  <c:v>27.404959256628668</c:v>
                </c:pt>
                <c:pt idx="44">
                  <c:v>27.404959256628668</c:v>
                </c:pt>
                <c:pt idx="45">
                  <c:v>27.404959256628668</c:v>
                </c:pt>
                <c:pt idx="46">
                  <c:v>27.699448446124254</c:v>
                </c:pt>
                <c:pt idx="47">
                  <c:v>27.699448446124254</c:v>
                </c:pt>
                <c:pt idx="48">
                  <c:v>27.699448446124254</c:v>
                </c:pt>
                <c:pt idx="49">
                  <c:v>27.699448446124254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2C7-4D4E-A4FA-607E72D93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449632"/>
        <c:axId val="1577792288"/>
      </c:scatterChart>
      <c:valAx>
        <c:axId val="157744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1577792288"/>
        <c:crosses val="autoZero"/>
        <c:crossBetween val="midCat"/>
      </c:valAx>
      <c:valAx>
        <c:axId val="157779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157744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507658</xdr:colOff>
      <xdr:row>74</xdr:row>
      <xdr:rowOff>109209</xdr:rowOff>
    </xdr:from>
    <xdr:to>
      <xdr:col>6</xdr:col>
      <xdr:colOff>2099734</xdr:colOff>
      <xdr:row>103</xdr:row>
      <xdr:rowOff>33867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E247E76-C4D8-834A-88C3-0755A2257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589242</xdr:colOff>
      <xdr:row>74</xdr:row>
      <xdr:rowOff>125858</xdr:rowOff>
    </xdr:from>
    <xdr:to>
      <xdr:col>16</xdr:col>
      <xdr:colOff>406400</xdr:colOff>
      <xdr:row>103</xdr:row>
      <xdr:rowOff>9548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7898FA24-6CB6-F944-BB21-B242A3B9D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9ED8-5008-2A88-6CE8-273E1CA9166F}">
  <dimension ref="A1:AB78"/>
  <sheetViews>
    <sheetView topLeftCell="D13" zoomScale="192" workbookViewId="0">
      <selection activeCell="J25" sqref="J25:P32"/>
    </sheetView>
  </sheetViews>
  <sheetFormatPr baseColWidth="10" defaultColWidth="9.1640625" defaultRowHeight="14.5" customHeight="1"/>
  <cols>
    <col min="1" max="1" width="13.83203125" customWidth="1"/>
    <col min="10" max="10" width="15.1640625" customWidth="1"/>
    <col min="11" max="12" width="18.1640625" customWidth="1"/>
    <col min="13" max="13" width="18" customWidth="1"/>
    <col min="14" max="14" width="18.33203125" customWidth="1"/>
    <col min="15" max="15" width="18.1640625" customWidth="1"/>
    <col min="16" max="16" width="18.5" customWidth="1"/>
    <col min="17" max="17" width="18" customWidth="1"/>
    <col min="18" max="18" width="18.6640625" customWidth="1"/>
  </cols>
  <sheetData>
    <row r="1" spans="1:15" ht="14.25" customHeight="1">
      <c r="A1" s="1"/>
      <c r="B1" s="1" t="s">
        <v>0</v>
      </c>
      <c r="C1" s="1"/>
      <c r="D1" s="1"/>
      <c r="E1" s="1"/>
      <c r="F1" s="1"/>
      <c r="G1" s="1"/>
    </row>
    <row r="2" spans="1:15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J2" t="s">
        <v>8</v>
      </c>
    </row>
    <row r="3" spans="1:15" ht="15" customHeight="1">
      <c r="A3" s="2"/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10</v>
      </c>
    </row>
    <row r="4" spans="1:15" ht="15" customHeight="1">
      <c r="A4" s="2">
        <v>1</v>
      </c>
      <c r="B4" s="2">
        <v>120</v>
      </c>
      <c r="C4" s="2">
        <v>19</v>
      </c>
      <c r="D4" s="2">
        <v>17</v>
      </c>
      <c r="E4" s="2">
        <v>41</v>
      </c>
      <c r="F4" s="2">
        <v>19</v>
      </c>
      <c r="G4" s="2">
        <v>27.429000000000002</v>
      </c>
      <c r="J4" s="36" t="s">
        <v>11</v>
      </c>
      <c r="K4" s="36"/>
      <c r="L4" s="36"/>
    </row>
    <row r="5" spans="1:15" ht="15" customHeight="1">
      <c r="A5" s="2">
        <v>2</v>
      </c>
      <c r="B5" s="2">
        <v>73</v>
      </c>
      <c r="C5" s="2">
        <v>21</v>
      </c>
      <c r="D5" s="2">
        <v>18</v>
      </c>
      <c r="E5" s="2">
        <v>41</v>
      </c>
      <c r="F5" s="2">
        <v>23</v>
      </c>
      <c r="G5" s="2">
        <v>24.801000000000002</v>
      </c>
      <c r="J5" s="39" t="s">
        <v>12</v>
      </c>
      <c r="K5" s="39"/>
      <c r="L5" s="4" t="s">
        <v>13</v>
      </c>
    </row>
    <row r="6" spans="1:15" ht="15.75" customHeight="1">
      <c r="A6" s="2">
        <v>3</v>
      </c>
      <c r="B6" s="2">
        <v>77</v>
      </c>
      <c r="C6" s="2">
        <v>14</v>
      </c>
      <c r="D6" s="2">
        <v>17</v>
      </c>
      <c r="E6" s="2">
        <v>41</v>
      </c>
      <c r="F6" s="2">
        <v>21</v>
      </c>
      <c r="G6" s="2">
        <v>26.081</v>
      </c>
      <c r="J6" s="39" t="s">
        <v>14</v>
      </c>
      <c r="K6" s="39"/>
      <c r="L6" s="4" t="s">
        <v>15</v>
      </c>
    </row>
    <row r="7" spans="1:15" ht="15" customHeight="1">
      <c r="A7" s="2">
        <v>4</v>
      </c>
      <c r="B7" s="2">
        <v>65</v>
      </c>
      <c r="C7" s="2">
        <v>15</v>
      </c>
      <c r="D7" s="2">
        <v>21</v>
      </c>
      <c r="E7" s="2">
        <v>40</v>
      </c>
      <c r="F7" s="2">
        <v>18</v>
      </c>
      <c r="G7" s="2">
        <v>23.333000000000002</v>
      </c>
      <c r="J7" s="39" t="s">
        <v>16</v>
      </c>
      <c r="K7" s="39"/>
      <c r="L7" s="4" t="s">
        <v>17</v>
      </c>
    </row>
    <row r="8" spans="1:15" ht="15" customHeight="1">
      <c r="A8" s="2">
        <v>5</v>
      </c>
      <c r="B8" s="2">
        <v>115</v>
      </c>
      <c r="C8" s="2">
        <v>12</v>
      </c>
      <c r="D8" s="2">
        <v>19</v>
      </c>
      <c r="E8" s="2">
        <v>45</v>
      </c>
      <c r="F8" s="2">
        <v>22</v>
      </c>
      <c r="G8" s="2">
        <v>27.891999999999999</v>
      </c>
      <c r="J8" s="39" t="s">
        <v>18</v>
      </c>
      <c r="K8" s="39"/>
      <c r="L8" s="5" t="s">
        <v>19</v>
      </c>
    </row>
    <row r="9" spans="1:15" ht="15" customHeight="1">
      <c r="A9" s="2">
        <v>6</v>
      </c>
      <c r="B9" s="2">
        <v>106</v>
      </c>
      <c r="C9" s="2">
        <v>15</v>
      </c>
      <c r="D9" s="2">
        <v>26</v>
      </c>
      <c r="E9" s="2">
        <v>43</v>
      </c>
      <c r="F9" s="2">
        <v>21</v>
      </c>
      <c r="G9" s="2">
        <v>27.656000000000002</v>
      </c>
      <c r="J9" s="39" t="s">
        <v>20</v>
      </c>
      <c r="K9" s="39"/>
      <c r="L9" s="6">
        <v>50</v>
      </c>
    </row>
    <row r="10" spans="1:15" ht="14.25" customHeight="1">
      <c r="A10" s="2">
        <v>7</v>
      </c>
      <c r="B10" s="2">
        <v>77</v>
      </c>
      <c r="C10" s="2">
        <v>16</v>
      </c>
      <c r="D10" s="2">
        <v>22</v>
      </c>
      <c r="E10" s="2">
        <v>43</v>
      </c>
      <c r="F10" s="2">
        <v>21</v>
      </c>
      <c r="G10" s="2">
        <v>26.288</v>
      </c>
    </row>
    <row r="11" spans="1:15" ht="15" customHeight="1">
      <c r="A11" s="2">
        <v>8</v>
      </c>
      <c r="B11" s="2">
        <v>109</v>
      </c>
      <c r="C11" s="2">
        <v>20</v>
      </c>
      <c r="D11" s="2">
        <v>18</v>
      </c>
      <c r="E11" s="2">
        <v>42</v>
      </c>
      <c r="F11" s="2">
        <v>22</v>
      </c>
      <c r="G11" s="2">
        <v>28.348000000000003</v>
      </c>
      <c r="J11" s="37" t="s">
        <v>21</v>
      </c>
      <c r="K11" s="37"/>
    </row>
    <row r="12" spans="1:15" ht="15" customHeight="1">
      <c r="A12" s="2">
        <v>9</v>
      </c>
      <c r="B12" s="2">
        <v>101</v>
      </c>
      <c r="C12" s="2">
        <v>15</v>
      </c>
      <c r="D12" s="2">
        <v>20</v>
      </c>
      <c r="E12" s="2">
        <v>40</v>
      </c>
      <c r="F12" s="2">
        <v>16</v>
      </c>
      <c r="G12" s="2">
        <v>26.276</v>
      </c>
      <c r="J12" s="3"/>
      <c r="K12" s="3" t="s">
        <v>22</v>
      </c>
      <c r="L12" s="3" t="s">
        <v>23</v>
      </c>
      <c r="M12" s="3" t="s">
        <v>24</v>
      </c>
      <c r="N12" s="3" t="s">
        <v>25</v>
      </c>
      <c r="O12" s="3" t="s">
        <v>26</v>
      </c>
    </row>
    <row r="13" spans="1:15" ht="15" customHeight="1">
      <c r="A13" s="2">
        <v>10</v>
      </c>
      <c r="B13" s="2">
        <v>88</v>
      </c>
      <c r="C13" s="2">
        <v>8</v>
      </c>
      <c r="D13" s="2">
        <v>19</v>
      </c>
      <c r="E13" s="2">
        <v>43</v>
      </c>
      <c r="F13" s="2">
        <v>24</v>
      </c>
      <c r="G13" s="2">
        <v>27.034000000000002</v>
      </c>
      <c r="J13" s="6" t="s">
        <v>27</v>
      </c>
      <c r="K13" s="6">
        <v>5</v>
      </c>
      <c r="L13" s="6" t="s">
        <v>28</v>
      </c>
      <c r="M13" s="6" t="s">
        <v>29</v>
      </c>
      <c r="N13" s="4" t="s">
        <v>30</v>
      </c>
      <c r="O13" s="6" t="s">
        <v>31</v>
      </c>
    </row>
    <row r="14" spans="1:15" ht="15" customHeight="1">
      <c r="A14" s="2">
        <v>11</v>
      </c>
      <c r="B14" s="2">
        <v>117</v>
      </c>
      <c r="C14" s="2">
        <v>25</v>
      </c>
      <c r="D14" s="2">
        <v>22</v>
      </c>
      <c r="E14" s="2">
        <v>42</v>
      </c>
      <c r="F14" s="2">
        <v>23</v>
      </c>
      <c r="G14" s="2">
        <v>28.198</v>
      </c>
      <c r="J14" s="6" t="s">
        <v>32</v>
      </c>
      <c r="K14" s="6">
        <v>44</v>
      </c>
      <c r="L14" s="6" t="s">
        <v>33</v>
      </c>
      <c r="M14" s="6" t="s">
        <v>34</v>
      </c>
      <c r="N14" s="6"/>
      <c r="O14" s="6"/>
    </row>
    <row r="15" spans="1:15" ht="15" customHeight="1">
      <c r="A15" s="2">
        <v>12</v>
      </c>
      <c r="B15" s="2">
        <v>82</v>
      </c>
      <c r="C15" s="2">
        <v>29</v>
      </c>
      <c r="D15" s="2">
        <v>19</v>
      </c>
      <c r="E15" s="2">
        <v>44</v>
      </c>
      <c r="F15" s="2">
        <v>23</v>
      </c>
      <c r="G15" s="2">
        <v>25.400000000000002</v>
      </c>
      <c r="J15" s="6" t="s">
        <v>35</v>
      </c>
      <c r="K15" s="6">
        <v>49</v>
      </c>
      <c r="L15" s="6" t="s">
        <v>36</v>
      </c>
      <c r="M15" s="6"/>
      <c r="N15" s="6"/>
      <c r="O15" s="6"/>
    </row>
    <row r="16" spans="1:15" ht="15" customHeight="1">
      <c r="A16" s="2">
        <v>13</v>
      </c>
      <c r="B16" s="2">
        <v>66</v>
      </c>
      <c r="C16" s="2">
        <v>17</v>
      </c>
      <c r="D16" s="2">
        <v>15</v>
      </c>
      <c r="E16" s="2">
        <v>45</v>
      </c>
      <c r="F16" s="2">
        <v>19</v>
      </c>
      <c r="G16" s="2">
        <v>24.777000000000001</v>
      </c>
    </row>
    <row r="17" spans="1:28" ht="15" customHeight="1">
      <c r="A17" s="2">
        <v>14</v>
      </c>
      <c r="B17" s="2">
        <v>109</v>
      </c>
      <c r="C17" s="2">
        <v>20</v>
      </c>
      <c r="D17" s="2">
        <v>23</v>
      </c>
      <c r="E17" s="2">
        <v>41</v>
      </c>
      <c r="F17" s="2">
        <v>22</v>
      </c>
      <c r="G17" s="2">
        <v>27.967000000000002</v>
      </c>
      <c r="J17" s="3"/>
      <c r="K17" s="7" t="s">
        <v>37</v>
      </c>
      <c r="L17" s="7" t="s">
        <v>18</v>
      </c>
      <c r="M17" s="7" t="s">
        <v>38</v>
      </c>
      <c r="N17" s="7" t="s">
        <v>39</v>
      </c>
      <c r="O17" s="7" t="s">
        <v>40</v>
      </c>
      <c r="P17" s="7" t="s">
        <v>41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6.5" customHeight="1">
      <c r="A18" s="2">
        <v>15</v>
      </c>
      <c r="B18" s="2">
        <v>105</v>
      </c>
      <c r="C18" s="2">
        <v>20</v>
      </c>
      <c r="D18" s="2">
        <v>22</v>
      </c>
      <c r="E18" s="2">
        <v>43</v>
      </c>
      <c r="F18" s="2">
        <v>22</v>
      </c>
      <c r="G18" s="2">
        <v>28.240000000000002</v>
      </c>
      <c r="J18" s="6" t="s">
        <v>42</v>
      </c>
      <c r="K18" s="9" t="s">
        <v>43</v>
      </c>
      <c r="L18" s="9" t="s">
        <v>44</v>
      </c>
      <c r="M18" s="9" t="s">
        <v>45</v>
      </c>
      <c r="N18" s="9" t="s">
        <v>46</v>
      </c>
      <c r="O18" s="9" t="s">
        <v>47</v>
      </c>
      <c r="P18" s="9" t="s">
        <v>48</v>
      </c>
      <c r="Q18" s="10"/>
    </row>
    <row r="19" spans="1:28" ht="16.5" customHeight="1">
      <c r="A19" s="2">
        <v>16</v>
      </c>
      <c r="B19" s="2">
        <v>113</v>
      </c>
      <c r="C19" s="2">
        <v>18</v>
      </c>
      <c r="D19" s="2">
        <v>21</v>
      </c>
      <c r="E19" s="2">
        <v>44</v>
      </c>
      <c r="F19" s="2">
        <v>21</v>
      </c>
      <c r="G19" s="2">
        <v>28.319000000000003</v>
      </c>
      <c r="J19" s="11" t="s">
        <v>2</v>
      </c>
      <c r="K19" s="12" t="s">
        <v>49</v>
      </c>
      <c r="L19" s="12" t="s">
        <v>50</v>
      </c>
      <c r="M19" s="12" t="s">
        <v>51</v>
      </c>
      <c r="N19" s="12" t="s">
        <v>52</v>
      </c>
      <c r="O19" s="12" t="s">
        <v>53</v>
      </c>
      <c r="P19" s="12" t="s">
        <v>54</v>
      </c>
      <c r="Q19" s="10"/>
    </row>
    <row r="20" spans="1:28" ht="16.5" customHeight="1">
      <c r="A20" s="2">
        <v>17</v>
      </c>
      <c r="B20" s="2">
        <v>68</v>
      </c>
      <c r="C20" s="2">
        <v>10</v>
      </c>
      <c r="D20" s="2">
        <v>15</v>
      </c>
      <c r="E20" s="2">
        <v>44</v>
      </c>
      <c r="F20" s="2">
        <v>19</v>
      </c>
      <c r="G20" s="2">
        <v>25.633000000000003</v>
      </c>
      <c r="J20" s="13" t="s">
        <v>3</v>
      </c>
      <c r="K20" s="14" t="s">
        <v>55</v>
      </c>
      <c r="L20" s="14" t="s">
        <v>56</v>
      </c>
      <c r="M20" s="14" t="s">
        <v>57</v>
      </c>
      <c r="N20" s="14" t="s">
        <v>58</v>
      </c>
      <c r="O20" s="14" t="s">
        <v>59</v>
      </c>
      <c r="P20" s="14" t="s">
        <v>60</v>
      </c>
      <c r="Q20" s="15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6.5" customHeight="1">
      <c r="A21" s="2">
        <v>18</v>
      </c>
      <c r="B21" s="2">
        <v>93</v>
      </c>
      <c r="C21" s="2">
        <v>18</v>
      </c>
      <c r="D21" s="2">
        <v>20</v>
      </c>
      <c r="E21" s="2">
        <v>39</v>
      </c>
      <c r="F21" s="2">
        <v>22</v>
      </c>
      <c r="G21" s="2">
        <v>27.166</v>
      </c>
      <c r="J21" s="13" t="s">
        <v>4</v>
      </c>
      <c r="K21" s="14" t="s">
        <v>61</v>
      </c>
      <c r="L21" s="14" t="s">
        <v>62</v>
      </c>
      <c r="M21" s="14" t="s">
        <v>63</v>
      </c>
      <c r="N21" s="14" t="s">
        <v>64</v>
      </c>
      <c r="O21" s="14" t="s">
        <v>65</v>
      </c>
      <c r="P21" s="14" t="s">
        <v>66</v>
      </c>
      <c r="Q21" s="15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16.5" customHeight="1">
      <c r="A22" s="2">
        <v>19</v>
      </c>
      <c r="B22" s="2">
        <v>112</v>
      </c>
      <c r="C22" s="2">
        <v>23</v>
      </c>
      <c r="D22" s="2">
        <v>21</v>
      </c>
      <c r="E22" s="2">
        <v>43</v>
      </c>
      <c r="F22" s="2">
        <v>21</v>
      </c>
      <c r="G22" s="2">
        <v>30.269000000000002</v>
      </c>
      <c r="J22" s="11" t="s">
        <v>5</v>
      </c>
      <c r="K22" s="9" t="s">
        <v>67</v>
      </c>
      <c r="L22" s="9" t="s">
        <v>68</v>
      </c>
      <c r="M22" s="9" t="s">
        <v>69</v>
      </c>
      <c r="N22" s="9" t="s">
        <v>70</v>
      </c>
      <c r="O22" s="9" t="s">
        <v>71</v>
      </c>
      <c r="P22" s="9" t="s">
        <v>72</v>
      </c>
      <c r="Q22" s="17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1:28" ht="16.5" customHeight="1">
      <c r="A23" s="2">
        <v>20</v>
      </c>
      <c r="B23" s="2">
        <v>124</v>
      </c>
      <c r="C23" s="2">
        <v>18</v>
      </c>
      <c r="D23" s="2">
        <v>22</v>
      </c>
      <c r="E23" s="2">
        <v>41</v>
      </c>
      <c r="F23" s="2">
        <v>20</v>
      </c>
      <c r="G23" s="2">
        <v>27.232000000000003</v>
      </c>
      <c r="J23" s="13" t="s">
        <v>6</v>
      </c>
      <c r="K23" s="14" t="s">
        <v>73</v>
      </c>
      <c r="L23" s="14" t="s">
        <v>74</v>
      </c>
      <c r="M23" s="14" t="s">
        <v>75</v>
      </c>
      <c r="N23" s="14" t="s">
        <v>76</v>
      </c>
      <c r="O23" s="14" t="s">
        <v>77</v>
      </c>
      <c r="P23" s="14" t="s">
        <v>78</v>
      </c>
      <c r="Q23" s="15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8" ht="14.25" customHeight="1">
      <c r="A24" s="2">
        <v>21</v>
      </c>
      <c r="B24" s="2">
        <v>116</v>
      </c>
      <c r="C24" s="2">
        <v>23</v>
      </c>
      <c r="D24" s="2">
        <v>22</v>
      </c>
      <c r="E24" s="2">
        <v>42</v>
      </c>
      <c r="F24" s="2">
        <v>20</v>
      </c>
      <c r="G24" s="2">
        <v>28.563000000000002</v>
      </c>
    </row>
    <row r="25" spans="1:28" ht="15" customHeight="1">
      <c r="A25" s="2">
        <v>22</v>
      </c>
      <c r="B25" s="2">
        <v>90</v>
      </c>
      <c r="C25" s="2">
        <v>12</v>
      </c>
      <c r="D25" s="2">
        <v>19</v>
      </c>
      <c r="E25" s="2">
        <v>44</v>
      </c>
      <c r="F25" s="2">
        <v>17</v>
      </c>
      <c r="G25" s="2">
        <v>27.537000000000003</v>
      </c>
      <c r="J25" s="38" t="s">
        <v>79</v>
      </c>
      <c r="K25" s="38"/>
      <c r="L25" s="38"/>
      <c r="M25" s="38"/>
      <c r="N25" s="38"/>
      <c r="O25" s="38"/>
      <c r="P25" s="38"/>
    </row>
    <row r="26" spans="1:28" ht="14.25" customHeight="1">
      <c r="A26" s="2">
        <v>23</v>
      </c>
      <c r="B26" s="2">
        <v>116</v>
      </c>
      <c r="C26" s="2">
        <v>22</v>
      </c>
      <c r="D26" s="2">
        <v>27</v>
      </c>
      <c r="E26" s="2">
        <v>39</v>
      </c>
      <c r="F26" s="2">
        <v>22</v>
      </c>
      <c r="G26" s="2">
        <v>27.994</v>
      </c>
      <c r="J26" s="20"/>
      <c r="K26" s="20" t="s">
        <v>2</v>
      </c>
      <c r="L26" s="20" t="s">
        <v>3</v>
      </c>
      <c r="M26" s="20" t="s">
        <v>4</v>
      </c>
      <c r="N26" s="20" t="s">
        <v>5</v>
      </c>
      <c r="O26" s="20" t="s">
        <v>6</v>
      </c>
      <c r="P26" s="20" t="s">
        <v>7</v>
      </c>
    </row>
    <row r="27" spans="1:28" ht="14.25" customHeight="1">
      <c r="A27" s="2">
        <v>24</v>
      </c>
      <c r="B27" s="2">
        <v>93</v>
      </c>
      <c r="C27" s="2">
        <v>18</v>
      </c>
      <c r="D27" s="2">
        <v>21</v>
      </c>
      <c r="E27" s="2">
        <v>43</v>
      </c>
      <c r="F27" s="2">
        <v>21</v>
      </c>
      <c r="G27" s="2">
        <v>25.981000000000002</v>
      </c>
      <c r="J27" t="s">
        <v>2</v>
      </c>
      <c r="K27" s="21">
        <v>1</v>
      </c>
      <c r="L27" s="21"/>
      <c r="M27" s="21"/>
      <c r="N27" s="21"/>
      <c r="O27" s="21"/>
      <c r="P27" s="21"/>
    </row>
    <row r="28" spans="1:28" ht="14.25" customHeight="1">
      <c r="A28" s="2">
        <v>25</v>
      </c>
      <c r="B28" s="2">
        <v>93</v>
      </c>
      <c r="C28" s="2">
        <v>12</v>
      </c>
      <c r="D28" s="2">
        <v>23</v>
      </c>
      <c r="E28" s="2">
        <v>42</v>
      </c>
      <c r="F28" s="2">
        <v>23</v>
      </c>
      <c r="G28" s="2">
        <v>25.135000000000002</v>
      </c>
      <c r="J28" t="s">
        <v>3</v>
      </c>
      <c r="K28" s="21">
        <v>-0.03</v>
      </c>
      <c r="L28" s="21">
        <v>1</v>
      </c>
      <c r="M28" s="21"/>
      <c r="N28" s="21"/>
      <c r="O28" s="21"/>
      <c r="P28" s="21"/>
    </row>
    <row r="29" spans="1:28" ht="14.25" customHeight="1">
      <c r="A29" s="2">
        <v>26</v>
      </c>
      <c r="B29" s="2">
        <v>125</v>
      </c>
      <c r="C29" s="2">
        <v>23</v>
      </c>
      <c r="D29" s="2">
        <v>20</v>
      </c>
      <c r="E29" s="2">
        <v>44</v>
      </c>
      <c r="F29" s="2">
        <v>21</v>
      </c>
      <c r="G29" s="2">
        <v>29.632000000000001</v>
      </c>
      <c r="J29" t="s">
        <v>4</v>
      </c>
      <c r="K29" s="21">
        <v>0.05</v>
      </c>
      <c r="L29" s="21">
        <v>0.14000000000000001</v>
      </c>
      <c r="M29" s="21">
        <v>1</v>
      </c>
      <c r="N29" s="21"/>
      <c r="O29" s="21"/>
      <c r="P29" s="21"/>
    </row>
    <row r="30" spans="1:28" ht="14.25" customHeight="1">
      <c r="A30" s="2">
        <v>27</v>
      </c>
      <c r="B30" s="2">
        <v>103</v>
      </c>
      <c r="C30" s="2">
        <v>28</v>
      </c>
      <c r="D30" s="2">
        <v>19</v>
      </c>
      <c r="E30" s="2">
        <v>41</v>
      </c>
      <c r="F30" s="2">
        <v>21</v>
      </c>
      <c r="G30" s="2">
        <v>25.365000000000002</v>
      </c>
      <c r="J30" t="s">
        <v>5</v>
      </c>
      <c r="K30" s="21">
        <v>0.04</v>
      </c>
      <c r="L30" s="21">
        <v>0.05</v>
      </c>
      <c r="M30" s="21">
        <v>0.04</v>
      </c>
      <c r="N30" s="21">
        <v>1</v>
      </c>
      <c r="O30" s="21"/>
      <c r="P30" s="21"/>
    </row>
    <row r="31" spans="1:28" ht="14.25" customHeight="1">
      <c r="A31" s="2">
        <v>28</v>
      </c>
      <c r="B31" s="2">
        <v>100</v>
      </c>
      <c r="C31" s="2">
        <v>16</v>
      </c>
      <c r="D31" s="2">
        <v>19</v>
      </c>
      <c r="E31" s="2">
        <v>41</v>
      </c>
      <c r="F31" s="2">
        <v>18</v>
      </c>
      <c r="G31" s="2">
        <v>25.978000000000002</v>
      </c>
      <c r="J31" t="s">
        <v>6</v>
      </c>
      <c r="K31" s="21">
        <v>-0.08</v>
      </c>
      <c r="L31" s="21">
        <v>0.13</v>
      </c>
      <c r="M31" s="21">
        <v>0.1</v>
      </c>
      <c r="N31" s="21">
        <v>-0.02</v>
      </c>
      <c r="O31" s="21">
        <v>1</v>
      </c>
      <c r="P31" s="21"/>
    </row>
    <row r="32" spans="1:28" ht="15" customHeight="1">
      <c r="A32" s="2">
        <v>29</v>
      </c>
      <c r="B32" s="2">
        <v>74</v>
      </c>
      <c r="C32" s="2">
        <v>15</v>
      </c>
      <c r="D32" s="2">
        <v>24</v>
      </c>
      <c r="E32" s="2">
        <v>40</v>
      </c>
      <c r="F32" s="2">
        <v>21</v>
      </c>
      <c r="G32" s="2">
        <v>24.093</v>
      </c>
      <c r="J32" s="22" t="s">
        <v>7</v>
      </c>
      <c r="K32" s="23">
        <v>0.61</v>
      </c>
      <c r="L32" s="23">
        <v>0.23</v>
      </c>
      <c r="M32" s="23">
        <v>0.16</v>
      </c>
      <c r="N32" s="23">
        <v>0.52</v>
      </c>
      <c r="O32" s="23">
        <v>0.13</v>
      </c>
      <c r="P32" s="23">
        <v>1</v>
      </c>
    </row>
    <row r="33" spans="1:12" ht="14.25" customHeight="1">
      <c r="A33" s="2">
        <v>30</v>
      </c>
      <c r="B33" s="2">
        <v>125</v>
      </c>
      <c r="C33" s="2">
        <v>27</v>
      </c>
      <c r="D33" s="2">
        <v>24</v>
      </c>
      <c r="E33" s="2">
        <v>40</v>
      </c>
      <c r="F33" s="2">
        <v>20</v>
      </c>
      <c r="G33" s="2">
        <v>29.036000000000001</v>
      </c>
    </row>
    <row r="34" spans="1:12" ht="14.25" customHeight="1">
      <c r="A34" s="2">
        <v>31</v>
      </c>
      <c r="B34" s="2">
        <v>76</v>
      </c>
      <c r="C34" s="2">
        <v>16</v>
      </c>
      <c r="D34" s="2">
        <v>22</v>
      </c>
      <c r="E34" s="2">
        <v>44</v>
      </c>
      <c r="F34" s="2">
        <v>20</v>
      </c>
      <c r="G34" s="2">
        <v>26.545000000000002</v>
      </c>
    </row>
    <row r="35" spans="1:12" ht="14.25" customHeight="1">
      <c r="A35" s="2">
        <v>32</v>
      </c>
      <c r="B35" s="2">
        <v>78</v>
      </c>
      <c r="C35" s="2">
        <v>21</v>
      </c>
      <c r="D35" s="2">
        <v>18</v>
      </c>
      <c r="E35" s="2">
        <v>42</v>
      </c>
      <c r="F35" s="2">
        <v>19</v>
      </c>
      <c r="G35" s="2">
        <v>26.455000000000002</v>
      </c>
    </row>
    <row r="36" spans="1:12" ht="14.25" customHeight="1">
      <c r="A36" s="2">
        <v>33</v>
      </c>
      <c r="B36" s="2">
        <v>88</v>
      </c>
      <c r="C36" s="2">
        <v>19</v>
      </c>
      <c r="D36" s="2">
        <v>22</v>
      </c>
      <c r="E36" s="2">
        <v>43</v>
      </c>
      <c r="F36" s="2">
        <v>17</v>
      </c>
      <c r="G36" s="2">
        <v>24.591000000000001</v>
      </c>
    </row>
    <row r="37" spans="1:12" ht="14.25" customHeight="1">
      <c r="A37" s="2">
        <v>34</v>
      </c>
      <c r="B37" s="2">
        <v>74</v>
      </c>
      <c r="C37" s="2">
        <v>10</v>
      </c>
      <c r="D37" s="2">
        <v>19</v>
      </c>
      <c r="E37" s="2">
        <v>44</v>
      </c>
      <c r="F37" s="2">
        <v>22</v>
      </c>
      <c r="G37" s="2">
        <v>26.381</v>
      </c>
      <c r="K37" t="s">
        <v>80</v>
      </c>
    </row>
    <row r="38" spans="1:12" ht="14.25" customHeight="1">
      <c r="A38" s="2">
        <v>35</v>
      </c>
      <c r="B38" s="2">
        <v>102</v>
      </c>
      <c r="C38" s="2">
        <v>33</v>
      </c>
      <c r="D38" s="2">
        <v>26</v>
      </c>
      <c r="E38" s="2">
        <v>43</v>
      </c>
      <c r="F38" s="2">
        <v>25</v>
      </c>
      <c r="G38" s="2">
        <v>28.034000000000002</v>
      </c>
    </row>
    <row r="39" spans="1:12" ht="14.25" customHeight="1">
      <c r="A39" s="2">
        <v>36</v>
      </c>
      <c r="B39" s="2">
        <v>90</v>
      </c>
      <c r="C39" s="2">
        <v>23</v>
      </c>
      <c r="D39" s="2">
        <v>19</v>
      </c>
      <c r="E39" s="2">
        <v>43</v>
      </c>
      <c r="F39" s="2">
        <v>19</v>
      </c>
      <c r="G39" s="2">
        <v>25.862000000000002</v>
      </c>
    </row>
    <row r="40" spans="1:12" ht="14.25" customHeight="1">
      <c r="A40" s="2">
        <v>37</v>
      </c>
      <c r="B40" s="2">
        <v>111</v>
      </c>
      <c r="C40" s="2">
        <v>25</v>
      </c>
      <c r="D40" s="2">
        <v>21</v>
      </c>
      <c r="E40" s="2">
        <v>44</v>
      </c>
      <c r="F40" s="2">
        <v>21</v>
      </c>
      <c r="G40" s="2">
        <v>28.659000000000002</v>
      </c>
    </row>
    <row r="41" spans="1:12" ht="14.25" customHeight="1">
      <c r="A41" s="2">
        <v>38</v>
      </c>
      <c r="B41" s="2">
        <v>73</v>
      </c>
      <c r="C41" s="2">
        <v>29</v>
      </c>
      <c r="D41" s="2">
        <v>17</v>
      </c>
      <c r="E41" s="2">
        <v>38</v>
      </c>
      <c r="F41" s="2">
        <v>21</v>
      </c>
      <c r="G41" s="2">
        <v>23.555</v>
      </c>
    </row>
    <row r="42" spans="1:12" ht="14.25" customHeight="1">
      <c r="A42" s="2">
        <v>39</v>
      </c>
      <c r="B42" s="2">
        <v>109</v>
      </c>
      <c r="C42" s="2">
        <v>22</v>
      </c>
      <c r="D42" s="2">
        <v>21</v>
      </c>
      <c r="E42" s="2">
        <v>45</v>
      </c>
      <c r="F42" s="2">
        <v>20</v>
      </c>
      <c r="G42" s="2">
        <v>28.746000000000002</v>
      </c>
    </row>
    <row r="43" spans="1:12" ht="14.25" customHeight="1">
      <c r="A43" s="2">
        <v>40</v>
      </c>
      <c r="B43" s="2">
        <v>127</v>
      </c>
      <c r="C43" s="2">
        <v>22</v>
      </c>
      <c r="D43" s="2">
        <v>24</v>
      </c>
      <c r="E43" s="2">
        <v>42</v>
      </c>
      <c r="F43" s="2">
        <v>23</v>
      </c>
      <c r="G43" s="2">
        <v>27.853000000000002</v>
      </c>
    </row>
    <row r="44" spans="1:12" ht="14.25" customHeight="1">
      <c r="A44" s="2">
        <v>41</v>
      </c>
      <c r="B44" s="2">
        <v>120</v>
      </c>
      <c r="C44" s="2">
        <v>21</v>
      </c>
      <c r="D44" s="2">
        <v>23</v>
      </c>
      <c r="E44" s="2">
        <v>40</v>
      </c>
      <c r="F44" s="2">
        <v>18</v>
      </c>
      <c r="G44" s="2">
        <v>29.256</v>
      </c>
      <c r="L44" s="24"/>
    </row>
    <row r="45" spans="1:12" ht="14.25" customHeight="1">
      <c r="A45" s="2">
        <v>42</v>
      </c>
      <c r="B45" s="2">
        <v>74</v>
      </c>
      <c r="C45" s="2">
        <v>16</v>
      </c>
      <c r="D45" s="2">
        <v>21</v>
      </c>
      <c r="E45" s="2">
        <v>42</v>
      </c>
      <c r="F45" s="2">
        <v>17</v>
      </c>
      <c r="G45" s="2">
        <v>24.827000000000002</v>
      </c>
    </row>
    <row r="46" spans="1:12" ht="14.25" customHeight="1">
      <c r="A46" s="2">
        <v>43</v>
      </c>
      <c r="B46" s="2">
        <v>128</v>
      </c>
      <c r="C46" s="2">
        <v>16</v>
      </c>
      <c r="D46" s="2">
        <v>28</v>
      </c>
      <c r="E46" s="2">
        <v>42</v>
      </c>
      <c r="F46" s="2">
        <v>20</v>
      </c>
      <c r="G46" s="2">
        <v>29.540000000000003</v>
      </c>
    </row>
    <row r="47" spans="1:12" ht="14.25" customHeight="1">
      <c r="A47" s="2">
        <v>44</v>
      </c>
      <c r="B47" s="2">
        <v>113</v>
      </c>
      <c r="C47" s="2">
        <v>18</v>
      </c>
      <c r="D47" s="2">
        <v>24</v>
      </c>
      <c r="E47" s="2">
        <v>40</v>
      </c>
      <c r="F47" s="2">
        <v>19</v>
      </c>
      <c r="G47" s="2">
        <v>27.933</v>
      </c>
    </row>
    <row r="48" spans="1:12" ht="14.25" customHeight="1">
      <c r="A48" s="2">
        <v>45</v>
      </c>
      <c r="B48" s="2">
        <v>118</v>
      </c>
      <c r="C48" s="2">
        <v>27</v>
      </c>
      <c r="D48" s="2">
        <v>21</v>
      </c>
      <c r="E48" s="2">
        <v>42</v>
      </c>
      <c r="F48" s="2">
        <v>19</v>
      </c>
      <c r="G48" s="2">
        <v>28.02</v>
      </c>
    </row>
    <row r="49" spans="1:7" ht="14.25" customHeight="1">
      <c r="A49" s="2">
        <v>46</v>
      </c>
      <c r="B49" s="2">
        <v>111</v>
      </c>
      <c r="C49" s="2">
        <v>10</v>
      </c>
      <c r="D49" s="2">
        <v>21</v>
      </c>
      <c r="E49" s="2">
        <v>40</v>
      </c>
      <c r="F49" s="2">
        <v>20</v>
      </c>
      <c r="G49" s="2">
        <v>26.307000000000002</v>
      </c>
    </row>
    <row r="50" spans="1:7" ht="14.25" customHeight="1">
      <c r="A50" s="2">
        <v>47</v>
      </c>
      <c r="B50" s="2">
        <v>67</v>
      </c>
      <c r="C50" s="2">
        <v>21</v>
      </c>
      <c r="D50" s="2">
        <v>22</v>
      </c>
      <c r="E50" s="2">
        <v>45</v>
      </c>
      <c r="F50" s="2">
        <v>18</v>
      </c>
      <c r="G50" s="2">
        <v>24.686</v>
      </c>
    </row>
    <row r="51" spans="1:7" ht="14.25" customHeight="1">
      <c r="A51" s="2">
        <v>48</v>
      </c>
      <c r="B51" s="2">
        <v>90</v>
      </c>
      <c r="C51" s="2">
        <v>21</v>
      </c>
      <c r="D51" s="2">
        <v>23</v>
      </c>
      <c r="E51" s="2">
        <v>40</v>
      </c>
      <c r="F51" s="2">
        <v>21</v>
      </c>
      <c r="G51" s="2">
        <v>26.565000000000001</v>
      </c>
    </row>
    <row r="52" spans="1:7" ht="14.25" customHeight="1">
      <c r="A52" s="2">
        <v>49</v>
      </c>
      <c r="B52" s="2">
        <v>83</v>
      </c>
      <c r="C52" s="2">
        <v>22</v>
      </c>
      <c r="D52" s="2">
        <v>21</v>
      </c>
      <c r="E52" s="2">
        <v>44</v>
      </c>
      <c r="F52" s="2">
        <v>21</v>
      </c>
      <c r="G52" s="2">
        <v>27.25</v>
      </c>
    </row>
    <row r="53" spans="1:7" ht="14.25" customHeight="1">
      <c r="A53" s="2">
        <v>50</v>
      </c>
      <c r="B53" s="2">
        <v>90</v>
      </c>
      <c r="C53" s="2">
        <v>7</v>
      </c>
      <c r="D53" s="2">
        <v>20</v>
      </c>
      <c r="E53" s="2">
        <v>43</v>
      </c>
      <c r="F53" s="2">
        <v>20</v>
      </c>
      <c r="G53" s="2">
        <v>27.702000000000002</v>
      </c>
    </row>
    <row r="54" spans="1:7" ht="14.25" customHeight="1">
      <c r="A54" s="2"/>
      <c r="B54" s="2"/>
      <c r="C54" s="2"/>
      <c r="D54" s="2"/>
      <c r="E54" s="2"/>
      <c r="F54" s="2"/>
      <c r="G54" s="2"/>
    </row>
    <row r="55" spans="1:7" ht="14.25" customHeight="1">
      <c r="A55" s="2"/>
      <c r="B55" s="2"/>
      <c r="C55" s="2"/>
      <c r="D55" s="2"/>
      <c r="E55" s="2"/>
      <c r="F55" s="2"/>
      <c r="G55" s="2"/>
    </row>
    <row r="56" spans="1:7" ht="14.25" customHeight="1">
      <c r="A56" s="2"/>
      <c r="B56" s="2"/>
      <c r="C56" s="2"/>
      <c r="D56" s="2"/>
      <c r="E56" s="2"/>
      <c r="F56" s="2"/>
      <c r="G56" s="2"/>
    </row>
    <row r="57" spans="1:7" ht="14.25" customHeight="1">
      <c r="A57" s="2"/>
      <c r="B57" s="2"/>
      <c r="C57" s="2"/>
      <c r="D57" s="2"/>
      <c r="E57" s="2"/>
      <c r="F57" s="2"/>
      <c r="G57" s="2"/>
    </row>
    <row r="58" spans="1:7" ht="14.25" customHeight="1">
      <c r="A58" s="2"/>
      <c r="B58" s="2"/>
      <c r="C58" s="2"/>
      <c r="D58" s="2"/>
      <c r="E58" s="2"/>
      <c r="F58" s="2"/>
      <c r="G58" s="2"/>
    </row>
    <row r="59" spans="1:7" ht="14.25" customHeight="1">
      <c r="A59" s="2"/>
      <c r="B59" s="2"/>
      <c r="C59" s="2"/>
      <c r="D59" s="2"/>
      <c r="E59" s="2"/>
      <c r="F59" s="2"/>
      <c r="G59" s="2"/>
    </row>
    <row r="60" spans="1:7" ht="14.25" customHeight="1">
      <c r="A60" s="2"/>
      <c r="B60" s="2"/>
      <c r="C60" s="2"/>
      <c r="D60" s="2"/>
      <c r="E60" s="2"/>
      <c r="F60" s="2"/>
      <c r="G60" s="2"/>
    </row>
    <row r="61" spans="1:7" ht="14.25" customHeight="1">
      <c r="A61" s="2"/>
      <c r="B61" s="2"/>
      <c r="C61" s="2"/>
      <c r="D61" s="2"/>
      <c r="E61" s="2"/>
      <c r="F61" s="2"/>
      <c r="G61" s="2"/>
    </row>
    <row r="62" spans="1:7" ht="14.25" customHeight="1">
      <c r="A62" s="2"/>
      <c r="B62" s="2"/>
      <c r="C62" s="2"/>
      <c r="D62" s="2"/>
      <c r="E62" s="2"/>
      <c r="F62" s="2"/>
      <c r="G62" s="2"/>
    </row>
    <row r="63" spans="1:7" ht="14.25" customHeight="1">
      <c r="A63" s="2"/>
      <c r="B63" s="2"/>
      <c r="C63" s="2"/>
      <c r="D63" s="2"/>
      <c r="E63" s="2"/>
      <c r="F63" s="2"/>
      <c r="G63" s="2"/>
    </row>
    <row r="64" spans="1:7" ht="14.25" customHeight="1">
      <c r="A64" s="2"/>
      <c r="B64" s="2"/>
      <c r="C64" s="2"/>
      <c r="D64" s="2"/>
      <c r="E64" s="2"/>
      <c r="F64" s="2"/>
      <c r="G64" s="2"/>
    </row>
    <row r="65" spans="1:7" ht="14.25" customHeight="1">
      <c r="A65" s="2"/>
      <c r="B65" s="2"/>
      <c r="C65" s="2"/>
      <c r="D65" s="2"/>
      <c r="E65" s="2"/>
      <c r="F65" s="2"/>
      <c r="G65" s="2"/>
    </row>
    <row r="66" spans="1:7" ht="14.25" customHeight="1">
      <c r="A66" s="2"/>
      <c r="B66" s="2"/>
      <c r="C66" s="2"/>
      <c r="D66" s="2"/>
      <c r="E66" s="2"/>
      <c r="F66" s="2"/>
      <c r="G66" s="2"/>
    </row>
    <row r="67" spans="1:7" ht="14.25" customHeight="1">
      <c r="A67" s="2"/>
      <c r="B67" s="2"/>
      <c r="C67" s="2"/>
      <c r="D67" s="2"/>
      <c r="E67" s="2"/>
      <c r="F67" s="2"/>
      <c r="G67" s="2"/>
    </row>
    <row r="68" spans="1:7" ht="14.25" customHeight="1">
      <c r="A68" s="2"/>
      <c r="B68" s="2"/>
      <c r="C68" s="2"/>
      <c r="D68" s="2"/>
      <c r="E68" s="2"/>
      <c r="F68" s="2"/>
      <c r="G68" s="2"/>
    </row>
    <row r="69" spans="1:7" ht="14.25" customHeight="1">
      <c r="A69" s="2"/>
      <c r="B69" s="2"/>
      <c r="C69" s="2"/>
      <c r="D69" s="2"/>
      <c r="E69" s="2"/>
      <c r="F69" s="2"/>
      <c r="G69" s="2"/>
    </row>
    <row r="70" spans="1:7" ht="14.25" customHeight="1">
      <c r="A70" s="2"/>
      <c r="B70" s="2"/>
      <c r="C70" s="2"/>
      <c r="D70" s="2"/>
      <c r="E70" s="2"/>
      <c r="F70" s="2"/>
      <c r="G70" s="2"/>
    </row>
    <row r="71" spans="1:7" ht="14.25" customHeight="1">
      <c r="A71" s="2"/>
      <c r="B71" s="2"/>
      <c r="C71" s="2"/>
      <c r="D71" s="2"/>
      <c r="E71" s="2"/>
      <c r="F71" s="2"/>
      <c r="G71" s="2"/>
    </row>
    <row r="72" spans="1:7" ht="14.25" customHeight="1">
      <c r="A72" s="2"/>
      <c r="B72" s="2"/>
      <c r="C72" s="2"/>
      <c r="D72" s="2"/>
      <c r="E72" s="2"/>
      <c r="F72" s="2"/>
      <c r="G72" s="2"/>
    </row>
    <row r="73" spans="1:7" ht="14.25" customHeight="1">
      <c r="A73" s="2"/>
      <c r="B73" s="2"/>
      <c r="C73" s="2"/>
      <c r="D73" s="2"/>
      <c r="E73" s="2"/>
      <c r="F73" s="2"/>
      <c r="G73" s="2"/>
    </row>
    <row r="74" spans="1:7" ht="14.25" customHeight="1">
      <c r="A74" s="2"/>
      <c r="B74" s="2"/>
      <c r="C74" s="2"/>
      <c r="D74" s="2"/>
      <c r="E74" s="2"/>
      <c r="F74" s="2"/>
      <c r="G74" s="2"/>
    </row>
    <row r="75" spans="1:7" ht="14.25" customHeight="1">
      <c r="A75" s="2"/>
      <c r="B75" s="2"/>
      <c r="C75" s="2"/>
      <c r="D75" s="2"/>
      <c r="E75" s="2"/>
      <c r="F75" s="2"/>
      <c r="G75" s="2"/>
    </row>
    <row r="76" spans="1:7" ht="14.25" customHeight="1">
      <c r="A76" s="2"/>
      <c r="B76" s="2"/>
      <c r="C76" s="2"/>
      <c r="D76" s="2"/>
      <c r="E76" s="2"/>
      <c r="F76" s="2"/>
      <c r="G76" s="2"/>
    </row>
    <row r="77" spans="1:7" ht="14.25" customHeight="1">
      <c r="A77" s="2"/>
      <c r="B77" s="2"/>
      <c r="C77" s="2"/>
      <c r="D77" s="2"/>
      <c r="E77" s="2"/>
      <c r="F77" s="2"/>
      <c r="G77" s="2"/>
    </row>
    <row r="78" spans="1:7" ht="14.25" customHeight="1">
      <c r="A78" s="2"/>
      <c r="B78" s="2"/>
      <c r="C78" s="2"/>
      <c r="D78" s="2"/>
      <c r="E78" s="2"/>
      <c r="F78" s="2"/>
      <c r="G78" s="2"/>
    </row>
  </sheetData>
  <mergeCells count="8">
    <mergeCell ref="J4:L4"/>
    <mergeCell ref="J11:K11"/>
    <mergeCell ref="J25:P25"/>
    <mergeCell ref="J7:K7"/>
    <mergeCell ref="J6:K6"/>
    <mergeCell ref="J5:K5"/>
    <mergeCell ref="J8:K8"/>
    <mergeCell ref="J9:K9"/>
  </mergeCells>
  <pageMargins left="0.7" right="0.7" top="0.75" bottom="0.75" header="0.3" footer="0.3"/>
  <pageSetup paperSize="9" orientation="portrait"/>
  <headerFooter>
    <oddHeader>&amp;L&amp;C&amp;R</oddHeader>
    <oddFooter>&amp;L&amp;C&amp;R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DB2E-0C38-42CD-A718-527298469F79}">
  <dimension ref="A1:AA77"/>
  <sheetViews>
    <sheetView topLeftCell="E1" zoomScale="132" workbookViewId="0">
      <selection activeCell="I5" sqref="I5:O21"/>
    </sheetView>
  </sheetViews>
  <sheetFormatPr baseColWidth="10" defaultColWidth="9.1640625" defaultRowHeight="14.5" customHeight="1"/>
  <cols>
    <col min="1" max="1" width="13.83203125" customWidth="1"/>
    <col min="9" max="9" width="18.5" customWidth="1"/>
    <col min="10" max="11" width="18.1640625" customWidth="1"/>
    <col min="12" max="12" width="18" customWidth="1"/>
    <col min="13" max="13" width="18.33203125" customWidth="1"/>
    <col min="14" max="14" width="18.1640625" customWidth="1"/>
    <col min="15" max="15" width="18.5" customWidth="1"/>
    <col min="16" max="16" width="18" customWidth="1"/>
    <col min="17" max="17" width="18.6640625" customWidth="1"/>
  </cols>
  <sheetData>
    <row r="1" spans="1:14" ht="14.25" customHeight="1">
      <c r="A1" s="1"/>
      <c r="B1" s="1" t="s">
        <v>0</v>
      </c>
      <c r="C1" s="1"/>
      <c r="D1" s="1"/>
      <c r="E1" s="25"/>
      <c r="F1" s="25"/>
    </row>
    <row r="2" spans="1:14" ht="14.25" customHeight="1">
      <c r="A2" s="2" t="s">
        <v>1</v>
      </c>
      <c r="B2" s="2" t="s">
        <v>2</v>
      </c>
      <c r="C2" s="2" t="s">
        <v>5</v>
      </c>
      <c r="D2" s="2" t="s">
        <v>7</v>
      </c>
    </row>
    <row r="3" spans="1:14" ht="15.75" customHeight="1">
      <c r="A3" s="2">
        <v>1</v>
      </c>
      <c r="B3" s="2">
        <v>120</v>
      </c>
      <c r="C3" s="2">
        <v>41</v>
      </c>
      <c r="D3" s="35">
        <v>27.506</v>
      </c>
      <c r="I3" t="s">
        <v>8</v>
      </c>
    </row>
    <row r="4" spans="1:14" ht="16.5" customHeight="1">
      <c r="A4" s="2">
        <v>2</v>
      </c>
      <c r="B4" s="2">
        <v>73</v>
      </c>
      <c r="C4" s="2">
        <v>41</v>
      </c>
      <c r="D4" s="35">
        <v>24.463999999999999</v>
      </c>
    </row>
    <row r="5" spans="1:14" ht="15.75" customHeight="1">
      <c r="A5" s="2">
        <v>3</v>
      </c>
      <c r="B5" s="2">
        <v>77</v>
      </c>
      <c r="C5" s="2">
        <v>41</v>
      </c>
      <c r="D5" s="35">
        <v>24.751999999999999</v>
      </c>
      <c r="I5" s="41" t="s">
        <v>11</v>
      </c>
      <c r="J5" s="41"/>
    </row>
    <row r="6" spans="1:14" ht="15.75" customHeight="1">
      <c r="A6" s="2">
        <v>4</v>
      </c>
      <c r="B6" s="2">
        <v>65</v>
      </c>
      <c r="C6" s="2">
        <v>40</v>
      </c>
      <c r="D6" s="35">
        <v>23.911999999999999</v>
      </c>
      <c r="I6" t="s">
        <v>12</v>
      </c>
      <c r="J6" t="s">
        <v>81</v>
      </c>
    </row>
    <row r="7" spans="1:14" ht="15.75" customHeight="1">
      <c r="A7" s="2">
        <v>5</v>
      </c>
      <c r="B7" s="2">
        <v>115</v>
      </c>
      <c r="C7" s="2">
        <v>45</v>
      </c>
      <c r="D7" s="35">
        <v>28.292000000000002</v>
      </c>
      <c r="I7" t="s">
        <v>14</v>
      </c>
      <c r="J7" s="27" t="s">
        <v>82</v>
      </c>
    </row>
    <row r="8" spans="1:14" ht="15.75" customHeight="1">
      <c r="A8" s="2">
        <v>6</v>
      </c>
      <c r="B8" s="2">
        <v>106</v>
      </c>
      <c r="C8" s="2">
        <v>43</v>
      </c>
      <c r="D8" s="35">
        <v>27.475999999999999</v>
      </c>
      <c r="I8" t="s">
        <v>16</v>
      </c>
      <c r="J8" s="27" t="s">
        <v>83</v>
      </c>
    </row>
    <row r="9" spans="1:14" ht="15.75" customHeight="1">
      <c r="A9" s="2">
        <v>7</v>
      </c>
      <c r="B9" s="2">
        <v>77</v>
      </c>
      <c r="C9" s="2">
        <v>43</v>
      </c>
      <c r="D9" s="35">
        <v>25.24</v>
      </c>
      <c r="I9" t="s">
        <v>18</v>
      </c>
      <c r="J9" t="s">
        <v>84</v>
      </c>
    </row>
    <row r="10" spans="1:14" ht="16.5" customHeight="1">
      <c r="A10" s="2">
        <v>8</v>
      </c>
      <c r="B10" s="2">
        <v>109</v>
      </c>
      <c r="C10" s="2">
        <v>42</v>
      </c>
      <c r="D10" s="35">
        <v>27.332000000000001</v>
      </c>
      <c r="I10" s="22" t="s">
        <v>20</v>
      </c>
      <c r="J10" s="28">
        <v>50</v>
      </c>
    </row>
    <row r="11" spans="1:14" ht="15.75" customHeight="1">
      <c r="A11" s="2">
        <v>9</v>
      </c>
      <c r="B11" s="2">
        <v>101</v>
      </c>
      <c r="C11" s="2">
        <v>40</v>
      </c>
      <c r="D11" s="35">
        <v>26.366</v>
      </c>
    </row>
    <row r="12" spans="1:14" ht="16.5" customHeight="1">
      <c r="A12" s="2">
        <v>10</v>
      </c>
      <c r="B12" s="2">
        <v>88</v>
      </c>
      <c r="C12" s="2">
        <v>43</v>
      </c>
      <c r="D12" s="35">
        <v>25.981999999999999</v>
      </c>
      <c r="I12" t="s">
        <v>21</v>
      </c>
    </row>
    <row r="13" spans="1:14" ht="16.5" customHeight="1">
      <c r="A13" s="2">
        <v>11</v>
      </c>
      <c r="B13" s="2">
        <v>117</v>
      </c>
      <c r="C13" s="2">
        <v>42</v>
      </c>
      <c r="D13" s="35">
        <v>27.866</v>
      </c>
      <c r="I13" s="3"/>
      <c r="J13" s="3" t="s">
        <v>22</v>
      </c>
      <c r="K13" s="3" t="s">
        <v>23</v>
      </c>
      <c r="L13" s="3" t="s">
        <v>24</v>
      </c>
      <c r="M13" s="3" t="s">
        <v>25</v>
      </c>
      <c r="N13" s="3" t="s">
        <v>26</v>
      </c>
    </row>
    <row r="14" spans="1:14" ht="16.5" customHeight="1">
      <c r="A14" s="2">
        <v>12</v>
      </c>
      <c r="B14" s="2">
        <v>82</v>
      </c>
      <c r="C14" s="2">
        <v>44</v>
      </c>
      <c r="D14" s="35">
        <v>26.23</v>
      </c>
      <c r="I14" s="6" t="s">
        <v>27</v>
      </c>
      <c r="J14" s="6">
        <v>2</v>
      </c>
      <c r="K14" s="6" t="s">
        <v>85</v>
      </c>
      <c r="L14" s="6" t="s">
        <v>86</v>
      </c>
      <c r="M14" s="6" t="s">
        <v>87</v>
      </c>
      <c r="N14" s="6" t="s">
        <v>88</v>
      </c>
    </row>
    <row r="15" spans="1:14" ht="16.5" customHeight="1">
      <c r="A15" s="2">
        <v>13</v>
      </c>
      <c r="B15" s="2">
        <v>66</v>
      </c>
      <c r="C15" s="2">
        <v>45</v>
      </c>
      <c r="D15" s="35">
        <v>25.071999999999999</v>
      </c>
      <c r="I15" s="6" t="s">
        <v>32</v>
      </c>
      <c r="J15" s="4">
        <v>47</v>
      </c>
      <c r="K15" s="5" t="s">
        <v>89</v>
      </c>
      <c r="L15" s="4" t="s">
        <v>90</v>
      </c>
      <c r="M15" s="6"/>
      <c r="N15" s="6"/>
    </row>
    <row r="16" spans="1:14" ht="16.5" customHeight="1">
      <c r="A16" s="2">
        <v>14</v>
      </c>
      <c r="B16" s="2">
        <v>109</v>
      </c>
      <c r="C16" s="2">
        <v>41</v>
      </c>
      <c r="D16" s="35">
        <v>27.085999999999999</v>
      </c>
      <c r="I16" s="6" t="s">
        <v>35</v>
      </c>
      <c r="J16" s="4">
        <v>49</v>
      </c>
      <c r="K16" s="6" t="s">
        <v>91</v>
      </c>
      <c r="L16" s="6"/>
      <c r="M16" s="6"/>
      <c r="N16" s="6"/>
    </row>
    <row r="17" spans="1:27" ht="16.5" customHeight="1">
      <c r="A17" s="2">
        <v>15</v>
      </c>
      <c r="B17" s="2">
        <v>105</v>
      </c>
      <c r="C17" s="2">
        <v>43</v>
      </c>
      <c r="D17" s="35">
        <v>27.404</v>
      </c>
    </row>
    <row r="18" spans="1:27" ht="15.75" customHeight="1">
      <c r="A18" s="2">
        <v>16</v>
      </c>
      <c r="B18" s="2">
        <v>113</v>
      </c>
      <c r="C18" s="2">
        <v>44</v>
      </c>
      <c r="D18" s="35">
        <v>28.29</v>
      </c>
      <c r="I18" s="20"/>
      <c r="J18" s="20" t="s">
        <v>37</v>
      </c>
      <c r="K18" s="20" t="s">
        <v>18</v>
      </c>
      <c r="L18" s="20" t="s">
        <v>38</v>
      </c>
      <c r="M18" s="20" t="s">
        <v>39</v>
      </c>
      <c r="N18" s="20" t="s">
        <v>40</v>
      </c>
      <c r="O18" s="20" t="s">
        <v>41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6.5" customHeight="1">
      <c r="A19" s="2">
        <v>17</v>
      </c>
      <c r="B19" s="2">
        <v>68</v>
      </c>
      <c r="C19" s="2">
        <v>44</v>
      </c>
      <c r="D19" s="35">
        <v>25.414000000000001</v>
      </c>
      <c r="I19" t="s">
        <v>42</v>
      </c>
      <c r="J19" s="29" t="s">
        <v>92</v>
      </c>
      <c r="K19" s="27" t="s">
        <v>93</v>
      </c>
      <c r="L19" t="s">
        <v>94</v>
      </c>
      <c r="M19" t="s">
        <v>95</v>
      </c>
      <c r="N19" t="s">
        <v>96</v>
      </c>
      <c r="O19" t="s">
        <v>97</v>
      </c>
    </row>
    <row r="20" spans="1:27" ht="15.75" customHeight="1">
      <c r="A20" s="2">
        <v>18</v>
      </c>
      <c r="B20" s="2">
        <v>93</v>
      </c>
      <c r="C20" s="2">
        <v>39</v>
      </c>
      <c r="D20" s="35">
        <v>26.3</v>
      </c>
      <c r="I20" t="s">
        <v>2</v>
      </c>
      <c r="J20" t="s">
        <v>98</v>
      </c>
      <c r="K20" t="s">
        <v>99</v>
      </c>
      <c r="L20" t="s">
        <v>100</v>
      </c>
      <c r="M20" t="s">
        <v>101</v>
      </c>
      <c r="N20" t="s">
        <v>102</v>
      </c>
      <c r="O20" t="s">
        <v>103</v>
      </c>
    </row>
    <row r="21" spans="1:27" ht="13.5" customHeight="1">
      <c r="A21" s="2">
        <v>19</v>
      </c>
      <c r="B21" s="2">
        <v>112</v>
      </c>
      <c r="C21" s="2">
        <v>43</v>
      </c>
      <c r="D21" s="35">
        <v>27.794</v>
      </c>
      <c r="I21" s="22" t="s">
        <v>5</v>
      </c>
      <c r="J21" s="22" t="s">
        <v>104</v>
      </c>
      <c r="K21" s="28" t="s">
        <v>105</v>
      </c>
      <c r="L21" s="22" t="s">
        <v>106</v>
      </c>
      <c r="M21" s="22" t="s">
        <v>107</v>
      </c>
      <c r="N21" s="22" t="s">
        <v>108</v>
      </c>
      <c r="O21" s="22" t="s">
        <v>109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5.75" customHeight="1">
      <c r="A22" s="2">
        <v>20</v>
      </c>
      <c r="B22" s="2">
        <v>124</v>
      </c>
      <c r="C22" s="2">
        <v>41</v>
      </c>
      <c r="D22" s="35">
        <v>27.885999999999999</v>
      </c>
    </row>
    <row r="23" spans="1:27" ht="15.75" customHeight="1">
      <c r="A23" s="2">
        <v>21</v>
      </c>
      <c r="B23" s="2">
        <v>116</v>
      </c>
      <c r="C23" s="2">
        <v>42</v>
      </c>
      <c r="D23" s="35">
        <v>27.794</v>
      </c>
    </row>
    <row r="24" spans="1:27" ht="15.75" customHeight="1">
      <c r="A24" s="2">
        <v>22</v>
      </c>
      <c r="B24" s="2">
        <v>90</v>
      </c>
      <c r="C24" s="2">
        <v>44</v>
      </c>
      <c r="D24" s="35">
        <v>26.716000000000001</v>
      </c>
    </row>
    <row r="25" spans="1:27" ht="15.75" customHeight="1">
      <c r="A25" s="2">
        <v>23</v>
      </c>
      <c r="B25" s="2">
        <v>116</v>
      </c>
      <c r="C25" s="2">
        <v>39</v>
      </c>
      <c r="D25" s="35">
        <v>27.074000000000002</v>
      </c>
      <c r="G25" s="40"/>
      <c r="H25" s="40"/>
      <c r="I25" s="40"/>
      <c r="J25" s="40"/>
      <c r="K25" s="40"/>
      <c r="L25" s="40"/>
      <c r="M25" s="40"/>
    </row>
    <row r="26" spans="1:27" ht="15.75" customHeight="1">
      <c r="A26" s="2">
        <v>24</v>
      </c>
      <c r="B26" s="2">
        <v>93</v>
      </c>
      <c r="C26" s="2">
        <v>43</v>
      </c>
      <c r="D26" s="35">
        <v>27.02</v>
      </c>
    </row>
    <row r="27" spans="1:27" ht="15.75" customHeight="1">
      <c r="A27" s="2">
        <v>25</v>
      </c>
      <c r="B27" s="2">
        <v>93</v>
      </c>
      <c r="C27" s="2">
        <v>42</v>
      </c>
      <c r="D27" s="35">
        <v>26.774000000000001</v>
      </c>
    </row>
    <row r="28" spans="1:27" ht="15.75" customHeight="1">
      <c r="A28" s="2">
        <v>26</v>
      </c>
      <c r="B28" s="2">
        <v>125</v>
      </c>
      <c r="C28" s="2">
        <v>44</v>
      </c>
      <c r="D28" s="35">
        <v>28.672000000000001</v>
      </c>
    </row>
    <row r="29" spans="1:27" ht="15.75" customHeight="1">
      <c r="A29" s="2">
        <v>27</v>
      </c>
      <c r="B29" s="2">
        <v>103</v>
      </c>
      <c r="C29" s="2">
        <v>41</v>
      </c>
      <c r="D29" s="35">
        <v>27.026</v>
      </c>
    </row>
    <row r="30" spans="1:27" ht="15.75" customHeight="1">
      <c r="A30" s="2">
        <v>28</v>
      </c>
      <c r="B30" s="2">
        <v>100</v>
      </c>
      <c r="C30" s="2">
        <v>41</v>
      </c>
      <c r="D30" s="35">
        <v>26.81</v>
      </c>
    </row>
    <row r="31" spans="1:27" ht="15.75" customHeight="1">
      <c r="A31" s="2">
        <v>29</v>
      </c>
      <c r="B31" s="2">
        <v>74</v>
      </c>
      <c r="C31" s="2">
        <v>40</v>
      </c>
      <c r="D31" s="35">
        <v>24.391999999999999</v>
      </c>
    </row>
    <row r="32" spans="1:27" ht="15.75" customHeight="1">
      <c r="A32" s="2">
        <v>30</v>
      </c>
      <c r="B32" s="2">
        <v>125</v>
      </c>
      <c r="C32" s="2">
        <v>40</v>
      </c>
      <c r="D32" s="35">
        <v>27.692</v>
      </c>
    </row>
    <row r="33" spans="1:4" ht="15.75" customHeight="1">
      <c r="A33" s="2">
        <v>31</v>
      </c>
      <c r="B33" s="2">
        <v>76</v>
      </c>
      <c r="C33" s="2">
        <v>44</v>
      </c>
      <c r="D33" s="35">
        <v>25.702000000000002</v>
      </c>
    </row>
    <row r="34" spans="1:4" ht="15.75" customHeight="1">
      <c r="A34" s="2">
        <v>32</v>
      </c>
      <c r="B34" s="2">
        <v>78</v>
      </c>
      <c r="C34" s="2">
        <v>42</v>
      </c>
      <c r="D34" s="35">
        <v>25.315999999999999</v>
      </c>
    </row>
    <row r="35" spans="1:4" ht="15.75" customHeight="1">
      <c r="A35" s="2">
        <v>33</v>
      </c>
      <c r="B35" s="2">
        <v>88</v>
      </c>
      <c r="C35" s="2">
        <v>43</v>
      </c>
      <c r="D35" s="35">
        <v>25.981999999999999</v>
      </c>
    </row>
    <row r="36" spans="1:4" ht="15.75" customHeight="1">
      <c r="A36" s="2">
        <v>34</v>
      </c>
      <c r="B36" s="2">
        <v>74</v>
      </c>
      <c r="C36" s="2">
        <v>44</v>
      </c>
      <c r="D36" s="35">
        <v>25.63</v>
      </c>
    </row>
    <row r="37" spans="1:4" ht="15.75" customHeight="1">
      <c r="A37" s="2">
        <v>35</v>
      </c>
      <c r="B37" s="2">
        <v>102</v>
      </c>
      <c r="C37" s="2">
        <v>43</v>
      </c>
      <c r="D37" s="35">
        <v>27.26</v>
      </c>
    </row>
    <row r="38" spans="1:4" ht="15.75" customHeight="1">
      <c r="A38" s="2">
        <v>36</v>
      </c>
      <c r="B38" s="2">
        <v>90</v>
      </c>
      <c r="C38" s="2">
        <v>43</v>
      </c>
      <c r="D38" s="35">
        <v>26.47</v>
      </c>
    </row>
    <row r="39" spans="1:4" ht="15.75" customHeight="1">
      <c r="A39" s="2">
        <v>37</v>
      </c>
      <c r="B39" s="2">
        <v>111</v>
      </c>
      <c r="C39" s="2">
        <v>44</v>
      </c>
      <c r="D39" s="35">
        <v>28.045999999999999</v>
      </c>
    </row>
    <row r="40" spans="1:4" ht="15.75" customHeight="1">
      <c r="A40" s="2">
        <v>38</v>
      </c>
      <c r="B40" s="2">
        <v>73</v>
      </c>
      <c r="C40" s="2">
        <v>38</v>
      </c>
      <c r="D40" s="35">
        <v>24.001999999999999</v>
      </c>
    </row>
    <row r="41" spans="1:4" ht="15.75" customHeight="1">
      <c r="A41" s="2">
        <v>39</v>
      </c>
      <c r="B41" s="2">
        <v>109</v>
      </c>
      <c r="C41" s="2">
        <v>45</v>
      </c>
      <c r="D41" s="35">
        <v>28.074000000000002</v>
      </c>
    </row>
    <row r="42" spans="1:4" ht="15.75" customHeight="1">
      <c r="A42" s="2">
        <v>40</v>
      </c>
      <c r="B42" s="2">
        <v>127</v>
      </c>
      <c r="C42" s="2">
        <v>42</v>
      </c>
      <c r="D42" s="35">
        <v>28.03</v>
      </c>
    </row>
    <row r="43" spans="1:4" ht="15.75" customHeight="1">
      <c r="A43" s="2">
        <v>41</v>
      </c>
      <c r="B43" s="2">
        <v>120</v>
      </c>
      <c r="C43" s="2">
        <v>40</v>
      </c>
      <c r="D43" s="35">
        <v>27.26</v>
      </c>
    </row>
    <row r="44" spans="1:4" ht="15.75" customHeight="1">
      <c r="A44" s="2">
        <v>42</v>
      </c>
      <c r="B44" s="2">
        <v>74</v>
      </c>
      <c r="C44" s="2">
        <v>42</v>
      </c>
      <c r="D44" s="35">
        <v>25.111999999999998</v>
      </c>
    </row>
    <row r="45" spans="1:4" ht="15.75" customHeight="1">
      <c r="A45" s="2">
        <v>43</v>
      </c>
      <c r="B45" s="2">
        <v>128</v>
      </c>
      <c r="C45" s="2">
        <v>42</v>
      </c>
      <c r="D45" s="35">
        <v>28.102</v>
      </c>
    </row>
    <row r="46" spans="1:4" ht="15.75" customHeight="1">
      <c r="A46" s="2">
        <v>44</v>
      </c>
      <c r="B46" s="2">
        <v>113</v>
      </c>
      <c r="C46" s="2">
        <v>40</v>
      </c>
      <c r="D46" s="35">
        <v>27.31</v>
      </c>
    </row>
    <row r="47" spans="1:4" ht="15.75" customHeight="1">
      <c r="A47" s="2">
        <v>45</v>
      </c>
      <c r="B47" s="2">
        <v>118</v>
      </c>
      <c r="C47" s="2">
        <v>42</v>
      </c>
      <c r="D47" s="35">
        <v>27.937999999999999</v>
      </c>
    </row>
    <row r="48" spans="1:4" ht="15.75" customHeight="1">
      <c r="A48" s="2">
        <v>46</v>
      </c>
      <c r="B48" s="2">
        <v>111</v>
      </c>
      <c r="C48" s="2">
        <v>40</v>
      </c>
      <c r="D48" s="35">
        <v>27.116</v>
      </c>
    </row>
    <row r="49" spans="1:4" ht="15.75" customHeight="1">
      <c r="A49" s="2">
        <v>47</v>
      </c>
      <c r="B49" s="2">
        <v>67</v>
      </c>
      <c r="C49" s="2">
        <v>45</v>
      </c>
      <c r="D49" s="35">
        <v>25.143999999999998</v>
      </c>
    </row>
    <row r="50" spans="1:4" ht="15.75" customHeight="1">
      <c r="A50" s="2">
        <v>48</v>
      </c>
      <c r="B50" s="2">
        <v>90</v>
      </c>
      <c r="C50" s="2">
        <v>40</v>
      </c>
      <c r="D50" s="35">
        <v>26</v>
      </c>
    </row>
    <row r="51" spans="1:4" ht="15.75" customHeight="1">
      <c r="A51" s="2">
        <v>49</v>
      </c>
      <c r="B51" s="2">
        <v>83</v>
      </c>
      <c r="C51" s="2">
        <v>44</v>
      </c>
      <c r="D51" s="35">
        <v>26.402000000000001</v>
      </c>
    </row>
    <row r="52" spans="1:4" ht="15.75" customHeight="1">
      <c r="A52" s="2">
        <v>50</v>
      </c>
      <c r="B52" s="2">
        <v>90</v>
      </c>
      <c r="C52" s="2">
        <v>43</v>
      </c>
      <c r="D52" s="35">
        <v>26.716000000000001</v>
      </c>
    </row>
    <row r="53" spans="1:4" ht="14.25" customHeight="1">
      <c r="A53" s="2"/>
      <c r="B53" s="2"/>
      <c r="C53" s="2"/>
      <c r="D53" s="26"/>
    </row>
    <row r="54" spans="1:4" ht="14.25" customHeight="1">
      <c r="A54" s="2"/>
      <c r="B54" s="2"/>
      <c r="C54" s="2"/>
      <c r="D54" s="26"/>
    </row>
    <row r="55" spans="1:4" ht="14.25" customHeight="1">
      <c r="A55" s="2"/>
      <c r="B55" s="2"/>
      <c r="C55" s="2"/>
      <c r="D55" s="26"/>
    </row>
    <row r="56" spans="1:4" ht="14.25" customHeight="1">
      <c r="A56" s="2"/>
      <c r="B56" s="2"/>
      <c r="C56" s="2"/>
      <c r="D56" s="26"/>
    </row>
    <row r="57" spans="1:4" ht="14.25" customHeight="1">
      <c r="A57" s="2"/>
      <c r="B57" s="2"/>
      <c r="C57" s="2"/>
      <c r="D57" s="26"/>
    </row>
    <row r="58" spans="1:4" ht="14.25" customHeight="1">
      <c r="A58" s="2"/>
      <c r="B58" s="2"/>
      <c r="C58" s="2"/>
      <c r="D58" s="26"/>
    </row>
    <row r="59" spans="1:4" ht="14.25" customHeight="1">
      <c r="A59" s="2"/>
      <c r="B59" s="2"/>
      <c r="C59" s="2"/>
      <c r="D59" s="26"/>
    </row>
    <row r="60" spans="1:4" ht="14.25" customHeight="1">
      <c r="A60" s="2"/>
      <c r="B60" s="2"/>
      <c r="C60" s="2"/>
      <c r="D60" s="26"/>
    </row>
    <row r="61" spans="1:4" ht="14.25" customHeight="1">
      <c r="A61" s="2"/>
      <c r="B61" s="2"/>
      <c r="C61" s="2"/>
      <c r="D61" s="26"/>
    </row>
    <row r="62" spans="1:4" ht="14.25" customHeight="1">
      <c r="A62" s="2"/>
      <c r="B62" s="2"/>
      <c r="C62" s="2"/>
      <c r="D62" s="26"/>
    </row>
    <row r="63" spans="1:4" ht="14.25" customHeight="1">
      <c r="A63" s="2"/>
      <c r="B63" s="2"/>
      <c r="C63" s="2"/>
      <c r="D63" s="26"/>
    </row>
    <row r="64" spans="1:4" ht="14.25" customHeight="1">
      <c r="A64" s="2"/>
      <c r="B64" s="2"/>
      <c r="C64" s="2"/>
      <c r="D64" s="26"/>
    </row>
    <row r="65" spans="1:4" ht="14.25" customHeight="1">
      <c r="A65" s="2"/>
      <c r="B65" s="2"/>
      <c r="C65" s="2"/>
      <c r="D65" s="26"/>
    </row>
    <row r="66" spans="1:4" ht="14.25" customHeight="1">
      <c r="A66" s="2"/>
      <c r="B66" s="2"/>
      <c r="C66" s="2"/>
      <c r="D66" s="26"/>
    </row>
    <row r="67" spans="1:4" ht="14.25" customHeight="1">
      <c r="A67" s="2"/>
      <c r="B67" s="2"/>
      <c r="C67" s="2"/>
      <c r="D67" s="26"/>
    </row>
    <row r="68" spans="1:4" ht="14.25" customHeight="1">
      <c r="A68" s="2"/>
      <c r="B68" s="2"/>
      <c r="C68" s="2"/>
      <c r="D68" s="26"/>
    </row>
    <row r="69" spans="1:4" ht="14.25" customHeight="1">
      <c r="A69" s="2"/>
      <c r="B69" s="2"/>
      <c r="C69" s="2"/>
      <c r="D69" s="26"/>
    </row>
    <row r="70" spans="1:4" ht="14.25" customHeight="1">
      <c r="A70" s="2"/>
      <c r="B70" s="2"/>
      <c r="C70" s="2"/>
      <c r="D70" s="26"/>
    </row>
    <row r="71" spans="1:4" ht="14.25" customHeight="1">
      <c r="A71" s="2"/>
      <c r="B71" s="2"/>
      <c r="C71" s="2"/>
      <c r="D71" s="26"/>
    </row>
    <row r="72" spans="1:4" ht="14.25" customHeight="1">
      <c r="A72" s="2"/>
      <c r="B72" s="2"/>
      <c r="C72" s="2"/>
      <c r="D72" s="26"/>
    </row>
    <row r="73" spans="1:4" ht="14.25" customHeight="1">
      <c r="A73" s="2"/>
      <c r="B73" s="2"/>
      <c r="C73" s="2"/>
      <c r="D73" s="26"/>
    </row>
    <row r="74" spans="1:4" ht="14.25" customHeight="1">
      <c r="A74" s="2"/>
      <c r="B74" s="2"/>
      <c r="C74" s="2"/>
      <c r="D74" s="26"/>
    </row>
    <row r="75" spans="1:4" ht="14.25" customHeight="1">
      <c r="A75" s="2"/>
      <c r="B75" s="2"/>
      <c r="C75" s="2"/>
      <c r="D75" s="26"/>
    </row>
    <row r="76" spans="1:4" ht="14.25" customHeight="1">
      <c r="A76" s="2"/>
      <c r="B76" s="2"/>
      <c r="C76" s="2"/>
      <c r="D76" s="26"/>
    </row>
    <row r="77" spans="1:4" ht="14.25" customHeight="1">
      <c r="A77" s="2"/>
      <c r="B77" s="2"/>
      <c r="C77" s="2"/>
      <c r="D77" s="26"/>
    </row>
  </sheetData>
  <mergeCells count="2">
    <mergeCell ref="G25:M25"/>
    <mergeCell ref="I5:J5"/>
  </mergeCells>
  <pageMargins left="0.7" right="0.7" top="0.75" bottom="0.75" header="0.3" footer="0.3"/>
  <pageSetup paperSize="9"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C278-3C08-5E68-5AC1-846BB948F568}">
  <dimension ref="A1:R95"/>
  <sheetViews>
    <sheetView tabSelected="1" topLeftCell="G72" zoomScale="217" workbookViewId="0">
      <selection activeCell="Q111" sqref="Q111"/>
    </sheetView>
  </sheetViews>
  <sheetFormatPr baseColWidth="10" defaultColWidth="8.83203125" defaultRowHeight="15" customHeight="1"/>
  <cols>
    <col min="1" max="1" width="49.5" customWidth="1"/>
    <col min="2" max="2" width="19.1640625" customWidth="1"/>
    <col min="3" max="3" width="17" customWidth="1"/>
    <col min="4" max="4" width="22.5" customWidth="1"/>
    <col min="5" max="5" width="17" customWidth="1"/>
    <col min="7" max="7" width="28" customWidth="1"/>
    <col min="8" max="8" width="10" customWidth="1"/>
    <col min="9" max="11" width="17" customWidth="1"/>
    <col min="15" max="15" width="13.83203125" customWidth="1"/>
  </cols>
  <sheetData>
    <row r="1" spans="1:18" ht="18.75" customHeight="1">
      <c r="A1" s="30" t="s">
        <v>110</v>
      </c>
    </row>
    <row r="2" spans="1:18" ht="15" customHeight="1">
      <c r="A2" t="s">
        <v>111</v>
      </c>
      <c r="O2" s="1"/>
      <c r="P2" s="1" t="s">
        <v>0</v>
      </c>
      <c r="Q2" s="1"/>
      <c r="R2" s="1"/>
    </row>
    <row r="3" spans="1:18" ht="15" customHeight="1">
      <c r="A3" t="s">
        <v>112</v>
      </c>
      <c r="O3" s="2" t="s">
        <v>1</v>
      </c>
      <c r="P3" s="2" t="s">
        <v>2</v>
      </c>
      <c r="Q3" s="2" t="s">
        <v>5</v>
      </c>
      <c r="R3" s="2" t="s">
        <v>7</v>
      </c>
    </row>
    <row r="4" spans="1:18" ht="15" customHeight="1">
      <c r="A4" t="s">
        <v>113</v>
      </c>
      <c r="B4" s="44">
        <v>50</v>
      </c>
      <c r="O4" s="2">
        <v>1</v>
      </c>
      <c r="P4" s="34">
        <v>120</v>
      </c>
      <c r="Q4" s="2">
        <v>41</v>
      </c>
      <c r="R4" s="35">
        <v>27.506</v>
      </c>
    </row>
    <row r="5" spans="1:18" ht="15" customHeight="1">
      <c r="A5" t="s">
        <v>114</v>
      </c>
      <c r="B5" s="44">
        <v>2.0106000000000002</v>
      </c>
      <c r="O5" s="2">
        <v>2</v>
      </c>
      <c r="P5" s="34">
        <v>73</v>
      </c>
      <c r="Q5" s="2">
        <v>41</v>
      </c>
      <c r="R5" s="35">
        <v>24.463999999999999</v>
      </c>
    </row>
    <row r="6" spans="1:18" ht="15" customHeight="1">
      <c r="A6" t="s">
        <v>111</v>
      </c>
      <c r="O6" s="2">
        <v>3</v>
      </c>
      <c r="P6" s="34">
        <v>77</v>
      </c>
      <c r="Q6" s="2">
        <v>41</v>
      </c>
      <c r="R6" s="35">
        <v>24.751999999999999</v>
      </c>
    </row>
    <row r="7" spans="1:18" ht="15" customHeight="1">
      <c r="A7" t="s">
        <v>115</v>
      </c>
      <c r="D7" t="s">
        <v>116</v>
      </c>
      <c r="O7" s="2">
        <v>4</v>
      </c>
      <c r="P7" s="34">
        <v>65</v>
      </c>
      <c r="Q7" s="2">
        <v>40</v>
      </c>
      <c r="R7" s="35">
        <v>23.911999999999999</v>
      </c>
    </row>
    <row r="8" spans="1:18" ht="15" customHeight="1">
      <c r="A8" t="s">
        <v>117</v>
      </c>
      <c r="B8">
        <f>INTERCEPT(R4:R53,P4:P53)</f>
        <v>20.82439255739428</v>
      </c>
      <c r="D8" t="s">
        <v>111</v>
      </c>
      <c r="O8" s="2">
        <v>5</v>
      </c>
      <c r="P8" s="34">
        <v>115</v>
      </c>
      <c r="Q8" s="2">
        <v>45</v>
      </c>
      <c r="R8" s="35">
        <v>28.292000000000002</v>
      </c>
    </row>
    <row r="9" spans="1:18" ht="15" customHeight="1">
      <c r="A9" t="s">
        <v>118</v>
      </c>
      <c r="B9">
        <f>SLOPE(Лист3!D3:D52,Лист3!B3:B52)</f>
        <v>5.9673236032455626E-2</v>
      </c>
      <c r="D9" t="s">
        <v>119</v>
      </c>
      <c r="O9" s="2">
        <v>6</v>
      </c>
      <c r="P9" s="34">
        <v>106</v>
      </c>
      <c r="Q9" s="2">
        <v>43</v>
      </c>
      <c r="R9" s="35">
        <v>27.475999999999999</v>
      </c>
    </row>
    <row r="10" spans="1:18" ht="15" customHeight="1">
      <c r="A10" t="s">
        <v>120</v>
      </c>
      <c r="B10">
        <f>STEYX(Лист3!D3:D52,Лист3!B3:B52)</f>
        <v>0.48338917684162569</v>
      </c>
      <c r="O10" s="2">
        <v>7</v>
      </c>
      <c r="P10" s="34">
        <v>77</v>
      </c>
      <c r="Q10" s="2">
        <v>43</v>
      </c>
      <c r="R10" s="35">
        <v>25.24</v>
      </c>
    </row>
    <row r="11" spans="1:18" ht="15" customHeight="1">
      <c r="A11" t="s">
        <v>121</v>
      </c>
      <c r="B11">
        <f>AVERAGE(Лист3!B3:B52)</f>
        <v>97.54</v>
      </c>
      <c r="O11" s="2">
        <v>8</v>
      </c>
      <c r="P11" s="34">
        <v>109</v>
      </c>
      <c r="Q11" s="2">
        <v>42</v>
      </c>
      <c r="R11" s="35">
        <v>27.332000000000001</v>
      </c>
    </row>
    <row r="12" spans="1:18" ht="15" customHeight="1">
      <c r="A12" t="s">
        <v>122</v>
      </c>
      <c r="B12">
        <f>DEVSQ(Лист3!B3:B52)</f>
        <v>17774.420000000006</v>
      </c>
      <c r="O12" s="2">
        <v>9</v>
      </c>
      <c r="P12" s="34">
        <v>101</v>
      </c>
      <c r="Q12" s="2">
        <v>40</v>
      </c>
      <c r="R12" s="35">
        <v>26.366</v>
      </c>
    </row>
    <row r="13" spans="1:18" ht="15" customHeight="1">
      <c r="A13" t="s">
        <v>111</v>
      </c>
      <c r="O13" s="2">
        <v>10</v>
      </c>
      <c r="P13" s="34">
        <v>88</v>
      </c>
      <c r="Q13" s="2">
        <v>43</v>
      </c>
      <c r="R13" s="35">
        <v>25.981999999999999</v>
      </c>
    </row>
    <row r="14" spans="1:18" ht="15" customHeight="1">
      <c r="A14" t="s">
        <v>123</v>
      </c>
      <c r="O14" s="2">
        <v>11</v>
      </c>
      <c r="P14" s="34">
        <v>117</v>
      </c>
      <c r="Q14" s="2">
        <v>42</v>
      </c>
      <c r="R14" s="35">
        <v>27.866</v>
      </c>
    </row>
    <row r="15" spans="1:18" ht="15" customHeight="1">
      <c r="A15" t="s">
        <v>124</v>
      </c>
      <c r="B15">
        <f>INTERCEPT(Лист3!D3:D52,Лист3!C3:C52)</f>
        <v>20.892856512141279</v>
      </c>
      <c r="O15" s="2">
        <v>12</v>
      </c>
      <c r="P15" s="34">
        <v>82</v>
      </c>
      <c r="Q15" s="2">
        <v>44</v>
      </c>
      <c r="R15" s="35">
        <v>26.23</v>
      </c>
    </row>
    <row r="16" spans="1:18" ht="15" customHeight="1">
      <c r="A16" t="s">
        <v>125</v>
      </c>
      <c r="B16">
        <f>SLOPE(Лист3!D3:D52,Лист3!C3:C52)</f>
        <v>0.13649889624724076</v>
      </c>
      <c r="O16" s="2">
        <v>13</v>
      </c>
      <c r="P16" s="34">
        <v>66</v>
      </c>
      <c r="Q16" s="2">
        <v>45</v>
      </c>
      <c r="R16" s="35">
        <v>25.071999999999999</v>
      </c>
    </row>
    <row r="17" spans="1:18" ht="15" customHeight="1">
      <c r="A17" t="s">
        <v>120</v>
      </c>
      <c r="B17">
        <f>STEYX(Лист3!D3:D52,Лист3!C3:C52)</f>
        <v>1.2216713018171426</v>
      </c>
      <c r="O17" s="2">
        <v>14</v>
      </c>
      <c r="P17" s="34">
        <v>109</v>
      </c>
      <c r="Q17" s="2">
        <v>41</v>
      </c>
      <c r="R17" s="35">
        <v>27.085999999999999</v>
      </c>
    </row>
    <row r="18" spans="1:18" ht="15" customHeight="1">
      <c r="A18" t="s">
        <v>121</v>
      </c>
      <c r="B18">
        <f>AVERAGE(Лист3!C3:C52)</f>
        <v>42.14</v>
      </c>
      <c r="O18" s="2">
        <v>15</v>
      </c>
      <c r="P18" s="34">
        <v>105</v>
      </c>
      <c r="Q18" s="2">
        <v>43</v>
      </c>
      <c r="R18" s="35">
        <v>27.404</v>
      </c>
    </row>
    <row r="19" spans="1:18" ht="15" customHeight="1">
      <c r="A19" t="s">
        <v>122</v>
      </c>
      <c r="B19">
        <f>DEVSQ(Лист3!C3:C52)</f>
        <v>154.0199999999999</v>
      </c>
      <c r="O19" s="2">
        <v>16</v>
      </c>
      <c r="P19" s="34">
        <v>113</v>
      </c>
      <c r="Q19" s="2">
        <v>44</v>
      </c>
      <c r="R19" s="35">
        <v>28.29</v>
      </c>
    </row>
    <row r="20" spans="1:18" ht="15" customHeight="1">
      <c r="O20" s="2">
        <v>17</v>
      </c>
      <c r="P20" s="34">
        <v>68</v>
      </c>
      <c r="Q20" s="2">
        <v>44</v>
      </c>
      <c r="R20" s="35">
        <v>25.414000000000001</v>
      </c>
    </row>
    <row r="21" spans="1:18" ht="15" customHeight="1">
      <c r="A21" t="s">
        <v>126</v>
      </c>
      <c r="G21" t="s">
        <v>127</v>
      </c>
      <c r="O21" s="2">
        <v>18</v>
      </c>
      <c r="P21" s="34">
        <v>93</v>
      </c>
      <c r="Q21" s="2">
        <v>39</v>
      </c>
      <c r="R21" s="35">
        <v>26.3</v>
      </c>
    </row>
    <row r="22" spans="1:18" ht="18.75" customHeight="1">
      <c r="A22" s="31" t="s">
        <v>128</v>
      </c>
      <c r="B22" s="31" t="s">
        <v>129</v>
      </c>
      <c r="C22" s="31" t="s">
        <v>130</v>
      </c>
      <c r="D22" s="31" t="s">
        <v>131</v>
      </c>
      <c r="E22" s="31" t="s">
        <v>132</v>
      </c>
      <c r="G22" s="31" t="s">
        <v>133</v>
      </c>
      <c r="H22" s="31" t="s">
        <v>129</v>
      </c>
      <c r="I22" s="31" t="s">
        <v>130</v>
      </c>
      <c r="J22" s="31" t="s">
        <v>131</v>
      </c>
      <c r="K22" s="31" t="s">
        <v>132</v>
      </c>
      <c r="O22" s="2">
        <v>19</v>
      </c>
      <c r="P22" s="34">
        <v>112</v>
      </c>
      <c r="Q22" s="2">
        <v>43</v>
      </c>
      <c r="R22" s="35">
        <v>27.794</v>
      </c>
    </row>
    <row r="23" spans="1:18" ht="15" customHeight="1">
      <c r="A23" s="42" cm="1">
        <f t="array" ref="A23">Лист3!B6</f>
        <v>65</v>
      </c>
      <c r="B23" s="42" cm="1">
        <f t="array" ref="B23">Лист3!D6</f>
        <v>23.911999999999999</v>
      </c>
      <c r="C23" s="42">
        <f>$B$8+$B$9*A23</f>
        <v>24.703152899503895</v>
      </c>
      <c r="D23" s="42">
        <f>C23-$B$5*$B$10*SQRT(1/$B$4+(A23-$B$11)^2/$B$12)</f>
        <v>24.428994350121037</v>
      </c>
      <c r="E23" s="42">
        <f>C23+$B$5*$B$10*SQRT(1/$B$4+(A23-$B$11)^2/$B$12)</f>
        <v>24.977311448886752</v>
      </c>
      <c r="G23" s="42" cm="1">
        <f t="array" ref="G23">Лист3!C40</f>
        <v>38</v>
      </c>
      <c r="H23" s="42" cm="1">
        <f t="array" ref="H23">Лист3!D40</f>
        <v>24.001999999999999</v>
      </c>
      <c r="I23" s="42">
        <f>$B$15+$B$16*G23</f>
        <v>26.079814569536428</v>
      </c>
      <c r="J23" s="42">
        <f>I23-$B$5*$B$17*SQRT(1/$B$4+(G23-$B$18)^2/$B$19)</f>
        <v>25.189830841462822</v>
      </c>
      <c r="K23" s="42">
        <f>I23+$B$5*$B$17*SQRT(1/$B$4+(G23-$B$18)^2/$B$19)</f>
        <v>26.969798297610033</v>
      </c>
      <c r="O23" s="2">
        <v>20</v>
      </c>
      <c r="P23" s="34">
        <v>124</v>
      </c>
      <c r="Q23" s="2">
        <v>41</v>
      </c>
      <c r="R23" s="35">
        <v>27.885999999999999</v>
      </c>
    </row>
    <row r="24" spans="1:18" ht="15" customHeight="1">
      <c r="A24" s="32" cm="1">
        <f t="array" ref="A24">Лист3!B15</f>
        <v>66</v>
      </c>
      <c r="B24" s="32" cm="1">
        <f t="array" ref="B24">Лист3!D15</f>
        <v>25.071999999999999</v>
      </c>
      <c r="C24" s="32">
        <f>$B$8+$B$9*A24</f>
        <v>24.762826135536351</v>
      </c>
      <c r="D24" s="32">
        <f>C24-$B$5*$B$10*SQRT(1/$B$4+(A24-$B$11)^2/$B$12)</f>
        <v>24.494950272902088</v>
      </c>
      <c r="E24" s="32">
        <f>C24+$B$5*$B$10*SQRT(1/$B$4+(A24-$B$11)^2/$B$12)</f>
        <v>25.030701998170613</v>
      </c>
      <c r="G24" s="32" cm="1">
        <f t="array" ref="G24">Лист3!C20</f>
        <v>39</v>
      </c>
      <c r="H24" s="32" cm="1">
        <f t="array" ref="H24">Лист3!D20</f>
        <v>26.3</v>
      </c>
      <c r="I24" s="32">
        <f>$B$15+$B$16*G24</f>
        <v>26.216313465783671</v>
      </c>
      <c r="J24" s="32">
        <f>I24-$B$5*$B$17*SQRT(1/$B$4+(G24-$B$18)^2/$B$19)</f>
        <v>25.504348491175509</v>
      </c>
      <c r="K24" s="32">
        <f>I24+$B$5*$B$17*SQRT(1/$B$4+(G24-$B$18)^2/$B$19)</f>
        <v>26.928278440391832</v>
      </c>
      <c r="O24" s="2">
        <v>21</v>
      </c>
      <c r="P24" s="34">
        <v>116</v>
      </c>
      <c r="Q24" s="2">
        <v>42</v>
      </c>
      <c r="R24" s="35">
        <v>27.794</v>
      </c>
    </row>
    <row r="25" spans="1:18" ht="15" customHeight="1">
      <c r="A25" s="32" cm="1">
        <f t="array" ref="A25">Лист3!B49</f>
        <v>67</v>
      </c>
      <c r="B25" s="32" cm="1">
        <f t="array" ref="B25">Лист3!D49</f>
        <v>25.143999999999998</v>
      </c>
      <c r="C25" s="32">
        <f>$B$8+$B$9*A25</f>
        <v>24.822499371568806</v>
      </c>
      <c r="D25" s="32">
        <f>C25-$B$5*$B$10*SQRT(1/$B$4+(A25-$B$11)^2/$B$12)</f>
        <v>24.560853939220355</v>
      </c>
      <c r="E25" s="32">
        <f>C25+$B$5*$B$10*SQRT(1/$B$4+(A25-$B$11)^2/$B$12)</f>
        <v>25.084144803917258</v>
      </c>
      <c r="G25" s="32" cm="1">
        <f t="array" ref="G25">Лист3!C25</f>
        <v>39</v>
      </c>
      <c r="H25" s="32" cm="1">
        <f t="array" ref="H25">Лист3!D25</f>
        <v>27.074000000000002</v>
      </c>
      <c r="I25" s="32">
        <f>$B$15+$B$16*G25</f>
        <v>26.216313465783671</v>
      </c>
      <c r="J25" s="32">
        <f>I25-$B$5*$B$17*SQRT(1/$B$4+(G25-$B$18)^2/$B$19)</f>
        <v>25.504348491175509</v>
      </c>
      <c r="K25" s="32">
        <f>I25+$B$5*$B$17*SQRT(1/$B$4+(G25-$B$18)^2/$B$19)</f>
        <v>26.928278440391832</v>
      </c>
      <c r="O25" s="2">
        <v>22</v>
      </c>
      <c r="P25" s="34">
        <v>90</v>
      </c>
      <c r="Q25" s="2">
        <v>44</v>
      </c>
      <c r="R25" s="35">
        <v>26.716000000000001</v>
      </c>
    </row>
    <row r="26" spans="1:18" ht="15" customHeight="1">
      <c r="A26" s="32" cm="1">
        <f t="array" ref="A26">Лист3!B19</f>
        <v>68</v>
      </c>
      <c r="B26" s="32" cm="1">
        <f t="array" ref="B26">Лист3!D19</f>
        <v>25.414000000000001</v>
      </c>
      <c r="C26" s="32">
        <f>$B$8+$B$9*A26</f>
        <v>24.882172607601262</v>
      </c>
      <c r="D26" s="32">
        <f>C26-$B$5*$B$10*SQRT(1/$B$4+(A26-$B$11)^2/$B$12)</f>
        <v>24.626701525754434</v>
      </c>
      <c r="E26" s="32">
        <f>C26+$B$5*$B$10*SQRT(1/$B$4+(A26-$B$11)^2/$B$12)</f>
        <v>25.13764368944809</v>
      </c>
      <c r="G26" s="32" cm="1">
        <f t="array" ref="G26">Лист3!C6</f>
        <v>40</v>
      </c>
      <c r="H26" s="32" cm="1">
        <f t="array" ref="H26">Лист3!D6</f>
        <v>23.911999999999999</v>
      </c>
      <c r="I26" s="32">
        <f>$B$15+$B$16*G26</f>
        <v>26.35281236203091</v>
      </c>
      <c r="J26" s="32">
        <f>I26-$B$5*$B$17*SQRT(1/$B$4+(G26-$B$18)^2/$B$19)</f>
        <v>25.805032735568346</v>
      </c>
      <c r="K26" s="32">
        <f>I26+$B$5*$B$17*SQRT(1/$B$4+(G26-$B$18)^2/$B$19)</f>
        <v>26.900591988493474</v>
      </c>
      <c r="O26" s="2">
        <v>23</v>
      </c>
      <c r="P26" s="34">
        <v>116</v>
      </c>
      <c r="Q26" s="2">
        <v>39</v>
      </c>
      <c r="R26" s="35">
        <v>27.074000000000002</v>
      </c>
    </row>
    <row r="27" spans="1:18" ht="15" customHeight="1">
      <c r="A27" s="32" cm="1">
        <f t="array" ref="A27">Лист3!B4</f>
        <v>73</v>
      </c>
      <c r="B27" s="32" cm="1">
        <f t="array" ref="B27">Лист3!D4</f>
        <v>24.463999999999999</v>
      </c>
      <c r="C27" s="32">
        <f>$B$8+$B$9*A27</f>
        <v>25.180538787763538</v>
      </c>
      <c r="D27" s="32">
        <f>C27-$B$5*$B$10*SQRT(1/$B$4+(A27-$B$11)^2/$B$12)</f>
        <v>24.954938512537179</v>
      </c>
      <c r="E27" s="32">
        <f>C27+$B$5*$B$10*SQRT(1/$B$4+(A27-$B$11)^2/$B$12)</f>
        <v>25.406139062989897</v>
      </c>
      <c r="G27" s="32" cm="1">
        <f t="array" ref="G27">Лист3!C11</f>
        <v>40</v>
      </c>
      <c r="H27" s="32" cm="1">
        <f t="array" ref="H27">Лист3!D11</f>
        <v>26.366</v>
      </c>
      <c r="I27" s="32">
        <f>$B$15+$B$16*G27</f>
        <v>26.35281236203091</v>
      </c>
      <c r="J27" s="32">
        <f>I27-$B$5*$B$17*SQRT(1/$B$4+(G27-$B$18)^2/$B$19)</f>
        <v>25.805032735568346</v>
      </c>
      <c r="K27" s="32">
        <f>I27+$B$5*$B$17*SQRT(1/$B$4+(G27-$B$18)^2/$B$19)</f>
        <v>26.900591988493474</v>
      </c>
      <c r="O27" s="2">
        <v>24</v>
      </c>
      <c r="P27" s="34">
        <v>93</v>
      </c>
      <c r="Q27" s="2">
        <v>43</v>
      </c>
      <c r="R27" s="35">
        <v>27.02</v>
      </c>
    </row>
    <row r="28" spans="1:18" ht="15" customHeight="1">
      <c r="A28" s="32" cm="1">
        <f t="array" ref="A28">Лист3!B40</f>
        <v>73</v>
      </c>
      <c r="B28" s="32" cm="1">
        <f t="array" ref="B28">Лист3!D40</f>
        <v>24.001999999999999</v>
      </c>
      <c r="C28" s="32">
        <f>$B$8+$B$9*A28</f>
        <v>25.180538787763538</v>
      </c>
      <c r="D28" s="32">
        <f>C28-$B$5*$B$10*SQRT(1/$B$4+(A28-$B$11)^2/$B$12)</f>
        <v>24.954938512537179</v>
      </c>
      <c r="E28" s="32">
        <f>C28+$B$5*$B$10*SQRT(1/$B$4+(A28-$B$11)^2/$B$12)</f>
        <v>25.406139062989897</v>
      </c>
      <c r="G28" s="32" cm="1">
        <f t="array" ref="G28">Лист3!C31</f>
        <v>40</v>
      </c>
      <c r="H28" s="32" cm="1">
        <f t="array" ref="H28">Лист3!D31</f>
        <v>24.391999999999999</v>
      </c>
      <c r="I28" s="32">
        <f>$B$15+$B$16*G28</f>
        <v>26.35281236203091</v>
      </c>
      <c r="J28" s="32">
        <f>I28-$B$5*$B$17*SQRT(1/$B$4+(G28-$B$18)^2/$B$19)</f>
        <v>25.805032735568346</v>
      </c>
      <c r="K28" s="32">
        <f>I28+$B$5*$B$17*SQRT(1/$B$4+(G28-$B$18)^2/$B$19)</f>
        <v>26.900591988493474</v>
      </c>
      <c r="O28" s="2">
        <v>25</v>
      </c>
      <c r="P28" s="34">
        <v>93</v>
      </c>
      <c r="Q28" s="2">
        <v>42</v>
      </c>
      <c r="R28" s="35">
        <v>26.774000000000001</v>
      </c>
    </row>
    <row r="29" spans="1:18" ht="15" customHeight="1">
      <c r="A29" s="32" cm="1">
        <f t="array" ref="A29">Лист3!B31</f>
        <v>74</v>
      </c>
      <c r="B29" s="32" cm="1">
        <f t="array" ref="B29">Лист3!D31</f>
        <v>24.391999999999999</v>
      </c>
      <c r="C29" s="32">
        <f>$B$8+$B$9*A29</f>
        <v>25.240212023795998</v>
      </c>
      <c r="D29" s="32">
        <f>C29-$B$5*$B$10*SQRT(1/$B$4+(A29-$B$11)^2/$B$12)</f>
        <v>25.020347640595997</v>
      </c>
      <c r="E29" s="32">
        <f>C29+$B$5*$B$10*SQRT(1/$B$4+(A29-$B$11)^2/$B$12)</f>
        <v>25.460076406995999</v>
      </c>
      <c r="G29" s="32" cm="1">
        <f t="array" ref="G29">Лист3!C32</f>
        <v>40</v>
      </c>
      <c r="H29" s="32" cm="1">
        <f t="array" ref="H29">Лист3!D32</f>
        <v>27.692</v>
      </c>
      <c r="I29" s="32">
        <f>$B$15+$B$16*G29</f>
        <v>26.35281236203091</v>
      </c>
      <c r="J29" s="32">
        <f>I29-$B$5*$B$17*SQRT(1/$B$4+(G29-$B$18)^2/$B$19)</f>
        <v>25.805032735568346</v>
      </c>
      <c r="K29" s="32">
        <f>I29+$B$5*$B$17*SQRT(1/$B$4+(G29-$B$18)^2/$B$19)</f>
        <v>26.900591988493474</v>
      </c>
      <c r="O29" s="2">
        <v>26</v>
      </c>
      <c r="P29" s="34">
        <v>125</v>
      </c>
      <c r="Q29" s="2">
        <v>44</v>
      </c>
      <c r="R29" s="35">
        <v>28.672000000000001</v>
      </c>
    </row>
    <row r="30" spans="1:18" ht="15" customHeight="1">
      <c r="A30" s="32" cm="1">
        <f t="array" ref="A30">Лист3!B36</f>
        <v>74</v>
      </c>
      <c r="B30" s="32" cm="1">
        <f t="array" ref="B30">Лист3!D36</f>
        <v>25.63</v>
      </c>
      <c r="C30" s="32">
        <f>$B$8+$B$9*A30</f>
        <v>25.240212023795998</v>
      </c>
      <c r="D30" s="32">
        <f>C30-$B$5*$B$10*SQRT(1/$B$4+(A30-$B$11)^2/$B$12)</f>
        <v>25.020347640595997</v>
      </c>
      <c r="E30" s="32">
        <f>C30+$B$5*$B$10*SQRT(1/$B$4+(A30-$B$11)^2/$B$12)</f>
        <v>25.460076406995999</v>
      </c>
      <c r="G30" s="32" cm="1">
        <f t="array" ref="G30">Лист3!C43</f>
        <v>40</v>
      </c>
      <c r="H30" s="32" cm="1">
        <f t="array" ref="H30">Лист3!D43</f>
        <v>27.26</v>
      </c>
      <c r="I30" s="32">
        <f>$B$15+$B$16*G30</f>
        <v>26.35281236203091</v>
      </c>
      <c r="J30" s="32">
        <f>I30-$B$5*$B$17*SQRT(1/$B$4+(G30-$B$18)^2/$B$19)</f>
        <v>25.805032735568346</v>
      </c>
      <c r="K30" s="32">
        <f>I30+$B$5*$B$17*SQRT(1/$B$4+(G30-$B$18)^2/$B$19)</f>
        <v>26.900591988493474</v>
      </c>
      <c r="O30" s="2">
        <v>27</v>
      </c>
      <c r="P30" s="34">
        <v>103</v>
      </c>
      <c r="Q30" s="2">
        <v>41</v>
      </c>
      <c r="R30" s="35">
        <v>27.026</v>
      </c>
    </row>
    <row r="31" spans="1:18" ht="15" customHeight="1">
      <c r="A31" s="32" cm="1">
        <f t="array" ref="A31">Лист3!B44</f>
        <v>74</v>
      </c>
      <c r="B31" s="32" cm="1">
        <f t="array" ref="B31">Лист3!D44</f>
        <v>25.111999999999998</v>
      </c>
      <c r="C31" s="32">
        <f>$B$8+$B$9*A31</f>
        <v>25.240212023795998</v>
      </c>
      <c r="D31" s="32">
        <f>C31-$B$5*$B$10*SQRT(1/$B$4+(A31-$B$11)^2/$B$12)</f>
        <v>25.020347640595997</v>
      </c>
      <c r="E31" s="32">
        <f>C31+$B$5*$B$10*SQRT(1/$B$4+(A31-$B$11)^2/$B$12)</f>
        <v>25.460076406995999</v>
      </c>
      <c r="G31" s="32" cm="1">
        <f t="array" ref="G31">Лист3!C46</f>
        <v>40</v>
      </c>
      <c r="H31" s="32" cm="1">
        <f t="array" ref="H31">Лист3!D46</f>
        <v>27.31</v>
      </c>
      <c r="I31" s="32">
        <f>$B$15+$B$16*G31</f>
        <v>26.35281236203091</v>
      </c>
      <c r="J31" s="32">
        <f>I31-$B$5*$B$17*SQRT(1/$B$4+(G31-$B$18)^2/$B$19)</f>
        <v>25.805032735568346</v>
      </c>
      <c r="K31" s="32">
        <f>I31+$B$5*$B$17*SQRT(1/$B$4+(G31-$B$18)^2/$B$19)</f>
        <v>26.900591988493474</v>
      </c>
      <c r="O31" s="2">
        <v>28</v>
      </c>
      <c r="P31" s="34">
        <v>100</v>
      </c>
      <c r="Q31" s="2">
        <v>41</v>
      </c>
      <c r="R31" s="35">
        <v>26.81</v>
      </c>
    </row>
    <row r="32" spans="1:18" ht="15" customHeight="1">
      <c r="A32" s="32" cm="1">
        <f t="array" ref="A32">Лист3!B33</f>
        <v>76</v>
      </c>
      <c r="B32" s="32" cm="1">
        <f t="array" ref="B32">Лист3!D33</f>
        <v>25.702000000000002</v>
      </c>
      <c r="C32" s="32">
        <f>$B$8+$B$9*A32</f>
        <v>25.359558495860906</v>
      </c>
      <c r="D32" s="32">
        <f>C32-$B$5*$B$10*SQRT(1/$B$4+(A32-$B$11)^2/$B$12)</f>
        <v>25.15087468396214</v>
      </c>
      <c r="E32" s="32">
        <f>C32+$B$5*$B$10*SQRT(1/$B$4+(A32-$B$11)^2/$B$12)</f>
        <v>25.568242307759672</v>
      </c>
      <c r="G32" s="32" cm="1">
        <f t="array" ref="G32">Лист3!C48</f>
        <v>40</v>
      </c>
      <c r="H32" s="32" cm="1">
        <f t="array" ref="H32">Лист3!D48</f>
        <v>27.116</v>
      </c>
      <c r="I32" s="32">
        <f>$B$15+$B$16*G32</f>
        <v>26.35281236203091</v>
      </c>
      <c r="J32" s="32">
        <f>I32-$B$5*$B$17*SQRT(1/$B$4+(G32-$B$18)^2/$B$19)</f>
        <v>25.805032735568346</v>
      </c>
      <c r="K32" s="32">
        <f>I32+$B$5*$B$17*SQRT(1/$B$4+(G32-$B$18)^2/$B$19)</f>
        <v>26.900591988493474</v>
      </c>
      <c r="O32" s="2">
        <v>29</v>
      </c>
      <c r="P32" s="34">
        <v>74</v>
      </c>
      <c r="Q32" s="2">
        <v>40</v>
      </c>
      <c r="R32" s="35">
        <v>24.391999999999999</v>
      </c>
    </row>
    <row r="33" spans="1:18" ht="15" customHeight="1">
      <c r="A33" s="32" cm="1">
        <f t="array" ref="A33">Лист3!B5</f>
        <v>77</v>
      </c>
      <c r="B33" s="32" cm="1">
        <f t="array" ref="B33">Лист3!D5</f>
        <v>24.751999999999999</v>
      </c>
      <c r="C33" s="32">
        <f>$B$8+$B$9*A33</f>
        <v>25.419231731893362</v>
      </c>
      <c r="D33" s="32">
        <f>C33-$B$5*$B$10*SQRT(1/$B$4+(A33-$B$11)^2/$B$12)</f>
        <v>25.215976579733393</v>
      </c>
      <c r="E33" s="32">
        <f>C33+$B$5*$B$10*SQRT(1/$B$4+(A33-$B$11)^2/$B$12)</f>
        <v>25.62248688405333</v>
      </c>
      <c r="G33" s="32" cm="1">
        <f t="array" ref="G33">Лист3!C50</f>
        <v>40</v>
      </c>
      <c r="H33" s="32" cm="1">
        <f t="array" ref="H33">Лист3!D50</f>
        <v>26</v>
      </c>
      <c r="I33" s="32">
        <f>$B$15+$B$16*G33</f>
        <v>26.35281236203091</v>
      </c>
      <c r="J33" s="32">
        <f>I33-$B$5*$B$17*SQRT(1/$B$4+(G33-$B$18)^2/$B$19)</f>
        <v>25.805032735568346</v>
      </c>
      <c r="K33" s="32">
        <f>I33+$B$5*$B$17*SQRT(1/$B$4+(G33-$B$18)^2/$B$19)</f>
        <v>26.900591988493474</v>
      </c>
      <c r="O33" s="2">
        <v>30</v>
      </c>
      <c r="P33" s="34">
        <v>125</v>
      </c>
      <c r="Q33" s="2">
        <v>40</v>
      </c>
      <c r="R33" s="35">
        <v>27.692</v>
      </c>
    </row>
    <row r="34" spans="1:18" ht="15" customHeight="1">
      <c r="A34" s="32" cm="1">
        <f t="array" ref="A34">Лист3!B9</f>
        <v>77</v>
      </c>
      <c r="B34" s="32" cm="1">
        <f t="array" ref="B34">Лист3!D9</f>
        <v>25.24</v>
      </c>
      <c r="C34" s="32">
        <f>$B$8+$B$9*A34</f>
        <v>25.419231731893362</v>
      </c>
      <c r="D34" s="32">
        <f>C34-$B$5*$B$10*SQRT(1/$B$4+(A34-$B$11)^2/$B$12)</f>
        <v>25.215976579733393</v>
      </c>
      <c r="E34" s="32">
        <f>C34+$B$5*$B$10*SQRT(1/$B$4+(A34-$B$11)^2/$B$12)</f>
        <v>25.62248688405333</v>
      </c>
      <c r="G34" s="43" cm="1">
        <f t="array" ref="G34">Лист3!C3</f>
        <v>41</v>
      </c>
      <c r="H34" s="43" cm="1">
        <f t="array" ref="H34">Лист3!D3</f>
        <v>27.506</v>
      </c>
      <c r="I34" s="43">
        <f>$B$15+$B$16*G34</f>
        <v>26.48931125827815</v>
      </c>
      <c r="J34" s="43">
        <f>I34-$B$5*$B$17*SQRT(1/$B$4+(G34-$B$18)^2/$B$19)</f>
        <v>26.075093660231197</v>
      </c>
      <c r="K34" s="43">
        <f>I34+$B$5*$B$17*SQRT(1/$B$4+(G34-$B$18)^2/$B$19)</f>
        <v>26.903528856325103</v>
      </c>
      <c r="O34" s="2">
        <v>31</v>
      </c>
      <c r="P34" s="34">
        <v>76</v>
      </c>
      <c r="Q34" s="2">
        <v>44</v>
      </c>
      <c r="R34" s="35">
        <v>25.702000000000002</v>
      </c>
    </row>
    <row r="35" spans="1:18" ht="15" customHeight="1">
      <c r="A35" s="32" cm="1">
        <f t="array" ref="A35">Лист3!B34</f>
        <v>78</v>
      </c>
      <c r="B35" s="32" cm="1">
        <f t="array" ref="B35">Лист3!D34</f>
        <v>25.315999999999999</v>
      </c>
      <c r="C35" s="32">
        <f>$B$8+$B$9*A35</f>
        <v>25.478904967925818</v>
      </c>
      <c r="D35" s="32">
        <f>C35-$B$5*$B$10*SQRT(1/$B$4+(A35-$B$11)^2/$B$12)</f>
        <v>25.280958845672902</v>
      </c>
      <c r="E35" s="32">
        <f>C35+$B$5*$B$10*SQRT(1/$B$4+(A35-$B$11)^2/$B$12)</f>
        <v>25.676851090178733</v>
      </c>
      <c r="G35" s="32" cm="1">
        <f t="array" ref="G35">Лист3!C4</f>
        <v>41</v>
      </c>
      <c r="H35" s="32" cm="1">
        <f t="array" ref="H35">Лист3!D4</f>
        <v>24.463999999999999</v>
      </c>
      <c r="I35" s="32">
        <f>$B$15+$B$16*G35</f>
        <v>26.48931125827815</v>
      </c>
      <c r="J35" s="32">
        <f>I35-$B$5*$B$17*SQRT(1/$B$4+(G35-$B$18)^2/$B$19)</f>
        <v>26.075093660231197</v>
      </c>
      <c r="K35" s="32">
        <f>I35+$B$5*$B$17*SQRT(1/$B$4+(G35-$B$18)^2/$B$19)</f>
        <v>26.903528856325103</v>
      </c>
      <c r="O35" s="2">
        <v>32</v>
      </c>
      <c r="P35" s="34">
        <v>78</v>
      </c>
      <c r="Q35" s="2">
        <v>42</v>
      </c>
      <c r="R35" s="35">
        <v>25.315999999999999</v>
      </c>
    </row>
    <row r="36" spans="1:18" ht="15" customHeight="1">
      <c r="A36" s="32" cm="1">
        <f t="array" ref="A36">Лист3!B14</f>
        <v>82</v>
      </c>
      <c r="B36" s="32" cm="1">
        <f t="array" ref="B36">Лист3!D14</f>
        <v>26.23</v>
      </c>
      <c r="C36" s="32">
        <f>$B$8+$B$9*A36</f>
        <v>25.717597912055641</v>
      </c>
      <c r="D36" s="32">
        <f>C36-$B$5*$B$10*SQRT(1/$B$4+(A36-$B$11)^2/$B$12)</f>
        <v>25.539481157928588</v>
      </c>
      <c r="E36" s="32">
        <f>C36+$B$5*$B$10*SQRT(1/$B$4+(A36-$B$11)^2/$B$12)</f>
        <v>25.895714666182695</v>
      </c>
      <c r="G36" s="32" cm="1">
        <f t="array" ref="G36">Лист3!C5</f>
        <v>41</v>
      </c>
      <c r="H36" s="32" cm="1">
        <f t="array" ref="H36">Лист3!D5</f>
        <v>24.751999999999999</v>
      </c>
      <c r="I36" s="32">
        <f>$B$15+$B$16*G36</f>
        <v>26.48931125827815</v>
      </c>
      <c r="J36" s="32">
        <f>I36-$B$5*$B$17*SQRT(1/$B$4+(G36-$B$18)^2/$B$19)</f>
        <v>26.075093660231197</v>
      </c>
      <c r="K36" s="32">
        <f>I36+$B$5*$B$17*SQRT(1/$B$4+(G36-$B$18)^2/$B$19)</f>
        <v>26.903528856325103</v>
      </c>
      <c r="O36" s="2">
        <v>33</v>
      </c>
      <c r="P36" s="34">
        <v>88</v>
      </c>
      <c r="Q36" s="2">
        <v>43</v>
      </c>
      <c r="R36" s="35">
        <v>25.981999999999999</v>
      </c>
    </row>
    <row r="37" spans="1:18" ht="15" customHeight="1">
      <c r="A37" s="32" cm="1">
        <f t="array" ref="A37">Лист3!B51</f>
        <v>83</v>
      </c>
      <c r="B37" s="32" cm="1">
        <f t="array" ref="B37">Лист3!D51</f>
        <v>26.402000000000001</v>
      </c>
      <c r="C37" s="32">
        <f>$B$8+$B$9*A37</f>
        <v>25.777271148088097</v>
      </c>
      <c r="D37" s="32">
        <f>C37-$B$5*$B$10*SQRT(1/$B$4+(A37-$B$11)^2/$B$12)</f>
        <v>25.603699770671604</v>
      </c>
      <c r="E37" s="32">
        <f>C37+$B$5*$B$10*SQRT(1/$B$4+(A37-$B$11)^2/$B$12)</f>
        <v>25.950842525504591</v>
      </c>
      <c r="G37" s="32" cm="1">
        <f t="array" ref="G37">Лист3!C16</f>
        <v>41</v>
      </c>
      <c r="H37" s="32" cm="1">
        <f t="array" ref="H37">Лист3!D16</f>
        <v>27.085999999999999</v>
      </c>
      <c r="I37" s="32">
        <f>$B$15+$B$16*G37</f>
        <v>26.48931125827815</v>
      </c>
      <c r="J37" s="32">
        <f>I37-$B$5*$B$17*SQRT(1/$B$4+(G37-$B$18)^2/$B$19)</f>
        <v>26.075093660231197</v>
      </c>
      <c r="K37" s="32">
        <f>I37+$B$5*$B$17*SQRT(1/$B$4+(G37-$B$18)^2/$B$19)</f>
        <v>26.903528856325103</v>
      </c>
      <c r="O37" s="2">
        <v>34</v>
      </c>
      <c r="P37" s="34">
        <v>74</v>
      </c>
      <c r="Q37" s="2">
        <v>44</v>
      </c>
      <c r="R37" s="35">
        <v>25.63</v>
      </c>
    </row>
    <row r="38" spans="1:18" ht="15" customHeight="1">
      <c r="A38" s="32" cm="1">
        <f t="array" ref="A38">Лист3!B12</f>
        <v>88</v>
      </c>
      <c r="B38" s="32" cm="1">
        <f t="array" ref="B38">Лист3!D12</f>
        <v>25.981999999999999</v>
      </c>
      <c r="C38" s="32">
        <f>$B$8+$B$9*A38</f>
        <v>26.075637328250373</v>
      </c>
      <c r="D38" s="32">
        <f>C38-$B$5*$B$10*SQRT(1/$B$4+(A38-$B$11)^2/$B$12)</f>
        <v>25.92159658230279</v>
      </c>
      <c r="E38" s="32">
        <f>C38+$B$5*$B$10*SQRT(1/$B$4+(A38-$B$11)^2/$B$12)</f>
        <v>26.229678074197956</v>
      </c>
      <c r="G38" s="32" cm="1">
        <f t="array" ref="G38">Лист3!C22</f>
        <v>41</v>
      </c>
      <c r="H38" s="32" cm="1">
        <f t="array" ref="H38">Лист3!D22</f>
        <v>27.885999999999999</v>
      </c>
      <c r="I38" s="32">
        <f>$B$15+$B$16*G38</f>
        <v>26.48931125827815</v>
      </c>
      <c r="J38" s="32">
        <f>I38-$B$5*$B$17*SQRT(1/$B$4+(G38-$B$18)^2/$B$19)</f>
        <v>26.075093660231197</v>
      </c>
      <c r="K38" s="32">
        <f>I38+$B$5*$B$17*SQRT(1/$B$4+(G38-$B$18)^2/$B$19)</f>
        <v>26.903528856325103</v>
      </c>
      <c r="O38" s="2">
        <v>35</v>
      </c>
      <c r="P38" s="34">
        <v>102</v>
      </c>
      <c r="Q38" s="2">
        <v>43</v>
      </c>
      <c r="R38" s="35">
        <v>27.26</v>
      </c>
    </row>
    <row r="39" spans="1:18" ht="15" customHeight="1">
      <c r="A39" s="32" cm="1">
        <f t="array" ref="A39">Лист3!B35</f>
        <v>88</v>
      </c>
      <c r="B39" s="32" cm="1">
        <f t="array" ref="B39">Лист3!D35</f>
        <v>25.981999999999999</v>
      </c>
      <c r="C39" s="32">
        <f>$B$8+$B$9*A39</f>
        <v>26.075637328250373</v>
      </c>
      <c r="D39" s="32">
        <f>C39-$B$5*$B$10*SQRT(1/$B$4+(A39-$B$11)^2/$B$12)</f>
        <v>25.92159658230279</v>
      </c>
      <c r="E39" s="32">
        <f>C39+$B$5*$B$10*SQRT(1/$B$4+(A39-$B$11)^2/$B$12)</f>
        <v>26.229678074197956</v>
      </c>
      <c r="G39" s="32" cm="1">
        <f t="array" ref="G39">Лист3!C29</f>
        <v>41</v>
      </c>
      <c r="H39" s="32" cm="1">
        <f t="array" ref="H39">Лист3!D29</f>
        <v>27.026</v>
      </c>
      <c r="I39" s="32">
        <f>$B$15+$B$16*G39</f>
        <v>26.48931125827815</v>
      </c>
      <c r="J39" s="32">
        <f>I39-$B$5*$B$17*SQRT(1/$B$4+(G39-$B$18)^2/$B$19)</f>
        <v>26.075093660231197</v>
      </c>
      <c r="K39" s="32">
        <f>I39+$B$5*$B$17*SQRT(1/$B$4+(G39-$B$18)^2/$B$19)</f>
        <v>26.903528856325103</v>
      </c>
      <c r="O39" s="2">
        <v>36</v>
      </c>
      <c r="P39" s="34">
        <v>90</v>
      </c>
      <c r="Q39" s="2">
        <v>43</v>
      </c>
      <c r="R39" s="35">
        <v>26.47</v>
      </c>
    </row>
    <row r="40" spans="1:18" ht="15" customHeight="1">
      <c r="A40" s="32" cm="1">
        <f t="array" ref="A40">Лист3!B24</f>
        <v>90</v>
      </c>
      <c r="B40" s="32" cm="1">
        <f t="array" ref="B40">Лист3!D24</f>
        <v>26.716000000000001</v>
      </c>
      <c r="C40" s="32">
        <f>$B$8+$B$9*A40</f>
        <v>26.194983800315285</v>
      </c>
      <c r="D40" s="32">
        <f>C40-$B$5*$B$10*SQRT(1/$B$4+(A40-$B$11)^2/$B$12)</f>
        <v>26.046952820163934</v>
      </c>
      <c r="E40" s="32">
        <f>C40+$B$5*$B$10*SQRT(1/$B$4+(A40-$B$11)^2/$B$12)</f>
        <v>26.343014780466635</v>
      </c>
      <c r="G40" s="32" cm="1">
        <f t="array" ref="G40">Лист3!C30</f>
        <v>41</v>
      </c>
      <c r="H40" s="32" cm="1">
        <f t="array" ref="H40">Лист3!D30</f>
        <v>26.81</v>
      </c>
      <c r="I40" s="32">
        <f>$B$15+$B$16*G40</f>
        <v>26.48931125827815</v>
      </c>
      <c r="J40" s="32">
        <f>I40-$B$5*$B$17*SQRT(1/$B$4+(G40-$B$18)^2/$B$19)</f>
        <v>26.075093660231197</v>
      </c>
      <c r="K40" s="32">
        <f>I40+$B$5*$B$17*SQRT(1/$B$4+(G40-$B$18)^2/$B$19)</f>
        <v>26.903528856325103</v>
      </c>
      <c r="O40" s="2">
        <v>37</v>
      </c>
      <c r="P40" s="34">
        <v>111</v>
      </c>
      <c r="Q40" s="2">
        <v>44</v>
      </c>
      <c r="R40" s="35">
        <v>28.045999999999999</v>
      </c>
    </row>
    <row r="41" spans="1:18" ht="15" customHeight="1">
      <c r="A41" s="32" cm="1">
        <f t="array" ref="A41">Лист3!B38</f>
        <v>90</v>
      </c>
      <c r="B41" s="32" cm="1">
        <f t="array" ref="B41">Лист3!D38</f>
        <v>26.47</v>
      </c>
      <c r="C41" s="32">
        <f>$B$8+$B$9*A41</f>
        <v>26.194983800315285</v>
      </c>
      <c r="D41" s="32">
        <f>C41-$B$5*$B$10*SQRT(1/$B$4+(A41-$B$11)^2/$B$12)</f>
        <v>26.046952820163934</v>
      </c>
      <c r="E41" s="32">
        <f>C41+$B$5*$B$10*SQRT(1/$B$4+(A41-$B$11)^2/$B$12)</f>
        <v>26.343014780466635</v>
      </c>
      <c r="G41" s="32" cm="1">
        <f t="array" ref="G41">Лист3!C10</f>
        <v>42</v>
      </c>
      <c r="H41" s="32" cm="1">
        <f t="array" ref="H41">Лист3!D10</f>
        <v>27.332000000000001</v>
      </c>
      <c r="I41" s="32">
        <f>$B$15+$B$16*G41</f>
        <v>26.625810154525389</v>
      </c>
      <c r="J41" s="32">
        <f>I41-$B$5*$B$17*SQRT(1/$B$4+(G41-$B$18)^2/$B$19)</f>
        <v>26.277334584130895</v>
      </c>
      <c r="K41" s="32">
        <f>I41+$B$5*$B$17*SQRT(1/$B$4+(G41-$B$18)^2/$B$19)</f>
        <v>26.974285724919884</v>
      </c>
      <c r="O41" s="2">
        <v>38</v>
      </c>
      <c r="P41" s="34">
        <v>73</v>
      </c>
      <c r="Q41" s="2">
        <v>38</v>
      </c>
      <c r="R41" s="35">
        <v>24.001999999999999</v>
      </c>
    </row>
    <row r="42" spans="1:18" ht="15" customHeight="1">
      <c r="A42" s="32" cm="1">
        <f t="array" ref="A42">Лист3!B50</f>
        <v>90</v>
      </c>
      <c r="B42" s="32" cm="1">
        <f t="array" ref="B42">Лист3!D50</f>
        <v>26</v>
      </c>
      <c r="C42" s="32">
        <f>$B$8+$B$9*A42</f>
        <v>26.194983800315285</v>
      </c>
      <c r="D42" s="32">
        <f>C42-$B$5*$B$10*SQRT(1/$B$4+(A42-$B$11)^2/$B$12)</f>
        <v>26.046952820163934</v>
      </c>
      <c r="E42" s="32">
        <f>C42+$B$5*$B$10*SQRT(1/$B$4+(A42-$B$11)^2/$B$12)</f>
        <v>26.343014780466635</v>
      </c>
      <c r="G42" s="32" cm="1">
        <f t="array" ref="G42">Лист3!C13</f>
        <v>42</v>
      </c>
      <c r="H42" s="32" cm="1">
        <f t="array" ref="H42">Лист3!D13</f>
        <v>27.866</v>
      </c>
      <c r="I42" s="32">
        <f>$B$15+$B$16*G42</f>
        <v>26.625810154525389</v>
      </c>
      <c r="J42" s="32">
        <f>I42-$B$5*$B$17*SQRT(1/$B$4+(G42-$B$18)^2/$B$19)</f>
        <v>26.277334584130895</v>
      </c>
      <c r="K42" s="32">
        <f>I42+$B$5*$B$17*SQRT(1/$B$4+(G42-$B$18)^2/$B$19)</f>
        <v>26.974285724919884</v>
      </c>
      <c r="O42" s="2">
        <v>39</v>
      </c>
      <c r="P42" s="34">
        <v>109</v>
      </c>
      <c r="Q42" s="2">
        <v>45</v>
      </c>
      <c r="R42" s="35">
        <v>28.074000000000002</v>
      </c>
    </row>
    <row r="43" spans="1:18" ht="15" customHeight="1">
      <c r="A43" s="32" cm="1">
        <f t="array" ref="A43">Лист3!B52</f>
        <v>90</v>
      </c>
      <c r="B43" s="32" cm="1">
        <f t="array" ref="B43">Лист3!D52</f>
        <v>26.716000000000001</v>
      </c>
      <c r="C43" s="32">
        <f>$B$8+$B$9*A43</f>
        <v>26.194983800315285</v>
      </c>
      <c r="D43" s="32">
        <f>C43-$B$5*$B$10*SQRT(1/$B$4+(A43-$B$11)^2/$B$12)</f>
        <v>26.046952820163934</v>
      </c>
      <c r="E43" s="32">
        <f>C43+$B$5*$B$10*SQRT(1/$B$4+(A43-$B$11)^2/$B$12)</f>
        <v>26.343014780466635</v>
      </c>
      <c r="G43" s="32" cm="1">
        <f t="array" ref="G43">Лист3!C23</f>
        <v>42</v>
      </c>
      <c r="H43" s="32" cm="1">
        <f t="array" ref="H43">Лист3!D23</f>
        <v>27.794</v>
      </c>
      <c r="I43" s="32">
        <f>$B$15+$B$16*G43</f>
        <v>26.625810154525389</v>
      </c>
      <c r="J43" s="32">
        <f>I43-$B$5*$B$17*SQRT(1/$B$4+(G43-$B$18)^2/$B$19)</f>
        <v>26.277334584130895</v>
      </c>
      <c r="K43" s="32">
        <f>I43+$B$5*$B$17*SQRT(1/$B$4+(G43-$B$18)^2/$B$19)</f>
        <v>26.974285724919884</v>
      </c>
      <c r="O43" s="2">
        <v>40</v>
      </c>
      <c r="P43" s="34">
        <v>127</v>
      </c>
      <c r="Q43" s="2">
        <v>42</v>
      </c>
      <c r="R43" s="35">
        <v>28.03</v>
      </c>
    </row>
    <row r="44" spans="1:18" ht="15" customHeight="1">
      <c r="A44" s="32" cm="1">
        <f t="array" ref="A44">Лист3!B20</f>
        <v>93</v>
      </c>
      <c r="B44" s="32" cm="1">
        <f t="array" ref="B44">Лист3!D20</f>
        <v>26.3</v>
      </c>
      <c r="C44" s="32">
        <f>$B$8+$B$9*A44</f>
        <v>26.374003508412653</v>
      </c>
      <c r="D44" s="32">
        <f>C44-$B$5*$B$10*SQRT(1/$B$4+(A44-$B$11)^2/$B$12)</f>
        <v>26.23262722901454</v>
      </c>
      <c r="E44" s="32">
        <f>C44+$B$5*$B$10*SQRT(1/$B$4+(A44-$B$11)^2/$B$12)</f>
        <v>26.515379787810765</v>
      </c>
      <c r="G44" s="32" cm="1">
        <f t="array" ref="G44">Лист3!C27</f>
        <v>42</v>
      </c>
      <c r="H44" s="32" cm="1">
        <f t="array" ref="H44">Лист3!D27</f>
        <v>26.774000000000001</v>
      </c>
      <c r="I44" s="32">
        <f>$B$15+$B$16*G44</f>
        <v>26.625810154525389</v>
      </c>
      <c r="J44" s="32">
        <f>I44-$B$5*$B$17*SQRT(1/$B$4+(G44-$B$18)^2/$B$19)</f>
        <v>26.277334584130895</v>
      </c>
      <c r="K44" s="32">
        <f>I44+$B$5*$B$17*SQRT(1/$B$4+(G44-$B$18)^2/$B$19)</f>
        <v>26.974285724919884</v>
      </c>
      <c r="O44" s="2">
        <v>41</v>
      </c>
      <c r="P44" s="34">
        <v>120</v>
      </c>
      <c r="Q44" s="2">
        <v>40</v>
      </c>
      <c r="R44" s="35">
        <v>27.26</v>
      </c>
    </row>
    <row r="45" spans="1:18" ht="15" customHeight="1">
      <c r="A45" s="32" cm="1">
        <f t="array" ref="A45">Лист3!B26</f>
        <v>93</v>
      </c>
      <c r="B45" s="32" cm="1">
        <f t="array" ref="B45">Лист3!D26</f>
        <v>27.02</v>
      </c>
      <c r="C45" s="32">
        <f>$B$8+$B$9*A45</f>
        <v>26.374003508412653</v>
      </c>
      <c r="D45" s="32">
        <f>C45-$B$5*$B$10*SQRT(1/$B$4+(A45-$B$11)^2/$B$12)</f>
        <v>26.23262722901454</v>
      </c>
      <c r="E45" s="32">
        <f>C45+$B$5*$B$10*SQRT(1/$B$4+(A45-$B$11)^2/$B$12)</f>
        <v>26.515379787810765</v>
      </c>
      <c r="G45" s="32" cm="1">
        <f t="array" ref="G45">Лист3!C34</f>
        <v>42</v>
      </c>
      <c r="H45" s="32" cm="1">
        <f t="array" ref="H45">Лист3!D34</f>
        <v>25.315999999999999</v>
      </c>
      <c r="I45" s="32">
        <f>$B$15+$B$16*G45</f>
        <v>26.625810154525389</v>
      </c>
      <c r="J45" s="32">
        <f>I45-$B$5*$B$17*SQRT(1/$B$4+(G45-$B$18)^2/$B$19)</f>
        <v>26.277334584130895</v>
      </c>
      <c r="K45" s="32">
        <f>I45+$B$5*$B$17*SQRT(1/$B$4+(G45-$B$18)^2/$B$19)</f>
        <v>26.974285724919884</v>
      </c>
      <c r="O45" s="2">
        <v>42</v>
      </c>
      <c r="P45" s="34">
        <v>74</v>
      </c>
      <c r="Q45" s="2">
        <v>42</v>
      </c>
      <c r="R45" s="35">
        <v>25.111999999999998</v>
      </c>
    </row>
    <row r="46" spans="1:18" ht="15" customHeight="1">
      <c r="A46" s="32" cm="1">
        <f t="array" ref="A46">Лист3!B27</f>
        <v>93</v>
      </c>
      <c r="B46" s="32" cm="1">
        <f t="array" ref="B46">Лист3!D27</f>
        <v>26.774000000000001</v>
      </c>
      <c r="C46" s="32">
        <f>$B$8+$B$9*A46</f>
        <v>26.374003508412653</v>
      </c>
      <c r="D46" s="32">
        <f>C46-$B$5*$B$10*SQRT(1/$B$4+(A46-$B$11)^2/$B$12)</f>
        <v>26.23262722901454</v>
      </c>
      <c r="E46" s="32">
        <f>C46+$B$5*$B$10*SQRT(1/$B$4+(A46-$B$11)^2/$B$12)</f>
        <v>26.515379787810765</v>
      </c>
      <c r="G46" s="32" cm="1">
        <f t="array" ref="G46">Лист3!C42</f>
        <v>42</v>
      </c>
      <c r="H46" s="32" cm="1">
        <f t="array" ref="H46">Лист3!D42</f>
        <v>28.03</v>
      </c>
      <c r="I46" s="32">
        <f>$B$15+$B$16*G46</f>
        <v>26.625810154525389</v>
      </c>
      <c r="J46" s="32">
        <f>I46-$B$5*$B$17*SQRT(1/$B$4+(G46-$B$18)^2/$B$19)</f>
        <v>26.277334584130895</v>
      </c>
      <c r="K46" s="32">
        <f>I46+$B$5*$B$17*SQRT(1/$B$4+(G46-$B$18)^2/$B$19)</f>
        <v>26.974285724919884</v>
      </c>
      <c r="O46" s="2">
        <v>43</v>
      </c>
      <c r="P46" s="34">
        <v>128</v>
      </c>
      <c r="Q46" s="2">
        <v>42</v>
      </c>
      <c r="R46" s="35">
        <v>28.102</v>
      </c>
    </row>
    <row r="47" spans="1:18" ht="15" customHeight="1">
      <c r="A47" s="32" cm="1">
        <f t="array" ref="A47">Лист3!B30</f>
        <v>100</v>
      </c>
      <c r="B47" s="32" cm="1">
        <f t="array" ref="B47">Лист3!D30</f>
        <v>26.81</v>
      </c>
      <c r="C47" s="32">
        <f>$B$8+$B$9*A47</f>
        <v>26.791716160639844</v>
      </c>
      <c r="D47" s="32">
        <f>C47-$B$5*$B$10*SQRT(1/$B$4+(A47-$B$11)^2/$B$12)</f>
        <v>26.653103449418019</v>
      </c>
      <c r="E47" s="32">
        <f>C47+$B$5*$B$10*SQRT(1/$B$4+(A47-$B$11)^2/$B$12)</f>
        <v>26.930328871861668</v>
      </c>
      <c r="G47" s="32" cm="1">
        <f t="array" ref="G47">Лист3!C44</f>
        <v>42</v>
      </c>
      <c r="H47" s="32" cm="1">
        <f t="array" ref="H47">Лист3!D44</f>
        <v>25.111999999999998</v>
      </c>
      <c r="I47" s="32">
        <f>$B$15+$B$16*G47</f>
        <v>26.625810154525389</v>
      </c>
      <c r="J47" s="32">
        <f>I47-$B$5*$B$17*SQRT(1/$B$4+(G47-$B$18)^2/$B$19)</f>
        <v>26.277334584130895</v>
      </c>
      <c r="K47" s="32">
        <f>I47+$B$5*$B$17*SQRT(1/$B$4+(G47-$B$18)^2/$B$19)</f>
        <v>26.974285724919884</v>
      </c>
      <c r="O47" s="2">
        <v>44</v>
      </c>
      <c r="P47" s="34">
        <v>113</v>
      </c>
      <c r="Q47" s="2">
        <v>40</v>
      </c>
      <c r="R47" s="35">
        <v>27.31</v>
      </c>
    </row>
    <row r="48" spans="1:18" ht="15" customHeight="1">
      <c r="A48" s="32" cm="1">
        <f t="array" ref="A48">Лист3!B11</f>
        <v>101</v>
      </c>
      <c r="B48" s="32" cm="1">
        <f t="array" ref="B48">Лист3!D11</f>
        <v>26.366</v>
      </c>
      <c r="C48" s="32">
        <f>$B$8+$B$9*A48</f>
        <v>26.851389396672296</v>
      </c>
      <c r="D48" s="32">
        <f>C48-$B$5*$B$10*SQRT(1/$B$4+(A48-$B$11)^2/$B$12)</f>
        <v>26.711646443542801</v>
      </c>
      <c r="E48" s="32">
        <f>C48+$B$5*$B$10*SQRT(1/$B$4+(A48-$B$11)^2/$B$12)</f>
        <v>26.991132349801791</v>
      </c>
      <c r="G48" s="32" cm="1">
        <f t="array" ref="G48">Лист3!C45</f>
        <v>42</v>
      </c>
      <c r="H48" s="32" cm="1">
        <f t="array" ref="H48">Лист3!D45</f>
        <v>28.102</v>
      </c>
      <c r="I48" s="32">
        <f>$B$15+$B$16*G48</f>
        <v>26.625810154525389</v>
      </c>
      <c r="J48" s="32">
        <f>I48-$B$5*$B$17*SQRT(1/$B$4+(G48-$B$18)^2/$B$19)</f>
        <v>26.277334584130895</v>
      </c>
      <c r="K48" s="32">
        <f>I48+$B$5*$B$17*SQRT(1/$B$4+(G48-$B$18)^2/$B$19)</f>
        <v>26.974285724919884</v>
      </c>
      <c r="O48" s="2">
        <v>45</v>
      </c>
      <c r="P48" s="34">
        <v>118</v>
      </c>
      <c r="Q48" s="2">
        <v>42</v>
      </c>
      <c r="R48" s="35">
        <v>27.937999999999999</v>
      </c>
    </row>
    <row r="49" spans="1:18" ht="15" customHeight="1">
      <c r="A49" s="32" cm="1">
        <f t="array" ref="A49">Лист3!B37</f>
        <v>102</v>
      </c>
      <c r="B49" s="32" cm="1">
        <f t="array" ref="B49">Лист3!D37</f>
        <v>27.26</v>
      </c>
      <c r="C49" s="32">
        <f>$B$8+$B$9*A49</f>
        <v>26.911062632704756</v>
      </c>
      <c r="D49" s="32">
        <f>C49-$B$5*$B$10*SQRT(1/$B$4+(A49-$B$11)^2/$B$12)</f>
        <v>26.769821742411395</v>
      </c>
      <c r="E49" s="32">
        <f>C49+$B$5*$B$10*SQRT(1/$B$4+(A49-$B$11)^2/$B$12)</f>
        <v>27.052303522998116</v>
      </c>
      <c r="G49" s="32" cm="1">
        <f t="array" ref="G49">Лист3!C47</f>
        <v>42</v>
      </c>
      <c r="H49" s="32" cm="1">
        <f t="array" ref="H49">Лист3!D47</f>
        <v>27.937999999999999</v>
      </c>
      <c r="I49" s="32">
        <f>$B$15+$B$16*G49</f>
        <v>26.625810154525389</v>
      </c>
      <c r="J49" s="32">
        <f>I49-$B$5*$B$17*SQRT(1/$B$4+(G49-$B$18)^2/$B$19)</f>
        <v>26.277334584130895</v>
      </c>
      <c r="K49" s="32">
        <f>I49+$B$5*$B$17*SQRT(1/$B$4+(G49-$B$18)^2/$B$19)</f>
        <v>26.974285724919884</v>
      </c>
      <c r="O49" s="2">
        <v>46</v>
      </c>
      <c r="P49" s="34">
        <v>111</v>
      </c>
      <c r="Q49" s="2">
        <v>40</v>
      </c>
      <c r="R49" s="35">
        <v>27.116</v>
      </c>
    </row>
    <row r="50" spans="1:18" ht="15" customHeight="1">
      <c r="A50" s="32" cm="1">
        <f t="array" ref="A50">Лист3!B29</f>
        <v>103</v>
      </c>
      <c r="B50" s="32" cm="1">
        <f t="array" ref="B50">Лист3!D29</f>
        <v>27.026</v>
      </c>
      <c r="C50" s="32">
        <f>$B$8+$B$9*A50</f>
        <v>26.970735868737208</v>
      </c>
      <c r="D50" s="32">
        <f>C50-$B$5*$B$10*SQRT(1/$B$4+(A50-$B$11)^2/$B$12)</f>
        <v>26.827640892805867</v>
      </c>
      <c r="E50" s="32">
        <f>C50+$B$5*$B$10*SQRT(1/$B$4+(A50-$B$11)^2/$B$12)</f>
        <v>27.113830844668549</v>
      </c>
      <c r="G50" s="32" cm="1">
        <f t="array" ref="G50">Лист3!C8</f>
        <v>43</v>
      </c>
      <c r="H50" s="32" cm="1">
        <f t="array" ref="H50">Лист3!D8</f>
        <v>27.475999999999999</v>
      </c>
      <c r="I50" s="32">
        <f>$B$15+$B$16*G50</f>
        <v>26.762309050772632</v>
      </c>
      <c r="J50" s="32">
        <f>I50-$B$5*$B$17*SQRT(1/$B$4+(G50-$B$18)^2/$B$19)</f>
        <v>26.375476356888825</v>
      </c>
      <c r="K50" s="32">
        <f>I50+$B$5*$B$17*SQRT(1/$B$4+(G50-$B$18)^2/$B$19)</f>
        <v>27.14914174465644</v>
      </c>
      <c r="O50" s="2">
        <v>47</v>
      </c>
      <c r="P50" s="34">
        <v>67</v>
      </c>
      <c r="Q50" s="2">
        <v>45</v>
      </c>
      <c r="R50" s="35">
        <v>25.143999999999998</v>
      </c>
    </row>
    <row r="51" spans="1:18" ht="15" customHeight="1">
      <c r="A51" s="32" cm="1">
        <f t="array" ref="A51">Лист3!B17</f>
        <v>105</v>
      </c>
      <c r="B51" s="32" cm="1">
        <f t="array" ref="B51">Лист3!D17</f>
        <v>27.404</v>
      </c>
      <c r="C51" s="32">
        <f>$B$8+$B$9*A51</f>
        <v>27.09008234080212</v>
      </c>
      <c r="D51" s="32">
        <f>C51-$B$5*$B$10*SQRT(1/$B$4+(A51-$B$11)^2/$B$12)</f>
        <v>26.942266918934454</v>
      </c>
      <c r="E51" s="32">
        <f>C51+$B$5*$B$10*SQRT(1/$B$4+(A51-$B$11)^2/$B$12)</f>
        <v>27.237897762669785</v>
      </c>
      <c r="G51" s="32" cm="1">
        <f t="array" ref="G51">Лист3!C9</f>
        <v>43</v>
      </c>
      <c r="H51" s="32" cm="1">
        <f t="array" ref="H51">Лист3!D9</f>
        <v>25.24</v>
      </c>
      <c r="I51" s="32">
        <f>$B$15+$B$16*G51</f>
        <v>26.762309050772632</v>
      </c>
      <c r="J51" s="32">
        <f>I51-$B$5*$B$17*SQRT(1/$B$4+(G51-$B$18)^2/$B$19)</f>
        <v>26.375476356888825</v>
      </c>
      <c r="K51" s="32">
        <f>I51+$B$5*$B$17*SQRT(1/$B$4+(G51-$B$18)^2/$B$19)</f>
        <v>27.14914174465644</v>
      </c>
      <c r="O51" s="2">
        <v>48</v>
      </c>
      <c r="P51" s="34">
        <v>90</v>
      </c>
      <c r="Q51" s="2">
        <v>40</v>
      </c>
      <c r="R51" s="35">
        <v>26</v>
      </c>
    </row>
    <row r="52" spans="1:18" ht="15" customHeight="1">
      <c r="A52" s="32" cm="1">
        <f t="array" ref="A52">Лист3!B8</f>
        <v>106</v>
      </c>
      <c r="B52" s="32" cm="1">
        <f t="array" ref="B52">Лист3!D8</f>
        <v>27.475999999999999</v>
      </c>
      <c r="C52" s="32">
        <f>$B$8+$B$9*A52</f>
        <v>27.149755576834576</v>
      </c>
      <c r="D52" s="32">
        <f>C52-$B$5*$B$10*SQRT(1/$B$4+(A52-$B$11)^2/$B$12)</f>
        <v>26.999105509788087</v>
      </c>
      <c r="E52" s="32">
        <f>C52+$B$5*$B$10*SQRT(1/$B$4+(A52-$B$11)^2/$B$12)</f>
        <v>27.300405643881064</v>
      </c>
      <c r="G52" s="32" cm="1">
        <f t="array" ref="G52">Лист3!C12</f>
        <v>43</v>
      </c>
      <c r="H52" s="32" cm="1">
        <f t="array" ref="H52">Лист3!D12</f>
        <v>25.981999999999999</v>
      </c>
      <c r="I52" s="32">
        <f>$B$15+$B$16*G52</f>
        <v>26.762309050772632</v>
      </c>
      <c r="J52" s="32">
        <f>I52-$B$5*$B$17*SQRT(1/$B$4+(G52-$B$18)^2/$B$19)</f>
        <v>26.375476356888825</v>
      </c>
      <c r="K52" s="32">
        <f>I52+$B$5*$B$17*SQRT(1/$B$4+(G52-$B$18)^2/$B$19)</f>
        <v>27.14914174465644</v>
      </c>
      <c r="O52" s="2">
        <v>49</v>
      </c>
      <c r="P52" s="34">
        <v>83</v>
      </c>
      <c r="Q52" s="2">
        <v>44</v>
      </c>
      <c r="R52" s="35">
        <v>26.402000000000001</v>
      </c>
    </row>
    <row r="53" spans="1:18" ht="15" customHeight="1">
      <c r="A53" s="32" cm="1">
        <f t="array" ref="A53">Лист3!B10</f>
        <v>109</v>
      </c>
      <c r="B53" s="32" cm="1">
        <f t="array" ref="B53">Лист3!D10</f>
        <v>27.332000000000001</v>
      </c>
      <c r="C53" s="32">
        <f>$B$8+$B$9*A53</f>
        <v>27.328775284931943</v>
      </c>
      <c r="D53" s="32">
        <f>C53-$B$5*$B$10*SQRT(1/$B$4+(A53-$B$11)^2/$B$12)</f>
        <v>27.167929721097487</v>
      </c>
      <c r="E53" s="32">
        <f>C53+$B$5*$B$10*SQRT(1/$B$4+(A53-$B$11)^2/$B$12)</f>
        <v>27.4896208487664</v>
      </c>
      <c r="G53" s="32" cm="1">
        <f t="array" ref="G53">Лист3!C17</f>
        <v>43</v>
      </c>
      <c r="H53" s="32" cm="1">
        <f t="array" ref="H53">Лист3!D17</f>
        <v>27.404</v>
      </c>
      <c r="I53" s="32">
        <f>$B$15+$B$16*G53</f>
        <v>26.762309050772632</v>
      </c>
      <c r="J53" s="32">
        <f>I53-$B$5*$B$17*SQRT(1/$B$4+(G53-$B$18)^2/$B$19)</f>
        <v>26.375476356888825</v>
      </c>
      <c r="K53" s="32">
        <f>I53+$B$5*$B$17*SQRT(1/$B$4+(G53-$B$18)^2/$B$19)</f>
        <v>27.14914174465644</v>
      </c>
      <c r="O53" s="2">
        <v>50</v>
      </c>
      <c r="P53" s="34">
        <v>90</v>
      </c>
      <c r="Q53" s="2">
        <v>43</v>
      </c>
      <c r="R53" s="35">
        <v>26.716000000000001</v>
      </c>
    </row>
    <row r="54" spans="1:18" ht="15" customHeight="1">
      <c r="A54" s="32" cm="1">
        <f t="array" ref="A54">Лист3!B16</f>
        <v>109</v>
      </c>
      <c r="B54" s="32" cm="1">
        <f t="array" ref="B54">Лист3!D16</f>
        <v>27.085999999999999</v>
      </c>
      <c r="C54" s="32">
        <f>$B$8+$B$9*A54</f>
        <v>27.328775284931943</v>
      </c>
      <c r="D54" s="32">
        <f>C54-$B$5*$B$10*SQRT(1/$B$4+(A54-$B$11)^2/$B$12)</f>
        <v>27.167929721097487</v>
      </c>
      <c r="E54" s="32">
        <f>C54+$B$5*$B$10*SQRT(1/$B$4+(A54-$B$11)^2/$B$12)</f>
        <v>27.4896208487664</v>
      </c>
      <c r="G54" s="32" cm="1">
        <f t="array" ref="G54">Лист3!C21</f>
        <v>43</v>
      </c>
      <c r="H54" s="32" cm="1">
        <f t="array" ref="H54">Лист3!D21</f>
        <v>27.794</v>
      </c>
      <c r="I54" s="32">
        <f>$B$15+$B$16*G54</f>
        <v>26.762309050772632</v>
      </c>
      <c r="J54" s="32">
        <f>I54-$B$5*$B$17*SQRT(1/$B$4+(G54-$B$18)^2/$B$19)</f>
        <v>26.375476356888825</v>
      </c>
      <c r="K54" s="32">
        <f>I54+$B$5*$B$17*SQRT(1/$B$4+(G54-$B$18)^2/$B$19)</f>
        <v>27.14914174465644</v>
      </c>
    </row>
    <row r="55" spans="1:18" ht="15" customHeight="1">
      <c r="A55" s="32" cm="1">
        <f t="array" ref="A55">Лист3!B41</f>
        <v>109</v>
      </c>
      <c r="B55" s="32" cm="1">
        <f t="array" ref="B55">Лист3!D41</f>
        <v>28.074000000000002</v>
      </c>
      <c r="C55" s="32">
        <f>$B$8+$B$9*A55</f>
        <v>27.328775284931943</v>
      </c>
      <c r="D55" s="32">
        <f>C55-$B$5*$B$10*SQRT(1/$B$4+(A55-$B$11)^2/$B$12)</f>
        <v>27.167929721097487</v>
      </c>
      <c r="E55" s="32">
        <f>C55+$B$5*$B$10*SQRT(1/$B$4+(A55-$B$11)^2/$B$12)</f>
        <v>27.4896208487664</v>
      </c>
      <c r="G55" s="32" cm="1">
        <f t="array" ref="G55">Лист3!C26</f>
        <v>43</v>
      </c>
      <c r="H55" s="32" cm="1">
        <f t="array" ref="H55">Лист3!D26</f>
        <v>27.02</v>
      </c>
      <c r="I55" s="32">
        <f>$B$15+$B$16*G55</f>
        <v>26.762309050772632</v>
      </c>
      <c r="J55" s="32">
        <f>I55-$B$5*$B$17*SQRT(1/$B$4+(G55-$B$18)^2/$B$19)</f>
        <v>26.375476356888825</v>
      </c>
      <c r="K55" s="32">
        <f>I55+$B$5*$B$17*SQRT(1/$B$4+(G55-$B$18)^2/$B$19)</f>
        <v>27.14914174465644</v>
      </c>
    </row>
    <row r="56" spans="1:18" ht="15" customHeight="1">
      <c r="A56" s="32" cm="1">
        <f t="array" ref="A56">Лист3!B39</f>
        <v>111</v>
      </c>
      <c r="B56" s="32" cm="1">
        <f t="array" ref="B56">Лист3!D39</f>
        <v>28.045999999999999</v>
      </c>
      <c r="C56" s="32">
        <f>$B$8+$B$9*A56</f>
        <v>27.448121756996855</v>
      </c>
      <c r="D56" s="32">
        <f>C56-$B$5*$B$10*SQRT(1/$B$4+(A56-$B$11)^2/$B$12)</f>
        <v>27.279243205773184</v>
      </c>
      <c r="E56" s="32">
        <f>C56+$B$5*$B$10*SQRT(1/$B$4+(A56-$B$11)^2/$B$12)</f>
        <v>27.617000308220526</v>
      </c>
      <c r="G56" s="32" cm="1">
        <f t="array" ref="G56">Лист3!C35</f>
        <v>43</v>
      </c>
      <c r="H56" s="32" cm="1">
        <f t="array" ref="H56">Лист3!D35</f>
        <v>25.981999999999999</v>
      </c>
      <c r="I56" s="32">
        <f>$B$15+$B$16*G56</f>
        <v>26.762309050772632</v>
      </c>
      <c r="J56" s="32">
        <f>I56-$B$5*$B$17*SQRT(1/$B$4+(G56-$B$18)^2/$B$19)</f>
        <v>26.375476356888825</v>
      </c>
      <c r="K56" s="32">
        <f>I56+$B$5*$B$17*SQRT(1/$B$4+(G56-$B$18)^2/$B$19)</f>
        <v>27.14914174465644</v>
      </c>
    </row>
    <row r="57" spans="1:18" ht="15" customHeight="1">
      <c r="A57" s="32" cm="1">
        <f t="array" ref="A57">Лист3!B48</f>
        <v>111</v>
      </c>
      <c r="B57" s="32" cm="1">
        <f t="array" ref="B57">Лист3!D48</f>
        <v>27.116</v>
      </c>
      <c r="C57" s="32">
        <f>$B$8+$B$9*A57</f>
        <v>27.448121756996855</v>
      </c>
      <c r="D57" s="32">
        <f>C57-$B$5*$B$10*SQRT(1/$B$4+(A57-$B$11)^2/$B$12)</f>
        <v>27.279243205773184</v>
      </c>
      <c r="E57" s="32">
        <f>C57+$B$5*$B$10*SQRT(1/$B$4+(A57-$B$11)^2/$B$12)</f>
        <v>27.617000308220526</v>
      </c>
      <c r="G57" s="32" cm="1">
        <f t="array" ref="G57">Лист3!C37</f>
        <v>43</v>
      </c>
      <c r="H57" s="32" cm="1">
        <f t="array" ref="H57">Лист3!D37</f>
        <v>27.26</v>
      </c>
      <c r="I57" s="32">
        <f>$B$15+$B$16*G57</f>
        <v>26.762309050772632</v>
      </c>
      <c r="J57" s="32">
        <f>I57-$B$5*$B$17*SQRT(1/$B$4+(G57-$B$18)^2/$B$19)</f>
        <v>26.375476356888825</v>
      </c>
      <c r="K57" s="32">
        <f>I57+$B$5*$B$17*SQRT(1/$B$4+(G57-$B$18)^2/$B$19)</f>
        <v>27.14914174465644</v>
      </c>
    </row>
    <row r="58" spans="1:18" ht="15" customHeight="1">
      <c r="A58" s="32" cm="1">
        <f t="array" ref="A58">Лист3!B21</f>
        <v>112</v>
      </c>
      <c r="B58" s="32" cm="1">
        <f t="array" ref="B58">Лист3!D21</f>
        <v>27.794</v>
      </c>
      <c r="C58" s="32">
        <f>$B$8+$B$9*A58</f>
        <v>27.507794993029311</v>
      </c>
      <c r="D58" s="32">
        <f>C58-$B$5*$B$10*SQRT(1/$B$4+(A58-$B$11)^2/$B$12)</f>
        <v>27.334579144305444</v>
      </c>
      <c r="E58" s="32">
        <f>C58+$B$5*$B$10*SQRT(1/$B$4+(A58-$B$11)^2/$B$12)</f>
        <v>27.681010841753178</v>
      </c>
      <c r="G58" s="32" cm="1">
        <f t="array" ref="G58">Лист3!C38</f>
        <v>43</v>
      </c>
      <c r="H58" s="32" cm="1">
        <f t="array" ref="H58">Лист3!D38</f>
        <v>26.47</v>
      </c>
      <c r="I58" s="32">
        <f>$B$15+$B$16*G58</f>
        <v>26.762309050772632</v>
      </c>
      <c r="J58" s="32">
        <f>I58-$B$5*$B$17*SQRT(1/$B$4+(G58-$B$18)^2/$B$19)</f>
        <v>26.375476356888825</v>
      </c>
      <c r="K58" s="32">
        <f>I58+$B$5*$B$17*SQRT(1/$B$4+(G58-$B$18)^2/$B$19)</f>
        <v>27.14914174465644</v>
      </c>
    </row>
    <row r="59" spans="1:18" ht="15" customHeight="1">
      <c r="A59" s="32" cm="1">
        <f t="array" ref="A59">Лист3!B18</f>
        <v>113</v>
      </c>
      <c r="B59" s="32" cm="1">
        <f t="array" ref="B59">Лист3!D18</f>
        <v>28.29</v>
      </c>
      <c r="C59" s="32">
        <f>$B$8+$B$9*A59</f>
        <v>27.567468229061767</v>
      </c>
      <c r="D59" s="32">
        <f>C59-$B$5*$B$10*SQRT(1/$B$4+(A59-$B$11)^2/$B$12)</f>
        <v>27.389721830112943</v>
      </c>
      <c r="E59" s="32">
        <f>C59+$B$5*$B$10*SQRT(1/$B$4+(A59-$B$11)^2/$B$12)</f>
        <v>27.74521462801059</v>
      </c>
      <c r="G59" s="32" cm="1">
        <f t="array" ref="G59">Лист3!C52</f>
        <v>43</v>
      </c>
      <c r="H59" s="32" cm="1">
        <f t="array" ref="H59">Лист3!D52</f>
        <v>26.716000000000001</v>
      </c>
      <c r="I59" s="32">
        <f>$B$15+$B$16*G59</f>
        <v>26.762309050772632</v>
      </c>
      <c r="J59" s="32">
        <f>I59-$B$5*$B$17*SQRT(1/$B$4+(G59-$B$18)^2/$B$19)</f>
        <v>26.375476356888825</v>
      </c>
      <c r="K59" s="32">
        <f>I59+$B$5*$B$17*SQRT(1/$B$4+(G59-$B$18)^2/$B$19)</f>
        <v>27.14914174465644</v>
      </c>
    </row>
    <row r="60" spans="1:18" ht="15" customHeight="1">
      <c r="A60" s="32" cm="1">
        <f t="array" ref="A60">Лист3!B46</f>
        <v>113</v>
      </c>
      <c r="B60" s="32" cm="1">
        <f t="array" ref="B60">Лист3!D46</f>
        <v>27.31</v>
      </c>
      <c r="C60" s="32">
        <f>$B$8+$B$9*A60</f>
        <v>27.567468229061767</v>
      </c>
      <c r="D60" s="32">
        <f>C60-$B$5*$B$10*SQRT(1/$B$4+(A60-$B$11)^2/$B$12)</f>
        <v>27.389721830112943</v>
      </c>
      <c r="E60" s="32">
        <f>C60+$B$5*$B$10*SQRT(1/$B$4+(A60-$B$11)^2/$B$12)</f>
        <v>27.74521462801059</v>
      </c>
      <c r="G60" s="32" cm="1">
        <f t="array" ref="G60">Лист3!C14</f>
        <v>44</v>
      </c>
      <c r="H60" s="32" cm="1">
        <f t="array" ref="H60">Лист3!D14</f>
        <v>26.23</v>
      </c>
      <c r="I60" s="32">
        <f>$B$15+$B$16*G60</f>
        <v>26.898807947019872</v>
      </c>
      <c r="J60" s="32">
        <f>I60-$B$5*$B$17*SQRT(1/$B$4+(G60-$B$18)^2/$B$19)</f>
        <v>26.392656637411076</v>
      </c>
      <c r="K60" s="32">
        <f>I60+$B$5*$B$17*SQRT(1/$B$4+(G60-$B$18)^2/$B$19)</f>
        <v>27.404959256628668</v>
      </c>
    </row>
    <row r="61" spans="1:18" ht="15" customHeight="1">
      <c r="A61" s="32" cm="1">
        <f t="array" ref="A61">Лист3!B7</f>
        <v>115</v>
      </c>
      <c r="B61" s="32" cm="1">
        <f t="array" ref="B61">Лист3!D7</f>
        <v>28.292000000000002</v>
      </c>
      <c r="C61" s="32">
        <f>$B$8+$B$9*A61</f>
        <v>27.686814701126679</v>
      </c>
      <c r="D61" s="32">
        <f>C61-$B$5*$B$10*SQRT(1/$B$4+(A61-$B$11)^2/$B$12)</f>
        <v>27.499484118378348</v>
      </c>
      <c r="E61" s="32">
        <f>C61+$B$5*$B$10*SQRT(1/$B$4+(A61-$B$11)^2/$B$12)</f>
        <v>27.874145283875009</v>
      </c>
      <c r="G61" s="32" cm="1">
        <f t="array" ref="G61">Лист3!C18</f>
        <v>44</v>
      </c>
      <c r="H61" s="32" cm="1">
        <f t="array" ref="H61">Лист3!D18</f>
        <v>28.29</v>
      </c>
      <c r="I61" s="32">
        <f>$B$15+$B$16*G61</f>
        <v>26.898807947019872</v>
      </c>
      <c r="J61" s="32">
        <f>I61-$B$5*$B$17*SQRT(1/$B$4+(G61-$B$18)^2/$B$19)</f>
        <v>26.392656637411076</v>
      </c>
      <c r="K61" s="32">
        <f>I61+$B$5*$B$17*SQRT(1/$B$4+(G61-$B$18)^2/$B$19)</f>
        <v>27.404959256628668</v>
      </c>
    </row>
    <row r="62" spans="1:18" ht="15" customHeight="1">
      <c r="A62" s="32" cm="1">
        <f t="array" ref="A62">Лист3!B23</f>
        <v>116</v>
      </c>
      <c r="B62" s="32" cm="1">
        <f t="array" ref="B62">Лист3!D23</f>
        <v>27.794</v>
      </c>
      <c r="C62" s="32">
        <f>$B$8+$B$9*A62</f>
        <v>27.746487937159131</v>
      </c>
      <c r="D62" s="32">
        <f>C62-$B$5*$B$10*SQRT(1/$B$4+(A62-$B$11)^2/$B$12)</f>
        <v>27.554129781532087</v>
      </c>
      <c r="E62" s="32">
        <f>C62+$B$5*$B$10*SQRT(1/$B$4+(A62-$B$11)^2/$B$12)</f>
        <v>27.938846092786175</v>
      </c>
      <c r="G62" s="32" cm="1">
        <f t="array" ref="G62">Лист3!C19</f>
        <v>44</v>
      </c>
      <c r="H62" s="32" cm="1">
        <f t="array" ref="H62">Лист3!D19</f>
        <v>25.414000000000001</v>
      </c>
      <c r="I62" s="32">
        <f>$B$15+$B$16*G62</f>
        <v>26.898807947019872</v>
      </c>
      <c r="J62" s="32">
        <f>I62-$B$5*$B$17*SQRT(1/$B$4+(G62-$B$18)^2/$B$19)</f>
        <v>26.392656637411076</v>
      </c>
      <c r="K62" s="32">
        <f>I62+$B$5*$B$17*SQRT(1/$B$4+(G62-$B$18)^2/$B$19)</f>
        <v>27.404959256628668</v>
      </c>
    </row>
    <row r="63" spans="1:18" ht="15" customHeight="1">
      <c r="A63" s="32" cm="1">
        <f t="array" ref="A63">Лист3!B25</f>
        <v>116</v>
      </c>
      <c r="B63" s="32" cm="1">
        <f t="array" ref="B63">Лист3!D25</f>
        <v>27.074000000000002</v>
      </c>
      <c r="C63" s="32">
        <f>$B$8+$B$9*A63</f>
        <v>27.746487937159131</v>
      </c>
      <c r="D63" s="32">
        <f>C63-$B$5*$B$10*SQRT(1/$B$4+(A63-$B$11)^2/$B$12)</f>
        <v>27.554129781532087</v>
      </c>
      <c r="E63" s="32">
        <f>C63+$B$5*$B$10*SQRT(1/$B$4+(A63-$B$11)^2/$B$12)</f>
        <v>27.938846092786175</v>
      </c>
      <c r="G63" s="32" cm="1">
        <f t="array" ref="G63">Лист3!C24</f>
        <v>44</v>
      </c>
      <c r="H63" s="32" cm="1">
        <f t="array" ref="H63">Лист3!D24</f>
        <v>26.716000000000001</v>
      </c>
      <c r="I63" s="32">
        <f>$B$15+$B$16*G63</f>
        <v>26.898807947019872</v>
      </c>
      <c r="J63" s="32">
        <f>I63-$B$5*$B$17*SQRT(1/$B$4+(G63-$B$18)^2/$B$19)</f>
        <v>26.392656637411076</v>
      </c>
      <c r="K63" s="32">
        <f>I63+$B$5*$B$17*SQRT(1/$B$4+(G63-$B$18)^2/$B$19)</f>
        <v>27.404959256628668</v>
      </c>
    </row>
    <row r="64" spans="1:18" ht="15" customHeight="1">
      <c r="A64" s="32" cm="1">
        <f t="array" ref="A64">Лист3!B13</f>
        <v>117</v>
      </c>
      <c r="B64" s="32" cm="1">
        <f t="array" ref="B64">Лист3!D13</f>
        <v>27.866</v>
      </c>
      <c r="C64" s="32">
        <f>$B$8+$B$9*A64</f>
        <v>27.806161173191587</v>
      </c>
      <c r="D64" s="32">
        <f>C64-$B$5*$B$10*SQRT(1/$B$4+(A64-$B$11)^2/$B$12)</f>
        <v>27.608634314906269</v>
      </c>
      <c r="E64" s="32">
        <f>C64+$B$5*$B$10*SQRT(1/$B$4+(A64-$B$11)^2/$B$12)</f>
        <v>28.003688031476905</v>
      </c>
      <c r="G64" s="32" cm="1">
        <f t="array" ref="G64">Лист3!C28</f>
        <v>44</v>
      </c>
      <c r="H64" s="32" cm="1">
        <f t="array" ref="H64">Лист3!D28</f>
        <v>28.672000000000001</v>
      </c>
      <c r="I64" s="32">
        <f>$B$15+$B$16*G64</f>
        <v>26.898807947019872</v>
      </c>
      <c r="J64" s="32">
        <f>I64-$B$5*$B$17*SQRT(1/$B$4+(G64-$B$18)^2/$B$19)</f>
        <v>26.392656637411076</v>
      </c>
      <c r="K64" s="32">
        <f>I64+$B$5*$B$17*SQRT(1/$B$4+(G64-$B$18)^2/$B$19)</f>
        <v>27.404959256628668</v>
      </c>
    </row>
    <row r="65" spans="1:11" ht="15" customHeight="1">
      <c r="A65" s="32" cm="1">
        <f t="array" ref="A65">Лист3!B47</f>
        <v>118</v>
      </c>
      <c r="B65" s="32" cm="1">
        <f t="array" ref="B65">Лист3!D47</f>
        <v>27.937999999999999</v>
      </c>
      <c r="C65" s="32">
        <f>$B$8+$B$9*A65</f>
        <v>27.865834409224043</v>
      </c>
      <c r="D65" s="32">
        <f>C65-$B$5*$B$10*SQRT(1/$B$4+(A65-$B$11)^2/$B$12)</f>
        <v>27.66300850763275</v>
      </c>
      <c r="E65" s="32">
        <f>C65+$B$5*$B$10*SQRT(1/$B$4+(A65-$B$11)^2/$B$12)</f>
        <v>28.068660310815336</v>
      </c>
      <c r="G65" s="32" cm="1">
        <f t="array" ref="G65">Лист3!C33</f>
        <v>44</v>
      </c>
      <c r="H65" s="32" cm="1">
        <f t="array" ref="H65">Лист3!D33</f>
        <v>25.702000000000002</v>
      </c>
      <c r="I65" s="32">
        <f>$B$15+$B$16*G65</f>
        <v>26.898807947019872</v>
      </c>
      <c r="J65" s="32">
        <f>I65-$B$5*$B$17*SQRT(1/$B$4+(G65-$B$18)^2/$B$19)</f>
        <v>26.392656637411076</v>
      </c>
      <c r="K65" s="32">
        <f>I65+$B$5*$B$17*SQRT(1/$B$4+(G65-$B$18)^2/$B$19)</f>
        <v>27.404959256628668</v>
      </c>
    </row>
    <row r="66" spans="1:11" ht="15" customHeight="1">
      <c r="A66" s="43" cm="1">
        <f t="array" ref="A66">Лист3!B3</f>
        <v>120</v>
      </c>
      <c r="B66" s="43" cm="1">
        <f t="array" ref="B66">Лист3!D3</f>
        <v>27.506</v>
      </c>
      <c r="C66" s="43">
        <f>$B$8+$B$9*A66</f>
        <v>27.985180881288954</v>
      </c>
      <c r="D66" s="43">
        <f>C66-$B$5*$B$10*SQRT(1/$B$4+(A66-$B$11)^2/$B$12)</f>
        <v>27.771404876334962</v>
      </c>
      <c r="E66" s="43">
        <f>C66+$B$5*$B$10*SQRT(1/$B$4+(A66-$B$11)^2/$B$12)</f>
        <v>28.198956886242946</v>
      </c>
      <c r="G66" s="32" cm="1">
        <f t="array" ref="G66">Лист3!C36</f>
        <v>44</v>
      </c>
      <c r="H66" s="32" cm="1">
        <f t="array" ref="H66">Лист3!D36</f>
        <v>25.63</v>
      </c>
      <c r="I66" s="32">
        <f>$B$15+$B$16*G66</f>
        <v>26.898807947019872</v>
      </c>
      <c r="J66" s="32">
        <f>I66-$B$5*$B$17*SQRT(1/$B$4+(G66-$B$18)^2/$B$19)</f>
        <v>26.392656637411076</v>
      </c>
      <c r="K66" s="32">
        <f>I66+$B$5*$B$17*SQRT(1/$B$4+(G66-$B$18)^2/$B$19)</f>
        <v>27.404959256628668</v>
      </c>
    </row>
    <row r="67" spans="1:11" ht="15" customHeight="1">
      <c r="A67" s="32" cm="1">
        <f t="array" ref="A67">Лист3!B43</f>
        <v>120</v>
      </c>
      <c r="B67" s="32" cm="1">
        <f t="array" ref="B67">Лист3!D43</f>
        <v>27.26</v>
      </c>
      <c r="C67" s="32">
        <f>$B$8+$B$9*A67</f>
        <v>27.985180881288954</v>
      </c>
      <c r="D67" s="32">
        <f>C67-$B$5*$B$10*SQRT(1/$B$4+(A67-$B$11)^2/$B$12)</f>
        <v>27.771404876334962</v>
      </c>
      <c r="E67" s="32">
        <f>C67+$B$5*$B$10*SQRT(1/$B$4+(A67-$B$11)^2/$B$12)</f>
        <v>28.198956886242946</v>
      </c>
      <c r="G67" s="32" cm="1">
        <f t="array" ref="G67">Лист3!C39</f>
        <v>44</v>
      </c>
      <c r="H67" s="32" cm="1">
        <f t="array" ref="H67">Лист3!D39</f>
        <v>28.045999999999999</v>
      </c>
      <c r="I67" s="32">
        <f>$B$15+$B$16*G67</f>
        <v>26.898807947019872</v>
      </c>
      <c r="J67" s="32">
        <f>I67-$B$5*$B$17*SQRT(1/$B$4+(G67-$B$18)^2/$B$19)</f>
        <v>26.392656637411076</v>
      </c>
      <c r="K67" s="32">
        <f>I67+$B$5*$B$17*SQRT(1/$B$4+(G67-$B$18)^2/$B$19)</f>
        <v>27.404959256628668</v>
      </c>
    </row>
    <row r="68" spans="1:11" ht="15" customHeight="1">
      <c r="A68" s="32" cm="1">
        <f t="array" ref="A68">Лист3!B22</f>
        <v>124</v>
      </c>
      <c r="B68" s="32" cm="1">
        <f t="array" ref="B68">Лист3!D22</f>
        <v>27.885999999999999</v>
      </c>
      <c r="C68" s="32">
        <f>$B$8+$B$9*A68</f>
        <v>28.223873825418778</v>
      </c>
      <c r="D68" s="32">
        <f>C68-$B$5*$B$10*SQRT(1/$B$4+(A68-$B$11)^2/$B$12)</f>
        <v>27.987020936429257</v>
      </c>
      <c r="E68" s="32">
        <f>C68+$B$5*$B$10*SQRT(1/$B$4+(A68-$B$11)^2/$B$12)</f>
        <v>28.460726714408299</v>
      </c>
      <c r="G68" s="32" cm="1">
        <f t="array" ref="G68">Лист3!C51</f>
        <v>44</v>
      </c>
      <c r="H68" s="32" cm="1">
        <f t="array" ref="H68">Лист3!D51</f>
        <v>26.402000000000001</v>
      </c>
      <c r="I68" s="32">
        <f>$B$15+$B$16*G68</f>
        <v>26.898807947019872</v>
      </c>
      <c r="J68" s="32">
        <f>I68-$B$5*$B$17*SQRT(1/$B$4+(G68-$B$18)^2/$B$19)</f>
        <v>26.392656637411076</v>
      </c>
      <c r="K68" s="32">
        <f>I68+$B$5*$B$17*SQRT(1/$B$4+(G68-$B$18)^2/$B$19)</f>
        <v>27.404959256628668</v>
      </c>
    </row>
    <row r="69" spans="1:11" ht="15" customHeight="1">
      <c r="A69" s="32" cm="1">
        <f t="array" ref="A69">Лист3!B28</f>
        <v>125</v>
      </c>
      <c r="B69" s="32" cm="1">
        <f t="array" ref="B69">Лист3!D28</f>
        <v>28.672000000000001</v>
      </c>
      <c r="C69" s="32">
        <f>$B$8+$B$9*A69</f>
        <v>28.283547061451234</v>
      </c>
      <c r="D69" s="32">
        <f>C69-$B$5*$B$10*SQRT(1/$B$4+(A69-$B$11)^2/$B$12)</f>
        <v>28.040720403182654</v>
      </c>
      <c r="E69" s="32">
        <f>C69+$B$5*$B$10*SQRT(1/$B$4+(A69-$B$11)^2/$B$12)</f>
        <v>28.526373719719814</v>
      </c>
      <c r="G69" s="32" cm="1">
        <f t="array" ref="G69">Лист3!C7</f>
        <v>45</v>
      </c>
      <c r="H69" s="32" cm="1">
        <f t="array" ref="H69">Лист3!D7</f>
        <v>28.292000000000002</v>
      </c>
      <c r="I69" s="32">
        <f>$B$15+$B$16*G69</f>
        <v>27.035306843267115</v>
      </c>
      <c r="J69" s="32">
        <f>I69-$B$5*$B$17*SQRT(1/$B$4+(G69-$B$18)^2/$B$19)</f>
        <v>26.371165240409976</v>
      </c>
      <c r="K69" s="32">
        <f>I69+$B$5*$B$17*SQRT(1/$B$4+(G69-$B$18)^2/$B$19)</f>
        <v>27.699448446124254</v>
      </c>
    </row>
    <row r="70" spans="1:11" ht="15" customHeight="1">
      <c r="A70" s="32" cm="1">
        <f t="array" ref="A70">Лист3!B32</f>
        <v>125</v>
      </c>
      <c r="B70" s="32" cm="1">
        <f t="array" ref="B70">Лист3!D32</f>
        <v>27.692</v>
      </c>
      <c r="C70" s="32">
        <f>$B$8+$B$9*A70</f>
        <v>28.283547061451234</v>
      </c>
      <c r="D70" s="32">
        <f>C70-$B$5*$B$10*SQRT(1/$B$4+(A70-$B$11)^2/$B$12)</f>
        <v>28.040720403182654</v>
      </c>
      <c r="E70" s="32">
        <f>C70+$B$5*$B$10*SQRT(1/$B$4+(A70-$B$11)^2/$B$12)</f>
        <v>28.526373719719814</v>
      </c>
      <c r="G70" s="32" cm="1">
        <f t="array" ref="G70">Лист3!C15</f>
        <v>45</v>
      </c>
      <c r="H70" s="32" cm="1">
        <f t="array" ref="H70">Лист3!D15</f>
        <v>25.071999999999999</v>
      </c>
      <c r="I70" s="32">
        <f>$B$15+$B$16*G70</f>
        <v>27.035306843267115</v>
      </c>
      <c r="J70" s="32">
        <f>I70-$B$5*$B$17*SQRT(1/$B$4+(G70-$B$18)^2/$B$19)</f>
        <v>26.371165240409976</v>
      </c>
      <c r="K70" s="32">
        <f>I70+$B$5*$B$17*SQRT(1/$B$4+(G70-$B$18)^2/$B$19)</f>
        <v>27.699448446124254</v>
      </c>
    </row>
    <row r="71" spans="1:11" ht="15" customHeight="1">
      <c r="A71" s="32" cm="1">
        <f t="array" ref="A71">Лист3!B42</f>
        <v>127</v>
      </c>
      <c r="B71" s="32" cm="1">
        <f t="array" ref="B71">Лист3!D42</f>
        <v>28.03</v>
      </c>
      <c r="C71" s="32">
        <f>$B$8+$B$9*A71</f>
        <v>28.402893533516142</v>
      </c>
      <c r="D71" s="32">
        <f>C71-$B$5*$B$10*SQRT(1/$B$4+(A71-$B$11)^2/$B$12)</f>
        <v>28.147913854785553</v>
      </c>
      <c r="E71" s="32">
        <f>C71+$B$5*$B$10*SQRT(1/$B$4+(A71-$B$11)^2/$B$12)</f>
        <v>28.657873212246731</v>
      </c>
      <c r="G71" s="32" cm="1">
        <f t="array" ref="G71">Лист3!C41</f>
        <v>45</v>
      </c>
      <c r="H71" s="32" cm="1">
        <f t="array" ref="H71">Лист3!D41</f>
        <v>28.074000000000002</v>
      </c>
      <c r="I71" s="32">
        <f>$B$15+$B$16*G71</f>
        <v>27.035306843267115</v>
      </c>
      <c r="J71" s="32">
        <f>I71-$B$5*$B$17*SQRT(1/$B$4+(G71-$B$18)^2/$B$19)</f>
        <v>26.371165240409976</v>
      </c>
      <c r="K71" s="32">
        <f>I71+$B$5*$B$17*SQRT(1/$B$4+(G71-$B$18)^2/$B$19)</f>
        <v>27.699448446124254</v>
      </c>
    </row>
    <row r="72" spans="1:11" ht="15" customHeight="1">
      <c r="A72" s="32" cm="1">
        <f t="array" ref="A72">Лист3!B45</f>
        <v>128</v>
      </c>
      <c r="B72" s="32" cm="1">
        <f t="array" ref="B72">Лист3!D45</f>
        <v>28.102</v>
      </c>
      <c r="C72" s="32">
        <f>$B$8+$B$9*A72</f>
        <v>28.462566769548602</v>
      </c>
      <c r="D72" s="32">
        <f>C72-$B$5*$B$10*SQRT(1/$B$4+(A72-$B$11)^2/$B$12)</f>
        <v>28.201417401902383</v>
      </c>
      <c r="E72" s="32">
        <f>C72+$B$5*$B$10*SQRT(1/$B$4+(A72-$B$11)^2/$B$12)</f>
        <v>28.72371613719482</v>
      </c>
      <c r="G72" s="32" cm="1">
        <f t="array" ref="G72">Лист3!C49</f>
        <v>45</v>
      </c>
      <c r="H72" s="32" cm="1">
        <f t="array" ref="H72">Лист3!D49</f>
        <v>25.143999999999998</v>
      </c>
      <c r="I72" s="32">
        <f>$B$15+$B$16*G72</f>
        <v>27.035306843267115</v>
      </c>
      <c r="J72" s="32">
        <f>I72-$B$5*$B$17*SQRT(1/$B$4+(G72-$B$18)^2/$B$19)</f>
        <v>26.371165240409976</v>
      </c>
      <c r="K72" s="32">
        <f>I72+$B$5*$B$17*SQRT(1/$B$4+(G72-$B$18)^2/$B$19)</f>
        <v>27.699448446124254</v>
      </c>
    </row>
    <row r="75" spans="1:11" ht="16.5" customHeight="1">
      <c r="A75" s="33" t="s">
        <v>134</v>
      </c>
    </row>
    <row r="76" spans="1:11" ht="15" customHeight="1">
      <c r="A76" t="s">
        <v>111</v>
      </c>
    </row>
    <row r="77" spans="1:11" ht="15" customHeight="1">
      <c r="A77" t="s">
        <v>135</v>
      </c>
    </row>
    <row r="78" spans="1:11" ht="15" customHeight="1">
      <c r="A78" t="s">
        <v>136</v>
      </c>
    </row>
    <row r="79" spans="1:11" ht="15" customHeight="1">
      <c r="A79" t="s">
        <v>137</v>
      </c>
    </row>
    <row r="80" spans="1:11" ht="15" customHeight="1">
      <c r="A80" t="s">
        <v>138</v>
      </c>
    </row>
    <row r="81" spans="1:1" ht="15" customHeight="1">
      <c r="A81" t="s">
        <v>139</v>
      </c>
    </row>
    <row r="82" spans="1:1" ht="15" customHeight="1">
      <c r="A82" t="s">
        <v>140</v>
      </c>
    </row>
    <row r="83" spans="1:1" ht="15" customHeight="1">
      <c r="A83" t="s">
        <v>111</v>
      </c>
    </row>
    <row r="84" spans="1:1" ht="15" customHeight="1">
      <c r="A84" t="s">
        <v>141</v>
      </c>
    </row>
    <row r="85" spans="1:1" ht="15" customHeight="1">
      <c r="A85" t="s">
        <v>142</v>
      </c>
    </row>
    <row r="86" spans="1:1" ht="15" customHeight="1">
      <c r="A86" t="s">
        <v>137</v>
      </c>
    </row>
    <row r="87" spans="1:1" ht="15" customHeight="1">
      <c r="A87" t="s">
        <v>143</v>
      </c>
    </row>
    <row r="88" spans="1:1" ht="15" customHeight="1">
      <c r="A88" t="s">
        <v>111</v>
      </c>
    </row>
    <row r="89" spans="1:1" ht="15" customHeight="1">
      <c r="A89" t="s">
        <v>144</v>
      </c>
    </row>
    <row r="90" spans="1:1" ht="15" customHeight="1">
      <c r="A90" t="s">
        <v>145</v>
      </c>
    </row>
    <row r="91" spans="1:1" ht="15" customHeight="1">
      <c r="A91" t="s">
        <v>111</v>
      </c>
    </row>
    <row r="92" spans="1:1" ht="15" customHeight="1">
      <c r="A92" t="s">
        <v>146</v>
      </c>
    </row>
    <row r="93" spans="1:1" ht="15" customHeight="1">
      <c r="A93" t="s">
        <v>147</v>
      </c>
    </row>
    <row r="94" spans="1:1" ht="15" customHeight="1">
      <c r="A94" t="s">
        <v>148</v>
      </c>
    </row>
    <row r="95" spans="1:1" ht="15" customHeight="1">
      <c r="A95" t="s">
        <v>149</v>
      </c>
    </row>
  </sheetData>
  <sortState xmlns:xlrd2="http://schemas.microsoft.com/office/spreadsheetml/2017/richdata2" ref="G23:K72">
    <sortCondition ref="G72"/>
  </sortState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ЛБ3</vt:lpstr>
      <vt:lpstr>Лист3</vt:lpstr>
      <vt:lpstr>CI_Analysis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Алиса Старикова</dc:creator>
  <cp:lastModifiedBy>Microsoft Office User</cp:lastModifiedBy>
  <dcterms:created xsi:type="dcterms:W3CDTF">2015-06-05T18:19:34Z</dcterms:created>
  <dcterms:modified xsi:type="dcterms:W3CDTF">2025-12-04T16:14:46Z</dcterms:modified>
</cp:coreProperties>
</file>