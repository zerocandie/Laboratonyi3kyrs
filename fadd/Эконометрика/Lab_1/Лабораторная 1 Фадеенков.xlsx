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vko\Desktop\"/>
    </mc:Choice>
  </mc:AlternateContent>
  <xr:revisionPtr revIDLastSave="0" documentId="13_ncr:1_{0214F859-69CC-44F7-BD25-539E3CCB40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адание №1-2" sheetId="1" r:id="rId1"/>
    <sheet name="Задание №3" sheetId="2" r:id="rId2"/>
    <sheet name="Задание №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49" i="1" l="1"/>
  <c r="AT3" i="1"/>
  <c r="AT4" i="1"/>
  <c r="AT5" i="1"/>
  <c r="AT6" i="1"/>
  <c r="AX6" i="1" s="1"/>
  <c r="AT7" i="1"/>
  <c r="AT8" i="1"/>
  <c r="AT2" i="1"/>
  <c r="AX2" i="1" s="1"/>
  <c r="AW44" i="1"/>
  <c r="AX8" i="1"/>
  <c r="AX5" i="1"/>
  <c r="AX3" i="1"/>
  <c r="AO42" i="1"/>
  <c r="AO41" i="1"/>
  <c r="AO39" i="1"/>
  <c r="AO38" i="1"/>
  <c r="AR38" i="1" s="1"/>
  <c r="AO33" i="1"/>
  <c r="AO32" i="1"/>
  <c r="AO30" i="1"/>
  <c r="AS35" i="1" s="1"/>
  <c r="AO29" i="1"/>
  <c r="AR29" i="1" s="1"/>
  <c r="AO23" i="1"/>
  <c r="AO24" i="1"/>
  <c r="AO20" i="1"/>
  <c r="AO21" i="1"/>
  <c r="AS26" i="1" s="1"/>
  <c r="AO15" i="1"/>
  <c r="AO14" i="1"/>
  <c r="AO7" i="1"/>
  <c r="AO11" i="1"/>
  <c r="AR11" i="1" s="1"/>
  <c r="AO12" i="1"/>
  <c r="AO4" i="1"/>
  <c r="AS8" i="1" s="1"/>
  <c r="AO6" i="1"/>
  <c r="AO3" i="1"/>
  <c r="D72" i="1"/>
  <c r="F108" i="1" s="1"/>
  <c r="AS38" i="1" l="1"/>
  <c r="AO31" i="1"/>
  <c r="AO22" i="1"/>
  <c r="AO40" i="1"/>
  <c r="AO13" i="1"/>
  <c r="AW8" i="1"/>
  <c r="AS29" i="1"/>
  <c r="AT29" i="1"/>
  <c r="AW26" i="1"/>
  <c r="AS11" i="1"/>
  <c r="AT11" i="1" s="1"/>
  <c r="AW35" i="1"/>
  <c r="AO5" i="1"/>
  <c r="AS2" i="1" s="1"/>
  <c r="AX4" i="1"/>
  <c r="G103" i="1"/>
  <c r="AR20" i="1"/>
  <c r="AX7" i="1"/>
  <c r="E89" i="1"/>
  <c r="G104" i="1"/>
  <c r="G102" i="1"/>
  <c r="F105" i="1"/>
  <c r="F111" i="1"/>
  <c r="C86" i="1"/>
  <c r="AW38" i="1" l="1"/>
  <c r="AU38" i="1"/>
  <c r="AR39" i="1"/>
  <c r="AT38" i="1"/>
  <c r="AS20" i="1"/>
  <c r="AW2" i="1"/>
  <c r="AR3" i="1"/>
  <c r="AS3" i="1" s="1"/>
  <c r="AU2" i="1"/>
  <c r="AX29" i="1"/>
  <c r="AU29" i="1"/>
  <c r="AW29" i="1"/>
  <c r="AR30" i="1"/>
  <c r="AU11" i="1"/>
  <c r="AV11" i="1" s="1"/>
  <c r="AW11" i="1"/>
  <c r="AR12" i="1"/>
  <c r="C56" i="1"/>
  <c r="B56" i="1"/>
  <c r="C87" i="1"/>
  <c r="AV29" i="1" l="1"/>
  <c r="AV38" i="1"/>
  <c r="AX38" i="1"/>
  <c r="AS39" i="1"/>
  <c r="AT39" i="1"/>
  <c r="AV2" i="1"/>
  <c r="AW3" i="1"/>
  <c r="AR4" i="1"/>
  <c r="AS4" i="1" s="1"/>
  <c r="AU3" i="1"/>
  <c r="AV3" i="1" s="1"/>
  <c r="AS30" i="1"/>
  <c r="AU20" i="1"/>
  <c r="AR21" i="1"/>
  <c r="AW20" i="1"/>
  <c r="AS12" i="1"/>
  <c r="AT12" i="1" s="1"/>
  <c r="AT20" i="1"/>
  <c r="C72" i="1"/>
  <c r="E72" i="1"/>
  <c r="F72" i="1"/>
  <c r="G72" i="1"/>
  <c r="C73" i="1"/>
  <c r="C81" i="1" s="1"/>
  <c r="D73" i="1"/>
  <c r="E73" i="1"/>
  <c r="F73" i="1"/>
  <c r="G73" i="1"/>
  <c r="E111" i="1" s="1"/>
  <c r="C74" i="1"/>
  <c r="D74" i="1"/>
  <c r="E102" i="1" s="1"/>
  <c r="E74" i="1"/>
  <c r="F74" i="1"/>
  <c r="E109" i="1" s="1"/>
  <c r="G74" i="1"/>
  <c r="E112" i="1" s="1"/>
  <c r="C75" i="1"/>
  <c r="D75" i="1"/>
  <c r="E103" i="1" s="1"/>
  <c r="E75" i="1"/>
  <c r="F75" i="1"/>
  <c r="G75" i="1"/>
  <c r="C76" i="1"/>
  <c r="D76" i="1"/>
  <c r="E76" i="1"/>
  <c r="E107" i="1" s="1"/>
  <c r="F76" i="1"/>
  <c r="F100" i="1" s="1"/>
  <c r="G76" i="1"/>
  <c r="AR40" i="1" l="1"/>
  <c r="AW39" i="1"/>
  <c r="AU39" i="1"/>
  <c r="AV39" i="1" s="1"/>
  <c r="AX39" i="1"/>
  <c r="J103" i="1"/>
  <c r="F113" i="1"/>
  <c r="G110" i="1"/>
  <c r="G109" i="1"/>
  <c r="J109" i="1" s="1"/>
  <c r="F106" i="1"/>
  <c r="F103" i="1"/>
  <c r="G108" i="1"/>
  <c r="AR31" i="1"/>
  <c r="AU30" i="1"/>
  <c r="AW30" i="1"/>
  <c r="G89" i="1"/>
  <c r="G105" i="1"/>
  <c r="F109" i="1"/>
  <c r="F112" i="1"/>
  <c r="G107" i="1"/>
  <c r="F102" i="1"/>
  <c r="J102" i="1" s="1"/>
  <c r="G106" i="1"/>
  <c r="AX20" i="1"/>
  <c r="AV20" i="1"/>
  <c r="AT30" i="1"/>
  <c r="F96" i="1"/>
  <c r="E106" i="1"/>
  <c r="AR5" i="1"/>
  <c r="AS5" i="1" s="1"/>
  <c r="AW4" i="1"/>
  <c r="AU4" i="1"/>
  <c r="AV4" i="1" s="1"/>
  <c r="E113" i="1"/>
  <c r="F97" i="1"/>
  <c r="E110" i="1"/>
  <c r="J110" i="1" s="1"/>
  <c r="F90" i="1"/>
  <c r="E108" i="1"/>
  <c r="H103" i="1"/>
  <c r="I103" i="1" s="1"/>
  <c r="F89" i="1"/>
  <c r="E105" i="1"/>
  <c r="AU12" i="1"/>
  <c r="AR13" i="1"/>
  <c r="AW12" i="1"/>
  <c r="E104" i="1"/>
  <c r="F98" i="1"/>
  <c r="G111" i="1"/>
  <c r="J111" i="1" s="1"/>
  <c r="F110" i="1"/>
  <c r="F107" i="1"/>
  <c r="F104" i="1"/>
  <c r="G112" i="1"/>
  <c r="J112" i="1" s="1"/>
  <c r="G113" i="1"/>
  <c r="AS21" i="1"/>
  <c r="E90" i="1"/>
  <c r="D80" i="1"/>
  <c r="B60" i="1"/>
  <c r="J108" i="1" l="1"/>
  <c r="AS40" i="1"/>
  <c r="AT40" i="1"/>
  <c r="J105" i="1"/>
  <c r="AW21" i="1"/>
  <c r="AU21" i="1"/>
  <c r="J107" i="1"/>
  <c r="AS31" i="1"/>
  <c r="AT31" i="1" s="1"/>
  <c r="J113" i="1"/>
  <c r="AT21" i="1"/>
  <c r="J106" i="1"/>
  <c r="AX30" i="1"/>
  <c r="AV30" i="1"/>
  <c r="AS13" i="1"/>
  <c r="AT13" i="1"/>
  <c r="AR6" i="1"/>
  <c r="AS6" i="1" s="1"/>
  <c r="AU5" i="1"/>
  <c r="AV5" i="1" s="1"/>
  <c r="AW5" i="1"/>
  <c r="AR22" i="1"/>
  <c r="AV12" i="1"/>
  <c r="J104" i="1"/>
  <c r="J89" i="1"/>
  <c r="H89" i="1"/>
  <c r="D83" i="1"/>
  <c r="F92" i="1"/>
  <c r="G97" i="1"/>
  <c r="G100" i="1"/>
  <c r="G96" i="1"/>
  <c r="G92" i="1"/>
  <c r="E99" i="1"/>
  <c r="E97" i="1"/>
  <c r="E80" i="1"/>
  <c r="H102" i="1"/>
  <c r="I102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E84" i="1"/>
  <c r="G81" i="1"/>
  <c r="D84" i="1"/>
  <c r="F94" i="1"/>
  <c r="G83" i="1"/>
  <c r="F84" i="1"/>
  <c r="F93" i="1"/>
  <c r="E81" i="1"/>
  <c r="AX40" i="1" l="1"/>
  <c r="AV40" i="1"/>
  <c r="AR41" i="1"/>
  <c r="AW40" i="1"/>
  <c r="AU40" i="1"/>
  <c r="AX31" i="1"/>
  <c r="AS22" i="1"/>
  <c r="AT22" i="1" s="1"/>
  <c r="AV21" i="1"/>
  <c r="AX21" i="1"/>
  <c r="AR32" i="1"/>
  <c r="AW31" i="1"/>
  <c r="AU31" i="1"/>
  <c r="AR14" i="1"/>
  <c r="AU13" i="1"/>
  <c r="AV13" i="1" s="1"/>
  <c r="AW13" i="1"/>
  <c r="AR7" i="1"/>
  <c r="AS7" i="1" s="1"/>
  <c r="AU6" i="1"/>
  <c r="AV6" i="1" s="1"/>
  <c r="AW6" i="1"/>
  <c r="C130" i="1"/>
  <c r="E130" i="1" s="1"/>
  <c r="G130" i="1" s="1"/>
  <c r="I89" i="1"/>
  <c r="C117" i="1"/>
  <c r="C139" i="1"/>
  <c r="E139" i="1" s="1"/>
  <c r="G139" i="1" s="1"/>
  <c r="C138" i="1"/>
  <c r="C133" i="1"/>
  <c r="F133" i="1" s="1"/>
  <c r="H133" i="1" s="1"/>
  <c r="F81" i="1"/>
  <c r="C140" i="1"/>
  <c r="F140" i="1" s="1"/>
  <c r="C132" i="1"/>
  <c r="C131" i="1"/>
  <c r="C137" i="1"/>
  <c r="C141" i="1"/>
  <c r="C136" i="1"/>
  <c r="C135" i="1"/>
  <c r="C134" i="1"/>
  <c r="H97" i="1"/>
  <c r="I97" i="1" s="1"/>
  <c r="E83" i="1"/>
  <c r="F82" i="1"/>
  <c r="F99" i="1"/>
  <c r="G82" i="1"/>
  <c r="F91" i="1"/>
  <c r="F95" i="1"/>
  <c r="D82" i="1"/>
  <c r="C84" i="1"/>
  <c r="C83" i="1"/>
  <c r="G99" i="1"/>
  <c r="C82" i="1"/>
  <c r="E98" i="1"/>
  <c r="G80" i="1"/>
  <c r="G91" i="1"/>
  <c r="E100" i="1"/>
  <c r="G94" i="1"/>
  <c r="E96" i="1"/>
  <c r="G90" i="1"/>
  <c r="J90" i="1" s="1"/>
  <c r="E95" i="1"/>
  <c r="F80" i="1"/>
  <c r="G93" i="1"/>
  <c r="E94" i="1"/>
  <c r="E93" i="1"/>
  <c r="E92" i="1"/>
  <c r="G95" i="1"/>
  <c r="E91" i="1"/>
  <c r="G98" i="1"/>
  <c r="AV31" i="1" l="1"/>
  <c r="AS41" i="1"/>
  <c r="AT41" i="1"/>
  <c r="AX22" i="1"/>
  <c r="AR8" i="1"/>
  <c r="AU8" i="1" s="1"/>
  <c r="AV8" i="1" s="1"/>
  <c r="AU7" i="1"/>
  <c r="AV7" i="1" s="1"/>
  <c r="AW7" i="1"/>
  <c r="H91" i="1"/>
  <c r="I91" i="1" s="1"/>
  <c r="AS14" i="1"/>
  <c r="AT14" i="1" s="1"/>
  <c r="H95" i="1"/>
  <c r="AR23" i="1"/>
  <c r="AW22" i="1"/>
  <c r="AU22" i="1"/>
  <c r="J99" i="1"/>
  <c r="AS32" i="1"/>
  <c r="AT32" i="1" s="1"/>
  <c r="F139" i="1"/>
  <c r="H139" i="1" s="1"/>
  <c r="F130" i="1"/>
  <c r="H130" i="1" s="1"/>
  <c r="D130" i="1"/>
  <c r="D139" i="1"/>
  <c r="E133" i="1"/>
  <c r="G133" i="1" s="1"/>
  <c r="J94" i="1"/>
  <c r="E117" i="1"/>
  <c r="G117" i="1" s="1"/>
  <c r="D117" i="1"/>
  <c r="D133" i="1"/>
  <c r="E138" i="1"/>
  <c r="G138" i="1" s="1"/>
  <c r="F138" i="1"/>
  <c r="H138" i="1" s="1"/>
  <c r="D138" i="1"/>
  <c r="J95" i="1"/>
  <c r="J91" i="1"/>
  <c r="J98" i="1"/>
  <c r="H96" i="1"/>
  <c r="I96" i="1" s="1"/>
  <c r="J96" i="1"/>
  <c r="J97" i="1"/>
  <c r="H92" i="1"/>
  <c r="I92" i="1" s="1"/>
  <c r="J92" i="1"/>
  <c r="J93" i="1"/>
  <c r="J100" i="1"/>
  <c r="H99" i="1"/>
  <c r="I99" i="1" s="1"/>
  <c r="F134" i="1"/>
  <c r="H134" i="1" s="1"/>
  <c r="D134" i="1"/>
  <c r="E134" i="1"/>
  <c r="G134" i="1" s="1"/>
  <c r="F131" i="1"/>
  <c r="H131" i="1" s="1"/>
  <c r="D131" i="1"/>
  <c r="E131" i="1"/>
  <c r="G131" i="1" s="1"/>
  <c r="E135" i="1"/>
  <c r="G135" i="1" s="1"/>
  <c r="F135" i="1"/>
  <c r="H135" i="1" s="1"/>
  <c r="D135" i="1"/>
  <c r="F132" i="1"/>
  <c r="H132" i="1" s="1"/>
  <c r="D132" i="1"/>
  <c r="E132" i="1"/>
  <c r="G132" i="1" s="1"/>
  <c r="H100" i="1"/>
  <c r="I100" i="1" s="1"/>
  <c r="H140" i="1"/>
  <c r="D140" i="1"/>
  <c r="E140" i="1"/>
  <c r="G140" i="1" s="1"/>
  <c r="F141" i="1"/>
  <c r="H141" i="1" s="1"/>
  <c r="D141" i="1"/>
  <c r="E141" i="1"/>
  <c r="G141" i="1" s="1"/>
  <c r="E137" i="1"/>
  <c r="G137" i="1" s="1"/>
  <c r="F137" i="1"/>
  <c r="H137" i="1" s="1"/>
  <c r="D137" i="1"/>
  <c r="E136" i="1"/>
  <c r="G136" i="1" s="1"/>
  <c r="F136" i="1"/>
  <c r="H136" i="1" s="1"/>
  <c r="D136" i="1"/>
  <c r="C125" i="1"/>
  <c r="D125" i="1" s="1"/>
  <c r="I95" i="1"/>
  <c r="H94" i="1"/>
  <c r="I94" i="1" s="1"/>
  <c r="H98" i="1"/>
  <c r="I98" i="1" s="1"/>
  <c r="H93" i="1"/>
  <c r="I93" i="1" s="1"/>
  <c r="H90" i="1"/>
  <c r="C66" i="1"/>
  <c r="D66" i="1"/>
  <c r="E66" i="1"/>
  <c r="F66" i="1"/>
  <c r="B66" i="1"/>
  <c r="C64" i="1"/>
  <c r="D64" i="1"/>
  <c r="E64" i="1"/>
  <c r="F64" i="1"/>
  <c r="B64" i="1"/>
  <c r="C62" i="1"/>
  <c r="D62" i="1"/>
  <c r="E62" i="1"/>
  <c r="F62" i="1"/>
  <c r="B62" i="1"/>
  <c r="B68" i="1" s="1"/>
  <c r="C60" i="1"/>
  <c r="D60" i="1"/>
  <c r="E60" i="1"/>
  <c r="F60" i="1"/>
  <c r="C58" i="1"/>
  <c r="D58" i="1"/>
  <c r="E58" i="1"/>
  <c r="F58" i="1"/>
  <c r="B58" i="1"/>
  <c r="D56" i="1"/>
  <c r="E56" i="1"/>
  <c r="F56" i="1"/>
  <c r="AU9" i="1" l="1"/>
  <c r="AX41" i="1"/>
  <c r="AR42" i="1"/>
  <c r="AW41" i="1"/>
  <c r="AU41" i="1"/>
  <c r="AV41" i="1" s="1"/>
  <c r="AV9" i="1"/>
  <c r="AX32" i="1"/>
  <c r="AS23" i="1"/>
  <c r="AR33" i="1"/>
  <c r="AU32" i="1"/>
  <c r="AW32" i="1"/>
  <c r="AR15" i="1"/>
  <c r="AW14" i="1"/>
  <c r="AU14" i="1"/>
  <c r="AV14" i="1" s="1"/>
  <c r="AV22" i="1"/>
  <c r="C120" i="1"/>
  <c r="E120" i="1" s="1"/>
  <c r="G120" i="1" s="1"/>
  <c r="C127" i="1"/>
  <c r="F127" i="1" s="1"/>
  <c r="H127" i="1" s="1"/>
  <c r="C124" i="1"/>
  <c r="F124" i="1" s="1"/>
  <c r="H124" i="1" s="1"/>
  <c r="C118" i="1"/>
  <c r="I90" i="1"/>
  <c r="F68" i="1"/>
  <c r="E125" i="1"/>
  <c r="G125" i="1" s="1"/>
  <c r="C122" i="1"/>
  <c r="E122" i="1" s="1"/>
  <c r="G122" i="1" s="1"/>
  <c r="F125" i="1"/>
  <c r="H125" i="1" s="1"/>
  <c r="C128" i="1"/>
  <c r="F128" i="1" s="1"/>
  <c r="H128" i="1" s="1"/>
  <c r="C68" i="1"/>
  <c r="E68" i="1"/>
  <c r="D68" i="1"/>
  <c r="C123" i="1"/>
  <c r="D123" i="1" s="1"/>
  <c r="C119" i="1"/>
  <c r="F119" i="1" s="1"/>
  <c r="H119" i="1" s="1"/>
  <c r="F120" i="1"/>
  <c r="H120" i="1" s="1"/>
  <c r="D120" i="1"/>
  <c r="C126" i="1"/>
  <c r="F126" i="1" s="1"/>
  <c r="H126" i="1" s="1"/>
  <c r="C121" i="1"/>
  <c r="F121" i="1" s="1"/>
  <c r="H121" i="1" s="1"/>
  <c r="AV32" i="1" l="1"/>
  <c r="AS42" i="1"/>
  <c r="AT42" i="1" s="1"/>
  <c r="E127" i="1"/>
  <c r="G127" i="1" s="1"/>
  <c r="AS33" i="1"/>
  <c r="AT33" i="1" s="1"/>
  <c r="AR24" i="1"/>
  <c r="AU23" i="1"/>
  <c r="AW23" i="1"/>
  <c r="D124" i="1"/>
  <c r="AS15" i="1"/>
  <c r="AT15" i="1"/>
  <c r="AT23" i="1"/>
  <c r="F118" i="1"/>
  <c r="H118" i="1" s="1"/>
  <c r="E118" i="1"/>
  <c r="G118" i="1" s="1"/>
  <c r="E124" i="1"/>
  <c r="G124" i="1" s="1"/>
  <c r="D127" i="1"/>
  <c r="F117" i="1"/>
  <c r="H117" i="1" s="1"/>
  <c r="D118" i="1"/>
  <c r="D122" i="1"/>
  <c r="D119" i="1"/>
  <c r="F123" i="1"/>
  <c r="H123" i="1" s="1"/>
  <c r="F122" i="1"/>
  <c r="H122" i="1" s="1"/>
  <c r="E119" i="1"/>
  <c r="G119" i="1" s="1"/>
  <c r="E123" i="1"/>
  <c r="G123" i="1" s="1"/>
  <c r="D128" i="1"/>
  <c r="E128" i="1"/>
  <c r="G128" i="1" s="1"/>
  <c r="D121" i="1"/>
  <c r="E126" i="1"/>
  <c r="G126" i="1" s="1"/>
  <c r="E121" i="1"/>
  <c r="G121" i="1" s="1"/>
  <c r="D126" i="1"/>
  <c r="AX42" i="1" l="1"/>
  <c r="AR43" i="1"/>
  <c r="AW42" i="1"/>
  <c r="AU42" i="1"/>
  <c r="AV42" i="1" s="1"/>
  <c r="AS24" i="1"/>
  <c r="AX23" i="1"/>
  <c r="AV23" i="1"/>
  <c r="AX33" i="1"/>
  <c r="AR34" i="1"/>
  <c r="AU33" i="1"/>
  <c r="AV33" i="1" s="1"/>
  <c r="AW33" i="1"/>
  <c r="AR16" i="1"/>
  <c r="AW15" i="1"/>
  <c r="AU15" i="1"/>
  <c r="AV15" i="1" s="1"/>
  <c r="AS43" i="1" l="1"/>
  <c r="AT43" i="1"/>
  <c r="AS34" i="1"/>
  <c r="AT34" i="1"/>
  <c r="AS16" i="1"/>
  <c r="AT16" i="1"/>
  <c r="AR25" i="1"/>
  <c r="AW24" i="1"/>
  <c r="AU24" i="1"/>
  <c r="AT24" i="1"/>
  <c r="AX43" i="1" l="1"/>
  <c r="AR44" i="1"/>
  <c r="AW43" i="1"/>
  <c r="AU43" i="1"/>
  <c r="AV43" i="1" s="1"/>
  <c r="AV24" i="1"/>
  <c r="AX24" i="1"/>
  <c r="AS25" i="1"/>
  <c r="AR17" i="1"/>
  <c r="AU16" i="1"/>
  <c r="AV16" i="1" s="1"/>
  <c r="AW16" i="1"/>
  <c r="AX34" i="1"/>
  <c r="AR35" i="1"/>
  <c r="AU34" i="1"/>
  <c r="AV34" i="1" s="1"/>
  <c r="AW34" i="1"/>
  <c r="AT44" i="1" l="1"/>
  <c r="AU44" i="1"/>
  <c r="AU45" i="1" s="1"/>
  <c r="AS17" i="1"/>
  <c r="AT17" i="1"/>
  <c r="AR26" i="1"/>
  <c r="AW25" i="1"/>
  <c r="AU25" i="1"/>
  <c r="AT35" i="1"/>
  <c r="AV35" i="1" s="1"/>
  <c r="AV36" i="1" s="1"/>
  <c r="AU35" i="1"/>
  <c r="AU36" i="1" s="1"/>
  <c r="AT25" i="1"/>
  <c r="AX44" i="1" l="1"/>
  <c r="AV44" i="1"/>
  <c r="AV45" i="1" s="1"/>
  <c r="AX35" i="1"/>
  <c r="AV25" i="1"/>
  <c r="AX25" i="1"/>
  <c r="AT26" i="1"/>
  <c r="AU26" i="1"/>
  <c r="AU27" i="1" s="1"/>
  <c r="AU17" i="1"/>
  <c r="AW17" i="1"/>
  <c r="AV17" i="1" l="1"/>
  <c r="AV18" i="1" s="1"/>
  <c r="AU18" i="1"/>
  <c r="AV26" i="1"/>
  <c r="AV27" i="1" s="1"/>
  <c r="AX26" i="1"/>
</calcChain>
</file>

<file path=xl/sharedStrings.xml><?xml version="1.0" encoding="utf-8"?>
<sst xmlns="http://schemas.openxmlformats.org/spreadsheetml/2006/main" count="1167" uniqueCount="187">
  <si>
    <t>Вариант 1</t>
  </si>
  <si>
    <t>Вариант 2</t>
  </si>
  <si>
    <t>Вариант 3</t>
  </si>
  <si>
    <t>Вариант 4</t>
  </si>
  <si>
    <t>Вариант 5</t>
  </si>
  <si>
    <t>Вариант 6</t>
  </si>
  <si>
    <t>Вариант 7</t>
  </si>
  <si>
    <t>Вариант 8</t>
  </si>
  <si>
    <t>Вариант 9</t>
  </si>
  <si>
    <t>Вариант 10</t>
  </si>
  <si>
    <t>Вариант 11</t>
  </si>
  <si>
    <t>Вариант 12</t>
  </si>
  <si>
    <t>Вариант 13</t>
  </si>
  <si>
    <t>Вариант 14</t>
  </si>
  <si>
    <t>Вариант 15</t>
  </si>
  <si>
    <t>Вариант 16</t>
  </si>
  <si>
    <t>Вариант 17</t>
  </si>
  <si>
    <t>Вариант 18</t>
  </si>
  <si>
    <t>Вариант 19</t>
  </si>
  <si>
    <t>Вариант 20</t>
  </si>
  <si>
    <t>Вариант 21</t>
  </si>
  <si>
    <t>Вариант 22</t>
  </si>
  <si>
    <t>Вариант 23</t>
  </si>
  <si>
    <t>Вариант 24</t>
  </si>
  <si>
    <t>Вариант 25</t>
  </si>
  <si>
    <t>Вариант 26</t>
  </si>
  <si>
    <t>Вариант 27</t>
  </si>
  <si>
    <t>Вариант 28</t>
  </si>
  <si>
    <t>Вариант 29</t>
  </si>
  <si>
    <t>Вариант 30</t>
  </si>
  <si>
    <t>Вариант 31</t>
  </si>
  <si>
    <t>Вариант 32</t>
  </si>
  <si>
    <t>Вариант 33</t>
  </si>
  <si>
    <t>Вариант 34</t>
  </si>
  <si>
    <t>Вариант 35</t>
  </si>
  <si>
    <t>Вариант 36</t>
  </si>
  <si>
    <t>Вариант 37</t>
  </si>
  <si>
    <t>Вариант 38</t>
  </si>
  <si>
    <t>Вариант 39</t>
  </si>
  <si>
    <t>Вариант 40</t>
  </si>
  <si>
    <t>Вариант 41</t>
  </si>
  <si>
    <t>Вариант 42</t>
  </si>
  <si>
    <t>Вариант 43</t>
  </si>
  <si>
    <t>Вариант 44</t>
  </si>
  <si>
    <t>Вариант 45</t>
  </si>
  <si>
    <t>Вариант 46</t>
  </si>
  <si>
    <t>Вариант 47</t>
  </si>
  <si>
    <t>Вариант 48</t>
  </si>
  <si>
    <t>Вариант 49</t>
  </si>
  <si>
    <t>Вариант 50</t>
  </si>
  <si>
    <t>Вариант 51</t>
  </si>
  <si>
    <t>Вариант 52</t>
  </si>
  <si>
    <t>Вариант 53</t>
  </si>
  <si>
    <t>Вариант 54</t>
  </si>
  <si>
    <t>Вариант 55</t>
  </si>
  <si>
    <t>Вариант 56</t>
  </si>
  <si>
    <t>Вариант 57</t>
  </si>
  <si>
    <t>Вариант 58</t>
  </si>
  <si>
    <t>Вариант 59</t>
  </si>
  <si>
    <t>Вариант 60</t>
  </si>
  <si>
    <t>Посетители</t>
  </si>
  <si>
    <t>томаты</t>
  </si>
  <si>
    <t>лапша</t>
  </si>
  <si>
    <t>мука</t>
  </si>
  <si>
    <t>крупа</t>
  </si>
  <si>
    <t>тыс. руб.</t>
  </si>
  <si>
    <t>мыло</t>
  </si>
  <si>
    <t>порошок</t>
  </si>
  <si>
    <t>средство</t>
  </si>
  <si>
    <t>краска</t>
  </si>
  <si>
    <t>пена</t>
  </si>
  <si>
    <t>Дни продаж</t>
  </si>
  <si>
    <t>шт.</t>
  </si>
  <si>
    <t>прибыль</t>
  </si>
  <si>
    <t>Наименование</t>
  </si>
  <si>
    <t>выручка, руб.</t>
  </si>
  <si>
    <t>Колбаса Покровская вареная</t>
  </si>
  <si>
    <t>Колбаса Посадская вареная</t>
  </si>
  <si>
    <t>Колбаса Чайная вареная</t>
  </si>
  <si>
    <t>Колбаса Московская п/к</t>
  </si>
  <si>
    <t>Колбаса Ветчина Балтийская</t>
  </si>
  <si>
    <t>Колбаса Докторская вареная</t>
  </si>
  <si>
    <t>Колбаса Сервелат</t>
  </si>
  <si>
    <t>Сосиски Молочные</t>
  </si>
  <si>
    <t>Сосиски Студенческие</t>
  </si>
  <si>
    <t>Сыр колбасный Особый</t>
  </si>
  <si>
    <t>Сыр колбасный Копченый</t>
  </si>
  <si>
    <t>Сыр Фомальгаут</t>
  </si>
  <si>
    <t>Сыр Цезарь</t>
  </si>
  <si>
    <t>Сыр Костромской</t>
  </si>
  <si>
    <t>Сыр Сливочный</t>
  </si>
  <si>
    <t>Сыр Советский</t>
  </si>
  <si>
    <t>Сыр Горный</t>
  </si>
  <si>
    <t>Сыр Ламбер</t>
  </si>
  <si>
    <t>Сыр Монарх</t>
  </si>
  <si>
    <t>Молоко Кот Матроскин</t>
  </si>
  <si>
    <t>Молоко Хижина на природе</t>
  </si>
  <si>
    <t>Молоко Зимняя ночь</t>
  </si>
  <si>
    <t>Молоко Лужок</t>
  </si>
  <si>
    <t>Молоко Усатый дед</t>
  </si>
  <si>
    <t>Крупа гречневая</t>
  </si>
  <si>
    <t>Крупа перловая</t>
  </si>
  <si>
    <t>Крупа пшенная</t>
  </si>
  <si>
    <t>Макароны Сударушка</t>
  </si>
  <si>
    <t>Макароны Дядя Федор</t>
  </si>
  <si>
    <t>Масло Семечка</t>
  </si>
  <si>
    <t>Масло Оливочка</t>
  </si>
  <si>
    <t>Масло Масленное</t>
  </si>
  <si>
    <t>Кефир Кот Матроскин</t>
  </si>
  <si>
    <t>Кефир Усатый дед</t>
  </si>
  <si>
    <t>Хлеб Бородинский</t>
  </si>
  <si>
    <t>Батон Разрезной</t>
  </si>
  <si>
    <t>Апельсины Марокко</t>
  </si>
  <si>
    <t>Бананы Эквадор</t>
  </si>
  <si>
    <t>Груша Конференция</t>
  </si>
  <si>
    <t>Картофель Новый</t>
  </si>
  <si>
    <t>Киви Греция</t>
  </si>
  <si>
    <t>Лимон Израиль</t>
  </si>
  <si>
    <t>Лук Алтай зеленый</t>
  </si>
  <si>
    <t>Лук репчатый местный</t>
  </si>
  <si>
    <t>Морковь импортная</t>
  </si>
  <si>
    <t>Огурцы Пугачевские</t>
  </si>
  <si>
    <t>Перец желтый</t>
  </si>
  <si>
    <t>Перец импортный</t>
  </si>
  <si>
    <t>Помело Тайвань</t>
  </si>
  <si>
    <t>Редис круглый</t>
  </si>
  <si>
    <t>Яблоко Медовое</t>
  </si>
  <si>
    <t>Яблоко Красный Принц</t>
  </si>
  <si>
    <t>День продаж</t>
  </si>
  <si>
    <t>Сыр Артельный</t>
  </si>
  <si>
    <t>Пельмени Мясные</t>
  </si>
  <si>
    <t>Пельмени Сибирские</t>
  </si>
  <si>
    <t>Рис круглый</t>
  </si>
  <si>
    <t>Рис обраб паром</t>
  </si>
  <si>
    <t>Рис длиннозернистый</t>
  </si>
  <si>
    <t>Рис коричневый</t>
  </si>
  <si>
    <t>Колбаса Молочная вареная</t>
  </si>
  <si>
    <t xml:space="preserve"> </t>
  </si>
  <si>
    <t>Арифметическое среднее:</t>
  </si>
  <si>
    <t>Медиана</t>
  </si>
  <si>
    <t>Дисперсия</t>
  </si>
  <si>
    <t>Среднеквадратическое отклонение</t>
  </si>
  <si>
    <t>Коэффициент асимметрии</t>
  </si>
  <si>
    <t>Коэффициент эксцесса</t>
  </si>
  <si>
    <t>Коэффициент вариации</t>
  </si>
  <si>
    <t>Коэффициент парной кореляции</t>
  </si>
  <si>
    <t>Статистика Стьюдента</t>
  </si>
  <si>
    <t>t_кр=</t>
  </si>
  <si>
    <t>Частный коэффициент корреляции</t>
  </si>
  <si>
    <t>люди</t>
  </si>
  <si>
    <t>Проверка на значимость</t>
  </si>
  <si>
    <t>Z</t>
  </si>
  <si>
    <t>E(Z)</t>
  </si>
  <si>
    <t>Zmin</t>
  </si>
  <si>
    <t>Zmax</t>
  </si>
  <si>
    <t>rmin</t>
  </si>
  <si>
    <t>rmax</t>
  </si>
  <si>
    <t>лев</t>
  </si>
  <si>
    <t>прав</t>
  </si>
  <si>
    <t>В</t>
  </si>
  <si>
    <t>Е</t>
  </si>
  <si>
    <t>Формула</t>
  </si>
  <si>
    <t>Карман</t>
  </si>
  <si>
    <t>Частота</t>
  </si>
  <si>
    <t>к</t>
  </si>
  <si>
    <t>мин</t>
  </si>
  <si>
    <t>макс</t>
  </si>
  <si>
    <t>ширина</t>
  </si>
  <si>
    <t>среднее</t>
  </si>
  <si>
    <t>ст.отклонение</t>
  </si>
  <si>
    <t>Посетители человек</t>
  </si>
  <si>
    <t>Торговая точка номер</t>
  </si>
  <si>
    <t>томаты тыс. руб.</t>
  </si>
  <si>
    <t>лапша тыс. руб.</t>
  </si>
  <si>
    <t>мука тыс. руб.</t>
  </si>
  <si>
    <t>крупа тыс. руб.</t>
  </si>
  <si>
    <t>Множественный коэффициент корреляции</t>
  </si>
  <si>
    <t>№</t>
  </si>
  <si>
    <t>Томаты</t>
  </si>
  <si>
    <t>Лапша</t>
  </si>
  <si>
    <t>Мука</t>
  </si>
  <si>
    <t>Крупа</t>
  </si>
  <si>
    <t>x</t>
  </si>
  <si>
    <t>📐 Формула Стерджесса:</t>
  </si>
  <si>
    <r>
      <t>k</t>
    </r>
    <r>
      <rPr>
        <sz val="13.3"/>
        <color rgb="FFFF0000"/>
        <rFont val="Times New Roman"/>
        <family val="1"/>
      </rPr>
      <t>=1+3.322⋅log</t>
    </r>
    <r>
      <rPr>
        <sz val="7.7"/>
        <color rgb="FFFF0000"/>
        <rFont val="Times New Roman"/>
        <family val="1"/>
      </rPr>
      <t>10</t>
    </r>
    <r>
      <rPr>
        <sz val="1"/>
        <color rgb="FFFF0000"/>
        <rFont val="Times New Roman"/>
        <family val="1"/>
      </rPr>
      <t>​</t>
    </r>
    <r>
      <rPr>
        <sz val="13.3"/>
        <color rgb="FFFF0000"/>
        <rFont val="Times New Roman"/>
        <family val="1"/>
      </rPr>
      <t>(</t>
    </r>
    <r>
      <rPr>
        <i/>
        <sz val="13.3"/>
        <color rgb="FFFF0000"/>
        <rFont val="KaTeX_Math"/>
      </rPr>
      <t>n</t>
    </r>
    <r>
      <rPr>
        <sz val="13.3"/>
        <color rgb="FFFF0000"/>
        <rFont val="Times New Roman"/>
        <family val="1"/>
      </rPr>
      <t>)</t>
    </r>
  </si>
  <si>
    <r>
      <t xml:space="preserve">K - Это </t>
    </r>
    <r>
      <rPr>
        <b/>
        <sz val="16"/>
        <color rgb="FFFF0000"/>
        <rFont val="Arial"/>
        <family val="2"/>
      </rPr>
      <t>результат формулы Стерджесса</t>
    </r>
    <r>
      <rPr>
        <sz val="16"/>
        <color rgb="FFFF0000"/>
        <rFont val="Arial"/>
        <family val="2"/>
      </rPr>
      <t xml:space="preserve"> — она используется для определения </t>
    </r>
    <r>
      <rPr>
        <b/>
        <sz val="16"/>
        <color rgb="FFFF0000"/>
        <rFont val="Arial"/>
        <family val="2"/>
      </rPr>
      <t>оптимального количества интервалов (карманов) в гистограмме</t>
    </r>
    <r>
      <rPr>
        <sz val="16"/>
        <color rgb="FFFF0000"/>
        <rFont val="Arial"/>
        <family val="2"/>
      </rPr>
      <t>.</t>
    </r>
  </si>
  <si>
    <t>Кртическое значение хи^2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</si>
</sst>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0.0000"/>
    <numFmt numFmtId="167" formatCode="0.000000"/>
  </numFmts>
  <fonts count="16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16"/>
      <color rgb="FFFF0000"/>
      <name val="Arial"/>
      <family val="2"/>
    </font>
    <font>
      <sz val="11"/>
      <color rgb="FFFF0000"/>
      <name val="Calibri"/>
      <family val="2"/>
      <charset val="204"/>
      <scheme val="minor"/>
    </font>
    <font>
      <sz val="18"/>
      <color rgb="FFFF0000"/>
      <name val="Arial"/>
      <family val="2"/>
    </font>
    <font>
      <i/>
      <sz val="13.3"/>
      <color rgb="FFFF0000"/>
      <name val="KaTeX_Math"/>
    </font>
    <font>
      <sz val="13.3"/>
      <color rgb="FFFF0000"/>
      <name val="Times New Roman"/>
      <family val="1"/>
    </font>
    <font>
      <sz val="7.7"/>
      <color rgb="FFFF0000"/>
      <name val="Times New Roman"/>
      <family val="1"/>
    </font>
    <font>
      <sz val="1"/>
      <color rgb="FFFF0000"/>
      <name val="Times New Roman"/>
      <family val="1"/>
    </font>
    <font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43" fontId="4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164" fontId="0" fillId="0" borderId="1" xfId="0" applyNumberFormat="1" applyBorder="1"/>
    <xf numFmtId="1" fontId="0" fillId="0" borderId="1" xfId="0" applyNumberFormat="1" applyBorder="1"/>
    <xf numFmtId="165" fontId="0" fillId="0" borderId="1" xfId="2" applyNumberFormat="1" applyFont="1" applyBorder="1"/>
    <xf numFmtId="0" fontId="0" fillId="2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2" xfId="0" applyBorder="1"/>
    <xf numFmtId="0" fontId="5" fillId="0" borderId="3" xfId="0" applyFont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/>
    <xf numFmtId="167" fontId="6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Обычный" xfId="0" builtinId="0"/>
    <cellStyle name="Обычный 2" xfId="1" xr:uid="{00000000-0005-0000-0000-000001000000}"/>
    <cellStyle name="Финансовый" xfId="2" builtinId="3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Корреляционное поле (посетители-томаты)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№1-2'!$B$3:$B$52</c:f>
              <c:numCache>
                <c:formatCode>General</c:formatCode>
                <c:ptCount val="50"/>
                <c:pt idx="0">
                  <c:v>2351</c:v>
                </c:pt>
                <c:pt idx="1">
                  <c:v>1643</c:v>
                </c:pt>
                <c:pt idx="2">
                  <c:v>1603</c:v>
                </c:pt>
                <c:pt idx="3">
                  <c:v>1735</c:v>
                </c:pt>
                <c:pt idx="4">
                  <c:v>2031</c:v>
                </c:pt>
                <c:pt idx="5">
                  <c:v>1266</c:v>
                </c:pt>
                <c:pt idx="6">
                  <c:v>1138</c:v>
                </c:pt>
                <c:pt idx="7">
                  <c:v>947</c:v>
                </c:pt>
                <c:pt idx="8">
                  <c:v>921</c:v>
                </c:pt>
                <c:pt idx="9">
                  <c:v>826</c:v>
                </c:pt>
                <c:pt idx="10">
                  <c:v>784</c:v>
                </c:pt>
                <c:pt idx="11">
                  <c:v>932</c:v>
                </c:pt>
                <c:pt idx="12">
                  <c:v>755</c:v>
                </c:pt>
                <c:pt idx="13">
                  <c:v>998</c:v>
                </c:pt>
                <c:pt idx="14">
                  <c:v>1047</c:v>
                </c:pt>
                <c:pt idx="15">
                  <c:v>1143</c:v>
                </c:pt>
                <c:pt idx="16">
                  <c:v>805</c:v>
                </c:pt>
                <c:pt idx="17">
                  <c:v>969</c:v>
                </c:pt>
                <c:pt idx="18">
                  <c:v>907</c:v>
                </c:pt>
                <c:pt idx="19">
                  <c:v>1017</c:v>
                </c:pt>
                <c:pt idx="20">
                  <c:v>1125</c:v>
                </c:pt>
                <c:pt idx="21">
                  <c:v>1177</c:v>
                </c:pt>
                <c:pt idx="22">
                  <c:v>758</c:v>
                </c:pt>
                <c:pt idx="23">
                  <c:v>1000</c:v>
                </c:pt>
                <c:pt idx="24">
                  <c:v>819</c:v>
                </c:pt>
                <c:pt idx="25">
                  <c:v>837</c:v>
                </c:pt>
                <c:pt idx="26">
                  <c:v>1249</c:v>
                </c:pt>
                <c:pt idx="27">
                  <c:v>1089</c:v>
                </c:pt>
                <c:pt idx="28">
                  <c:v>1045</c:v>
                </c:pt>
                <c:pt idx="29">
                  <c:v>1245</c:v>
                </c:pt>
                <c:pt idx="30">
                  <c:v>284</c:v>
                </c:pt>
                <c:pt idx="31">
                  <c:v>467</c:v>
                </c:pt>
                <c:pt idx="32">
                  <c:v>292</c:v>
                </c:pt>
                <c:pt idx="33">
                  <c:v>332</c:v>
                </c:pt>
                <c:pt idx="34">
                  <c:v>290</c:v>
                </c:pt>
                <c:pt idx="35">
                  <c:v>263</c:v>
                </c:pt>
                <c:pt idx="36">
                  <c:v>323</c:v>
                </c:pt>
                <c:pt idx="37">
                  <c:v>367</c:v>
                </c:pt>
                <c:pt idx="38">
                  <c:v>249</c:v>
                </c:pt>
                <c:pt idx="39">
                  <c:v>214</c:v>
                </c:pt>
                <c:pt idx="40">
                  <c:v>451</c:v>
                </c:pt>
                <c:pt idx="41">
                  <c:v>421</c:v>
                </c:pt>
                <c:pt idx="42">
                  <c:v>236</c:v>
                </c:pt>
                <c:pt idx="43">
                  <c:v>418</c:v>
                </c:pt>
                <c:pt idx="44">
                  <c:v>272</c:v>
                </c:pt>
                <c:pt idx="45">
                  <c:v>321</c:v>
                </c:pt>
                <c:pt idx="46">
                  <c:v>295</c:v>
                </c:pt>
                <c:pt idx="47">
                  <c:v>424</c:v>
                </c:pt>
                <c:pt idx="48">
                  <c:v>449</c:v>
                </c:pt>
                <c:pt idx="49">
                  <c:v>394</c:v>
                </c:pt>
              </c:numCache>
            </c:numRef>
          </c:xVal>
          <c:yVal>
            <c:numRef>
              <c:f>'Задание №1-2'!$C$3:$C$52</c:f>
              <c:numCache>
                <c:formatCode>General</c:formatCode>
                <c:ptCount val="50"/>
                <c:pt idx="0">
                  <c:v>68.5</c:v>
                </c:pt>
                <c:pt idx="1">
                  <c:v>52.8</c:v>
                </c:pt>
                <c:pt idx="2">
                  <c:v>65.7</c:v>
                </c:pt>
                <c:pt idx="3">
                  <c:v>42.7</c:v>
                </c:pt>
                <c:pt idx="4">
                  <c:v>71.900000000000006</c:v>
                </c:pt>
                <c:pt idx="5">
                  <c:v>36.9</c:v>
                </c:pt>
                <c:pt idx="6">
                  <c:v>55.3</c:v>
                </c:pt>
                <c:pt idx="7">
                  <c:v>34.299999999999997</c:v>
                </c:pt>
                <c:pt idx="8">
                  <c:v>35.4</c:v>
                </c:pt>
                <c:pt idx="9">
                  <c:v>34.299999999999997</c:v>
                </c:pt>
                <c:pt idx="10">
                  <c:v>41.7</c:v>
                </c:pt>
                <c:pt idx="11">
                  <c:v>34.5</c:v>
                </c:pt>
                <c:pt idx="12">
                  <c:v>27.3</c:v>
                </c:pt>
                <c:pt idx="13">
                  <c:v>36.9</c:v>
                </c:pt>
                <c:pt idx="14">
                  <c:v>37.299999999999997</c:v>
                </c:pt>
                <c:pt idx="15">
                  <c:v>51.3</c:v>
                </c:pt>
                <c:pt idx="16">
                  <c:v>31.3</c:v>
                </c:pt>
                <c:pt idx="17">
                  <c:v>26.2</c:v>
                </c:pt>
                <c:pt idx="18">
                  <c:v>31.4</c:v>
                </c:pt>
                <c:pt idx="19">
                  <c:v>34.6</c:v>
                </c:pt>
                <c:pt idx="20">
                  <c:v>51.2</c:v>
                </c:pt>
                <c:pt idx="21">
                  <c:v>45.6</c:v>
                </c:pt>
                <c:pt idx="22">
                  <c:v>25.5</c:v>
                </c:pt>
                <c:pt idx="23">
                  <c:v>32.700000000000003</c:v>
                </c:pt>
                <c:pt idx="24">
                  <c:v>39.200000000000003</c:v>
                </c:pt>
                <c:pt idx="25">
                  <c:v>44.6</c:v>
                </c:pt>
                <c:pt idx="26">
                  <c:v>49.4</c:v>
                </c:pt>
                <c:pt idx="27">
                  <c:v>47</c:v>
                </c:pt>
                <c:pt idx="28">
                  <c:v>39.799999999999997</c:v>
                </c:pt>
                <c:pt idx="29">
                  <c:v>50.4</c:v>
                </c:pt>
                <c:pt idx="30">
                  <c:v>26.6</c:v>
                </c:pt>
                <c:pt idx="31">
                  <c:v>20.8</c:v>
                </c:pt>
                <c:pt idx="32">
                  <c:v>15.7</c:v>
                </c:pt>
                <c:pt idx="33">
                  <c:v>24.9</c:v>
                </c:pt>
                <c:pt idx="34">
                  <c:v>13.1</c:v>
                </c:pt>
                <c:pt idx="35">
                  <c:v>7.3</c:v>
                </c:pt>
                <c:pt idx="36">
                  <c:v>35.700000000000003</c:v>
                </c:pt>
                <c:pt idx="37">
                  <c:v>30</c:v>
                </c:pt>
                <c:pt idx="38">
                  <c:v>17.2</c:v>
                </c:pt>
                <c:pt idx="39">
                  <c:v>18.8</c:v>
                </c:pt>
                <c:pt idx="40">
                  <c:v>20.7</c:v>
                </c:pt>
                <c:pt idx="41">
                  <c:v>24.3</c:v>
                </c:pt>
                <c:pt idx="42">
                  <c:v>23.6</c:v>
                </c:pt>
                <c:pt idx="43">
                  <c:v>15.4</c:v>
                </c:pt>
                <c:pt idx="44">
                  <c:v>6.4</c:v>
                </c:pt>
                <c:pt idx="45">
                  <c:v>17.7</c:v>
                </c:pt>
                <c:pt idx="46">
                  <c:v>15.5</c:v>
                </c:pt>
                <c:pt idx="47">
                  <c:v>22.9</c:v>
                </c:pt>
                <c:pt idx="48">
                  <c:v>27.7</c:v>
                </c:pt>
                <c:pt idx="49">
                  <c:v>31.4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CF-4CEF-ADB8-6FA8D92B7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456784"/>
        <c:axId val="1594458448"/>
      </c:scatterChart>
      <c:valAx>
        <c:axId val="159445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4458448"/>
        <c:crosses val="autoZero"/>
        <c:crossBetween val="midCat"/>
      </c:valAx>
      <c:valAx>
        <c:axId val="159445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445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(посетители-лапша)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№1-2'!$B$3:$B$52</c:f>
              <c:numCache>
                <c:formatCode>General</c:formatCode>
                <c:ptCount val="50"/>
                <c:pt idx="0">
                  <c:v>2351</c:v>
                </c:pt>
                <c:pt idx="1">
                  <c:v>1643</c:v>
                </c:pt>
                <c:pt idx="2">
                  <c:v>1603</c:v>
                </c:pt>
                <c:pt idx="3">
                  <c:v>1735</c:v>
                </c:pt>
                <c:pt idx="4">
                  <c:v>2031</c:v>
                </c:pt>
                <c:pt idx="5">
                  <c:v>1266</c:v>
                </c:pt>
                <c:pt idx="6">
                  <c:v>1138</c:v>
                </c:pt>
                <c:pt idx="7">
                  <c:v>947</c:v>
                </c:pt>
                <c:pt idx="8">
                  <c:v>921</c:v>
                </c:pt>
                <c:pt idx="9">
                  <c:v>826</c:v>
                </c:pt>
                <c:pt idx="10">
                  <c:v>784</c:v>
                </c:pt>
                <c:pt idx="11">
                  <c:v>932</c:v>
                </c:pt>
                <c:pt idx="12">
                  <c:v>755</c:v>
                </c:pt>
                <c:pt idx="13">
                  <c:v>998</c:v>
                </c:pt>
                <c:pt idx="14">
                  <c:v>1047</c:v>
                </c:pt>
                <c:pt idx="15">
                  <c:v>1143</c:v>
                </c:pt>
                <c:pt idx="16">
                  <c:v>805</c:v>
                </c:pt>
                <c:pt idx="17">
                  <c:v>969</c:v>
                </c:pt>
                <c:pt idx="18">
                  <c:v>907</c:v>
                </c:pt>
                <c:pt idx="19">
                  <c:v>1017</c:v>
                </c:pt>
                <c:pt idx="20">
                  <c:v>1125</c:v>
                </c:pt>
                <c:pt idx="21">
                  <c:v>1177</c:v>
                </c:pt>
                <c:pt idx="22">
                  <c:v>758</c:v>
                </c:pt>
                <c:pt idx="23">
                  <c:v>1000</c:v>
                </c:pt>
                <c:pt idx="24">
                  <c:v>819</c:v>
                </c:pt>
                <c:pt idx="25">
                  <c:v>837</c:v>
                </c:pt>
                <c:pt idx="26">
                  <c:v>1249</c:v>
                </c:pt>
                <c:pt idx="27">
                  <c:v>1089</c:v>
                </c:pt>
                <c:pt idx="28">
                  <c:v>1045</c:v>
                </c:pt>
                <c:pt idx="29">
                  <c:v>1245</c:v>
                </c:pt>
                <c:pt idx="30">
                  <c:v>284</c:v>
                </c:pt>
                <c:pt idx="31">
                  <c:v>467</c:v>
                </c:pt>
                <c:pt idx="32">
                  <c:v>292</c:v>
                </c:pt>
                <c:pt idx="33">
                  <c:v>332</c:v>
                </c:pt>
                <c:pt idx="34">
                  <c:v>290</c:v>
                </c:pt>
                <c:pt idx="35">
                  <c:v>263</c:v>
                </c:pt>
                <c:pt idx="36">
                  <c:v>323</c:v>
                </c:pt>
                <c:pt idx="37">
                  <c:v>367</c:v>
                </c:pt>
                <c:pt idx="38">
                  <c:v>249</c:v>
                </c:pt>
                <c:pt idx="39">
                  <c:v>214</c:v>
                </c:pt>
                <c:pt idx="40">
                  <c:v>451</c:v>
                </c:pt>
                <c:pt idx="41">
                  <c:v>421</c:v>
                </c:pt>
                <c:pt idx="42">
                  <c:v>236</c:v>
                </c:pt>
                <c:pt idx="43">
                  <c:v>418</c:v>
                </c:pt>
                <c:pt idx="44">
                  <c:v>272</c:v>
                </c:pt>
                <c:pt idx="45">
                  <c:v>321</c:v>
                </c:pt>
                <c:pt idx="46">
                  <c:v>295</c:v>
                </c:pt>
                <c:pt idx="47">
                  <c:v>424</c:v>
                </c:pt>
                <c:pt idx="48">
                  <c:v>449</c:v>
                </c:pt>
                <c:pt idx="49">
                  <c:v>394</c:v>
                </c:pt>
              </c:numCache>
            </c:numRef>
          </c:xVal>
          <c:yVal>
            <c:numRef>
              <c:f>'Задание №1-2'!$D$3:$D$52</c:f>
              <c:numCache>
                <c:formatCode>General</c:formatCode>
                <c:ptCount val="50"/>
                <c:pt idx="0">
                  <c:v>20.5</c:v>
                </c:pt>
                <c:pt idx="1">
                  <c:v>17.100000000000001</c:v>
                </c:pt>
                <c:pt idx="2">
                  <c:v>16.8</c:v>
                </c:pt>
                <c:pt idx="3">
                  <c:v>15.8</c:v>
                </c:pt>
                <c:pt idx="4">
                  <c:v>16.8</c:v>
                </c:pt>
                <c:pt idx="5">
                  <c:v>10.5</c:v>
                </c:pt>
                <c:pt idx="6">
                  <c:v>13.2</c:v>
                </c:pt>
                <c:pt idx="7">
                  <c:v>11.1</c:v>
                </c:pt>
                <c:pt idx="8">
                  <c:v>12.2</c:v>
                </c:pt>
                <c:pt idx="9">
                  <c:v>8.8000000000000007</c:v>
                </c:pt>
                <c:pt idx="10">
                  <c:v>10.9</c:v>
                </c:pt>
                <c:pt idx="11">
                  <c:v>10.8</c:v>
                </c:pt>
                <c:pt idx="12">
                  <c:v>10.4</c:v>
                </c:pt>
                <c:pt idx="13">
                  <c:v>12.1</c:v>
                </c:pt>
                <c:pt idx="14">
                  <c:v>11.8</c:v>
                </c:pt>
                <c:pt idx="15">
                  <c:v>14.1</c:v>
                </c:pt>
                <c:pt idx="16">
                  <c:v>12.3</c:v>
                </c:pt>
                <c:pt idx="17">
                  <c:v>12.5</c:v>
                </c:pt>
                <c:pt idx="18">
                  <c:v>11.2</c:v>
                </c:pt>
                <c:pt idx="19">
                  <c:v>10.4</c:v>
                </c:pt>
                <c:pt idx="20">
                  <c:v>13.3</c:v>
                </c:pt>
                <c:pt idx="21">
                  <c:v>12.4</c:v>
                </c:pt>
                <c:pt idx="22">
                  <c:v>12.5</c:v>
                </c:pt>
                <c:pt idx="23">
                  <c:v>13.1</c:v>
                </c:pt>
                <c:pt idx="24">
                  <c:v>12.9</c:v>
                </c:pt>
                <c:pt idx="25">
                  <c:v>10</c:v>
                </c:pt>
                <c:pt idx="26">
                  <c:v>12.9</c:v>
                </c:pt>
                <c:pt idx="27">
                  <c:v>10.4</c:v>
                </c:pt>
                <c:pt idx="28">
                  <c:v>13</c:v>
                </c:pt>
                <c:pt idx="29">
                  <c:v>11.6</c:v>
                </c:pt>
                <c:pt idx="30">
                  <c:v>7.5</c:v>
                </c:pt>
                <c:pt idx="31">
                  <c:v>9.1999999999999993</c:v>
                </c:pt>
                <c:pt idx="32">
                  <c:v>6.8</c:v>
                </c:pt>
                <c:pt idx="33">
                  <c:v>8.5</c:v>
                </c:pt>
                <c:pt idx="34">
                  <c:v>8</c:v>
                </c:pt>
                <c:pt idx="35">
                  <c:v>8.6</c:v>
                </c:pt>
                <c:pt idx="36">
                  <c:v>10.199999999999999</c:v>
                </c:pt>
                <c:pt idx="37">
                  <c:v>6.5</c:v>
                </c:pt>
                <c:pt idx="38">
                  <c:v>7.1</c:v>
                </c:pt>
                <c:pt idx="39">
                  <c:v>10</c:v>
                </c:pt>
                <c:pt idx="40">
                  <c:v>7.9</c:v>
                </c:pt>
                <c:pt idx="41">
                  <c:v>5.9</c:v>
                </c:pt>
                <c:pt idx="42">
                  <c:v>5.7</c:v>
                </c:pt>
                <c:pt idx="43">
                  <c:v>6.8</c:v>
                </c:pt>
                <c:pt idx="44">
                  <c:v>6.1</c:v>
                </c:pt>
                <c:pt idx="45">
                  <c:v>8</c:v>
                </c:pt>
                <c:pt idx="46">
                  <c:v>6.8</c:v>
                </c:pt>
                <c:pt idx="47">
                  <c:v>8.5</c:v>
                </c:pt>
                <c:pt idx="48">
                  <c:v>5.7</c:v>
                </c:pt>
                <c:pt idx="49">
                  <c:v>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00-47A2-B6C3-097316DEF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136624"/>
        <c:axId val="1610137040"/>
      </c:scatterChart>
      <c:valAx>
        <c:axId val="161013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137040"/>
        <c:crosses val="autoZero"/>
        <c:crossBetween val="midCat"/>
      </c:valAx>
      <c:valAx>
        <c:axId val="16101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13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(посетители-мука)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№1-2'!$B$3:$B$52</c:f>
              <c:numCache>
                <c:formatCode>General</c:formatCode>
                <c:ptCount val="50"/>
                <c:pt idx="0">
                  <c:v>2351</c:v>
                </c:pt>
                <c:pt idx="1">
                  <c:v>1643</c:v>
                </c:pt>
                <c:pt idx="2">
                  <c:v>1603</c:v>
                </c:pt>
                <c:pt idx="3">
                  <c:v>1735</c:v>
                </c:pt>
                <c:pt idx="4">
                  <c:v>2031</c:v>
                </c:pt>
                <c:pt idx="5">
                  <c:v>1266</c:v>
                </c:pt>
                <c:pt idx="6">
                  <c:v>1138</c:v>
                </c:pt>
                <c:pt idx="7">
                  <c:v>947</c:v>
                </c:pt>
                <c:pt idx="8">
                  <c:v>921</c:v>
                </c:pt>
                <c:pt idx="9">
                  <c:v>826</c:v>
                </c:pt>
                <c:pt idx="10">
                  <c:v>784</c:v>
                </c:pt>
                <c:pt idx="11">
                  <c:v>932</c:v>
                </c:pt>
                <c:pt idx="12">
                  <c:v>755</c:v>
                </c:pt>
                <c:pt idx="13">
                  <c:v>998</c:v>
                </c:pt>
                <c:pt idx="14">
                  <c:v>1047</c:v>
                </c:pt>
                <c:pt idx="15">
                  <c:v>1143</c:v>
                </c:pt>
                <c:pt idx="16">
                  <c:v>805</c:v>
                </c:pt>
                <c:pt idx="17">
                  <c:v>969</c:v>
                </c:pt>
                <c:pt idx="18">
                  <c:v>907</c:v>
                </c:pt>
                <c:pt idx="19">
                  <c:v>1017</c:v>
                </c:pt>
                <c:pt idx="20">
                  <c:v>1125</c:v>
                </c:pt>
                <c:pt idx="21">
                  <c:v>1177</c:v>
                </c:pt>
                <c:pt idx="22">
                  <c:v>758</c:v>
                </c:pt>
                <c:pt idx="23">
                  <c:v>1000</c:v>
                </c:pt>
                <c:pt idx="24">
                  <c:v>819</c:v>
                </c:pt>
                <c:pt idx="25">
                  <c:v>837</c:v>
                </c:pt>
                <c:pt idx="26">
                  <c:v>1249</c:v>
                </c:pt>
                <c:pt idx="27">
                  <c:v>1089</c:v>
                </c:pt>
                <c:pt idx="28">
                  <c:v>1045</c:v>
                </c:pt>
                <c:pt idx="29">
                  <c:v>1245</c:v>
                </c:pt>
                <c:pt idx="30">
                  <c:v>284</c:v>
                </c:pt>
                <c:pt idx="31">
                  <c:v>467</c:v>
                </c:pt>
                <c:pt idx="32">
                  <c:v>292</c:v>
                </c:pt>
                <c:pt idx="33">
                  <c:v>332</c:v>
                </c:pt>
                <c:pt idx="34">
                  <c:v>290</c:v>
                </c:pt>
                <c:pt idx="35">
                  <c:v>263</c:v>
                </c:pt>
                <c:pt idx="36">
                  <c:v>323</c:v>
                </c:pt>
                <c:pt idx="37">
                  <c:v>367</c:v>
                </c:pt>
                <c:pt idx="38">
                  <c:v>249</c:v>
                </c:pt>
                <c:pt idx="39">
                  <c:v>214</c:v>
                </c:pt>
                <c:pt idx="40">
                  <c:v>451</c:v>
                </c:pt>
                <c:pt idx="41">
                  <c:v>421</c:v>
                </c:pt>
                <c:pt idx="42">
                  <c:v>236</c:v>
                </c:pt>
                <c:pt idx="43">
                  <c:v>418</c:v>
                </c:pt>
                <c:pt idx="44">
                  <c:v>272</c:v>
                </c:pt>
                <c:pt idx="45">
                  <c:v>321</c:v>
                </c:pt>
                <c:pt idx="46">
                  <c:v>295</c:v>
                </c:pt>
                <c:pt idx="47">
                  <c:v>424</c:v>
                </c:pt>
                <c:pt idx="48">
                  <c:v>449</c:v>
                </c:pt>
                <c:pt idx="49">
                  <c:v>394</c:v>
                </c:pt>
              </c:numCache>
            </c:numRef>
          </c:xVal>
          <c:yVal>
            <c:numRef>
              <c:f>'Задание №1-2'!$E$3:$E$52</c:f>
              <c:numCache>
                <c:formatCode>General</c:formatCode>
                <c:ptCount val="50"/>
                <c:pt idx="0">
                  <c:v>8.6999999999999993</c:v>
                </c:pt>
                <c:pt idx="1">
                  <c:v>10.3</c:v>
                </c:pt>
                <c:pt idx="2">
                  <c:v>8.3000000000000007</c:v>
                </c:pt>
                <c:pt idx="3">
                  <c:v>9.5</c:v>
                </c:pt>
                <c:pt idx="4">
                  <c:v>11.7</c:v>
                </c:pt>
                <c:pt idx="5">
                  <c:v>7.7</c:v>
                </c:pt>
                <c:pt idx="6">
                  <c:v>6.8</c:v>
                </c:pt>
                <c:pt idx="7">
                  <c:v>8.6999999999999993</c:v>
                </c:pt>
                <c:pt idx="8">
                  <c:v>7.3</c:v>
                </c:pt>
                <c:pt idx="9">
                  <c:v>7.4</c:v>
                </c:pt>
                <c:pt idx="10">
                  <c:v>7.2</c:v>
                </c:pt>
                <c:pt idx="11">
                  <c:v>9.6</c:v>
                </c:pt>
                <c:pt idx="12">
                  <c:v>4.9000000000000004</c:v>
                </c:pt>
                <c:pt idx="13">
                  <c:v>8.9</c:v>
                </c:pt>
                <c:pt idx="14">
                  <c:v>6.7</c:v>
                </c:pt>
                <c:pt idx="15">
                  <c:v>8</c:v>
                </c:pt>
                <c:pt idx="16">
                  <c:v>6.3</c:v>
                </c:pt>
                <c:pt idx="17">
                  <c:v>6.2</c:v>
                </c:pt>
                <c:pt idx="18">
                  <c:v>5.9</c:v>
                </c:pt>
                <c:pt idx="19">
                  <c:v>8.4</c:v>
                </c:pt>
                <c:pt idx="20">
                  <c:v>8.6</c:v>
                </c:pt>
                <c:pt idx="21">
                  <c:v>7.7</c:v>
                </c:pt>
                <c:pt idx="22">
                  <c:v>7</c:v>
                </c:pt>
                <c:pt idx="23">
                  <c:v>6.2</c:v>
                </c:pt>
                <c:pt idx="24">
                  <c:v>5.6</c:v>
                </c:pt>
                <c:pt idx="25">
                  <c:v>7.8</c:v>
                </c:pt>
                <c:pt idx="26">
                  <c:v>8.1</c:v>
                </c:pt>
                <c:pt idx="27">
                  <c:v>8.6999999999999993</c:v>
                </c:pt>
                <c:pt idx="28">
                  <c:v>6.3</c:v>
                </c:pt>
                <c:pt idx="29">
                  <c:v>8.6</c:v>
                </c:pt>
                <c:pt idx="30">
                  <c:v>6.3</c:v>
                </c:pt>
                <c:pt idx="31">
                  <c:v>6.7</c:v>
                </c:pt>
                <c:pt idx="32">
                  <c:v>6.7</c:v>
                </c:pt>
                <c:pt idx="33">
                  <c:v>5.2</c:v>
                </c:pt>
                <c:pt idx="34">
                  <c:v>5.6</c:v>
                </c:pt>
                <c:pt idx="35">
                  <c:v>5</c:v>
                </c:pt>
                <c:pt idx="36">
                  <c:v>3.8</c:v>
                </c:pt>
                <c:pt idx="37">
                  <c:v>6.7</c:v>
                </c:pt>
                <c:pt idx="38">
                  <c:v>5.2</c:v>
                </c:pt>
                <c:pt idx="39">
                  <c:v>4.7</c:v>
                </c:pt>
                <c:pt idx="40">
                  <c:v>4.9000000000000004</c:v>
                </c:pt>
                <c:pt idx="41">
                  <c:v>6.4</c:v>
                </c:pt>
                <c:pt idx="42">
                  <c:v>7.1</c:v>
                </c:pt>
                <c:pt idx="43">
                  <c:v>5</c:v>
                </c:pt>
                <c:pt idx="44">
                  <c:v>5.2</c:v>
                </c:pt>
                <c:pt idx="45">
                  <c:v>6.3</c:v>
                </c:pt>
                <c:pt idx="46">
                  <c:v>6</c:v>
                </c:pt>
                <c:pt idx="47">
                  <c:v>6.6</c:v>
                </c:pt>
                <c:pt idx="48">
                  <c:v>7.7</c:v>
                </c:pt>
                <c:pt idx="49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76-4136-AE9C-4589B2223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703072"/>
        <c:axId val="1838698080"/>
      </c:scatterChart>
      <c:valAx>
        <c:axId val="183870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8698080"/>
        <c:crosses val="autoZero"/>
        <c:crossBetween val="midCat"/>
      </c:valAx>
      <c:valAx>
        <c:axId val="183869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870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(посетители-крупа)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№1-2'!$B$3:$B$52</c:f>
              <c:numCache>
                <c:formatCode>General</c:formatCode>
                <c:ptCount val="50"/>
                <c:pt idx="0">
                  <c:v>2351</c:v>
                </c:pt>
                <c:pt idx="1">
                  <c:v>1643</c:v>
                </c:pt>
                <c:pt idx="2">
                  <c:v>1603</c:v>
                </c:pt>
                <c:pt idx="3">
                  <c:v>1735</c:v>
                </c:pt>
                <c:pt idx="4">
                  <c:v>2031</c:v>
                </c:pt>
                <c:pt idx="5">
                  <c:v>1266</c:v>
                </c:pt>
                <c:pt idx="6">
                  <c:v>1138</c:v>
                </c:pt>
                <c:pt idx="7">
                  <c:v>947</c:v>
                </c:pt>
                <c:pt idx="8">
                  <c:v>921</c:v>
                </c:pt>
                <c:pt idx="9">
                  <c:v>826</c:v>
                </c:pt>
                <c:pt idx="10">
                  <c:v>784</c:v>
                </c:pt>
                <c:pt idx="11">
                  <c:v>932</c:v>
                </c:pt>
                <c:pt idx="12">
                  <c:v>755</c:v>
                </c:pt>
                <c:pt idx="13">
                  <c:v>998</c:v>
                </c:pt>
                <c:pt idx="14">
                  <c:v>1047</c:v>
                </c:pt>
                <c:pt idx="15">
                  <c:v>1143</c:v>
                </c:pt>
                <c:pt idx="16">
                  <c:v>805</c:v>
                </c:pt>
                <c:pt idx="17">
                  <c:v>969</c:v>
                </c:pt>
                <c:pt idx="18">
                  <c:v>907</c:v>
                </c:pt>
                <c:pt idx="19">
                  <c:v>1017</c:v>
                </c:pt>
                <c:pt idx="20">
                  <c:v>1125</c:v>
                </c:pt>
                <c:pt idx="21">
                  <c:v>1177</c:v>
                </c:pt>
                <c:pt idx="22">
                  <c:v>758</c:v>
                </c:pt>
                <c:pt idx="23">
                  <c:v>1000</c:v>
                </c:pt>
                <c:pt idx="24">
                  <c:v>819</c:v>
                </c:pt>
                <c:pt idx="25">
                  <c:v>837</c:v>
                </c:pt>
                <c:pt idx="26">
                  <c:v>1249</c:v>
                </c:pt>
                <c:pt idx="27">
                  <c:v>1089</c:v>
                </c:pt>
                <c:pt idx="28">
                  <c:v>1045</c:v>
                </c:pt>
                <c:pt idx="29">
                  <c:v>1245</c:v>
                </c:pt>
                <c:pt idx="30">
                  <c:v>284</c:v>
                </c:pt>
                <c:pt idx="31">
                  <c:v>467</c:v>
                </c:pt>
                <c:pt idx="32">
                  <c:v>292</c:v>
                </c:pt>
                <c:pt idx="33">
                  <c:v>332</c:v>
                </c:pt>
                <c:pt idx="34">
                  <c:v>290</c:v>
                </c:pt>
                <c:pt idx="35">
                  <c:v>263</c:v>
                </c:pt>
                <c:pt idx="36">
                  <c:v>323</c:v>
                </c:pt>
                <c:pt idx="37">
                  <c:v>367</c:v>
                </c:pt>
                <c:pt idx="38">
                  <c:v>249</c:v>
                </c:pt>
                <c:pt idx="39">
                  <c:v>214</c:v>
                </c:pt>
                <c:pt idx="40">
                  <c:v>451</c:v>
                </c:pt>
                <c:pt idx="41">
                  <c:v>421</c:v>
                </c:pt>
                <c:pt idx="42">
                  <c:v>236</c:v>
                </c:pt>
                <c:pt idx="43">
                  <c:v>418</c:v>
                </c:pt>
                <c:pt idx="44">
                  <c:v>272</c:v>
                </c:pt>
                <c:pt idx="45">
                  <c:v>321</c:v>
                </c:pt>
                <c:pt idx="46">
                  <c:v>295</c:v>
                </c:pt>
                <c:pt idx="47">
                  <c:v>424</c:v>
                </c:pt>
                <c:pt idx="48">
                  <c:v>449</c:v>
                </c:pt>
                <c:pt idx="49">
                  <c:v>394</c:v>
                </c:pt>
              </c:numCache>
            </c:numRef>
          </c:xVal>
          <c:yVal>
            <c:numRef>
              <c:f>'Задание №1-2'!$F$3:$F$52</c:f>
              <c:numCache>
                <c:formatCode>General</c:formatCode>
                <c:ptCount val="50"/>
                <c:pt idx="0">
                  <c:v>22.2</c:v>
                </c:pt>
                <c:pt idx="1">
                  <c:v>18</c:v>
                </c:pt>
                <c:pt idx="2">
                  <c:v>19.100000000000001</c:v>
                </c:pt>
                <c:pt idx="3">
                  <c:v>21.6</c:v>
                </c:pt>
                <c:pt idx="4">
                  <c:v>22.5</c:v>
                </c:pt>
                <c:pt idx="5">
                  <c:v>14.4</c:v>
                </c:pt>
                <c:pt idx="6">
                  <c:v>14.8</c:v>
                </c:pt>
                <c:pt idx="7">
                  <c:v>13.6</c:v>
                </c:pt>
                <c:pt idx="8">
                  <c:v>14.8</c:v>
                </c:pt>
                <c:pt idx="9">
                  <c:v>13.6</c:v>
                </c:pt>
                <c:pt idx="10">
                  <c:v>13.5</c:v>
                </c:pt>
                <c:pt idx="11">
                  <c:v>13</c:v>
                </c:pt>
                <c:pt idx="12">
                  <c:v>14.1</c:v>
                </c:pt>
                <c:pt idx="13">
                  <c:v>11.3</c:v>
                </c:pt>
                <c:pt idx="14">
                  <c:v>14.6</c:v>
                </c:pt>
                <c:pt idx="15">
                  <c:v>13.6</c:v>
                </c:pt>
                <c:pt idx="16">
                  <c:v>12.8</c:v>
                </c:pt>
                <c:pt idx="17">
                  <c:v>13.2</c:v>
                </c:pt>
                <c:pt idx="18">
                  <c:v>13.4</c:v>
                </c:pt>
                <c:pt idx="19">
                  <c:v>13</c:v>
                </c:pt>
                <c:pt idx="20">
                  <c:v>13.2</c:v>
                </c:pt>
                <c:pt idx="21">
                  <c:v>14.9</c:v>
                </c:pt>
                <c:pt idx="22">
                  <c:v>12.9</c:v>
                </c:pt>
                <c:pt idx="23">
                  <c:v>12.6</c:v>
                </c:pt>
                <c:pt idx="24">
                  <c:v>13.1</c:v>
                </c:pt>
                <c:pt idx="25">
                  <c:v>11.4</c:v>
                </c:pt>
                <c:pt idx="26">
                  <c:v>16.600000000000001</c:v>
                </c:pt>
                <c:pt idx="27">
                  <c:v>13.2</c:v>
                </c:pt>
                <c:pt idx="28">
                  <c:v>11.5</c:v>
                </c:pt>
                <c:pt idx="29">
                  <c:v>14.3</c:v>
                </c:pt>
                <c:pt idx="30">
                  <c:v>8.4</c:v>
                </c:pt>
                <c:pt idx="31">
                  <c:v>9.3000000000000007</c:v>
                </c:pt>
                <c:pt idx="32">
                  <c:v>8.9</c:v>
                </c:pt>
                <c:pt idx="33">
                  <c:v>10.4</c:v>
                </c:pt>
                <c:pt idx="34">
                  <c:v>7.7</c:v>
                </c:pt>
                <c:pt idx="35">
                  <c:v>8.6999999999999993</c:v>
                </c:pt>
                <c:pt idx="36">
                  <c:v>10.3</c:v>
                </c:pt>
                <c:pt idx="37">
                  <c:v>10</c:v>
                </c:pt>
                <c:pt idx="38">
                  <c:v>8.6999999999999993</c:v>
                </c:pt>
                <c:pt idx="39">
                  <c:v>5.5</c:v>
                </c:pt>
                <c:pt idx="40">
                  <c:v>9.5</c:v>
                </c:pt>
                <c:pt idx="41">
                  <c:v>11.8</c:v>
                </c:pt>
                <c:pt idx="42">
                  <c:v>6.7</c:v>
                </c:pt>
                <c:pt idx="43">
                  <c:v>10.6</c:v>
                </c:pt>
                <c:pt idx="44">
                  <c:v>9.1999999999999993</c:v>
                </c:pt>
                <c:pt idx="45">
                  <c:v>5.7</c:v>
                </c:pt>
                <c:pt idx="46">
                  <c:v>8.1</c:v>
                </c:pt>
                <c:pt idx="47">
                  <c:v>10.5</c:v>
                </c:pt>
                <c:pt idx="48">
                  <c:v>9.4</c:v>
                </c:pt>
                <c:pt idx="49">
                  <c:v>10.4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76-4B67-9282-2C0A75D14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035888"/>
        <c:axId val="1772036304"/>
      </c:scatterChart>
      <c:valAx>
        <c:axId val="177203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2036304"/>
        <c:crosses val="autoZero"/>
        <c:crossBetween val="midCat"/>
      </c:valAx>
      <c:valAx>
        <c:axId val="17720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203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(томаты-лапша)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№1-2'!$C$3:$C$52</c:f>
              <c:numCache>
                <c:formatCode>General</c:formatCode>
                <c:ptCount val="50"/>
                <c:pt idx="0">
                  <c:v>68.5</c:v>
                </c:pt>
                <c:pt idx="1">
                  <c:v>52.8</c:v>
                </c:pt>
                <c:pt idx="2">
                  <c:v>65.7</c:v>
                </c:pt>
                <c:pt idx="3">
                  <c:v>42.7</c:v>
                </c:pt>
                <c:pt idx="4">
                  <c:v>71.900000000000006</c:v>
                </c:pt>
                <c:pt idx="5">
                  <c:v>36.9</c:v>
                </c:pt>
                <c:pt idx="6">
                  <c:v>55.3</c:v>
                </c:pt>
                <c:pt idx="7">
                  <c:v>34.299999999999997</c:v>
                </c:pt>
                <c:pt idx="8">
                  <c:v>35.4</c:v>
                </c:pt>
                <c:pt idx="9">
                  <c:v>34.299999999999997</c:v>
                </c:pt>
                <c:pt idx="10">
                  <c:v>41.7</c:v>
                </c:pt>
                <c:pt idx="11">
                  <c:v>34.5</c:v>
                </c:pt>
                <c:pt idx="12">
                  <c:v>27.3</c:v>
                </c:pt>
                <c:pt idx="13">
                  <c:v>36.9</c:v>
                </c:pt>
                <c:pt idx="14">
                  <c:v>37.299999999999997</c:v>
                </c:pt>
                <c:pt idx="15">
                  <c:v>51.3</c:v>
                </c:pt>
                <c:pt idx="16">
                  <c:v>31.3</c:v>
                </c:pt>
                <c:pt idx="17">
                  <c:v>26.2</c:v>
                </c:pt>
                <c:pt idx="18">
                  <c:v>31.4</c:v>
                </c:pt>
                <c:pt idx="19">
                  <c:v>34.6</c:v>
                </c:pt>
                <c:pt idx="20">
                  <c:v>51.2</c:v>
                </c:pt>
                <c:pt idx="21">
                  <c:v>45.6</c:v>
                </c:pt>
                <c:pt idx="22">
                  <c:v>25.5</c:v>
                </c:pt>
                <c:pt idx="23">
                  <c:v>32.700000000000003</c:v>
                </c:pt>
                <c:pt idx="24">
                  <c:v>39.200000000000003</c:v>
                </c:pt>
                <c:pt idx="25">
                  <c:v>44.6</c:v>
                </c:pt>
                <c:pt idx="26">
                  <c:v>49.4</c:v>
                </c:pt>
                <c:pt idx="27">
                  <c:v>47</c:v>
                </c:pt>
                <c:pt idx="28">
                  <c:v>39.799999999999997</c:v>
                </c:pt>
                <c:pt idx="29">
                  <c:v>50.4</c:v>
                </c:pt>
                <c:pt idx="30">
                  <c:v>26.6</c:v>
                </c:pt>
                <c:pt idx="31">
                  <c:v>20.8</c:v>
                </c:pt>
                <c:pt idx="32">
                  <c:v>15.7</c:v>
                </c:pt>
                <c:pt idx="33">
                  <c:v>24.9</c:v>
                </c:pt>
                <c:pt idx="34">
                  <c:v>13.1</c:v>
                </c:pt>
                <c:pt idx="35">
                  <c:v>7.3</c:v>
                </c:pt>
                <c:pt idx="36">
                  <c:v>35.700000000000003</c:v>
                </c:pt>
                <c:pt idx="37">
                  <c:v>30</c:v>
                </c:pt>
                <c:pt idx="38">
                  <c:v>17.2</c:v>
                </c:pt>
                <c:pt idx="39">
                  <c:v>18.8</c:v>
                </c:pt>
                <c:pt idx="40">
                  <c:v>20.7</c:v>
                </c:pt>
                <c:pt idx="41">
                  <c:v>24.3</c:v>
                </c:pt>
                <c:pt idx="42">
                  <c:v>23.6</c:v>
                </c:pt>
                <c:pt idx="43">
                  <c:v>15.4</c:v>
                </c:pt>
                <c:pt idx="44">
                  <c:v>6.4</c:v>
                </c:pt>
                <c:pt idx="45">
                  <c:v>17.7</c:v>
                </c:pt>
                <c:pt idx="46">
                  <c:v>15.5</c:v>
                </c:pt>
                <c:pt idx="47">
                  <c:v>22.9</c:v>
                </c:pt>
                <c:pt idx="48">
                  <c:v>27.7</c:v>
                </c:pt>
                <c:pt idx="49">
                  <c:v>31.4</c:v>
                </c:pt>
              </c:numCache>
            </c:numRef>
          </c:xVal>
          <c:yVal>
            <c:numRef>
              <c:f>'Задание №1-2'!$D$3:$D$52</c:f>
              <c:numCache>
                <c:formatCode>General</c:formatCode>
                <c:ptCount val="50"/>
                <c:pt idx="0">
                  <c:v>20.5</c:v>
                </c:pt>
                <c:pt idx="1">
                  <c:v>17.100000000000001</c:v>
                </c:pt>
                <c:pt idx="2">
                  <c:v>16.8</c:v>
                </c:pt>
                <c:pt idx="3">
                  <c:v>15.8</c:v>
                </c:pt>
                <c:pt idx="4">
                  <c:v>16.8</c:v>
                </c:pt>
                <c:pt idx="5">
                  <c:v>10.5</c:v>
                </c:pt>
                <c:pt idx="6">
                  <c:v>13.2</c:v>
                </c:pt>
                <c:pt idx="7">
                  <c:v>11.1</c:v>
                </c:pt>
                <c:pt idx="8">
                  <c:v>12.2</c:v>
                </c:pt>
                <c:pt idx="9">
                  <c:v>8.8000000000000007</c:v>
                </c:pt>
                <c:pt idx="10">
                  <c:v>10.9</c:v>
                </c:pt>
                <c:pt idx="11">
                  <c:v>10.8</c:v>
                </c:pt>
                <c:pt idx="12">
                  <c:v>10.4</c:v>
                </c:pt>
                <c:pt idx="13">
                  <c:v>12.1</c:v>
                </c:pt>
                <c:pt idx="14">
                  <c:v>11.8</c:v>
                </c:pt>
                <c:pt idx="15">
                  <c:v>14.1</c:v>
                </c:pt>
                <c:pt idx="16">
                  <c:v>12.3</c:v>
                </c:pt>
                <c:pt idx="17">
                  <c:v>12.5</c:v>
                </c:pt>
                <c:pt idx="18">
                  <c:v>11.2</c:v>
                </c:pt>
                <c:pt idx="19">
                  <c:v>10.4</c:v>
                </c:pt>
                <c:pt idx="20">
                  <c:v>13.3</c:v>
                </c:pt>
                <c:pt idx="21">
                  <c:v>12.4</c:v>
                </c:pt>
                <c:pt idx="22">
                  <c:v>12.5</c:v>
                </c:pt>
                <c:pt idx="23">
                  <c:v>13.1</c:v>
                </c:pt>
                <c:pt idx="24">
                  <c:v>12.9</c:v>
                </c:pt>
                <c:pt idx="25">
                  <c:v>10</c:v>
                </c:pt>
                <c:pt idx="26">
                  <c:v>12.9</c:v>
                </c:pt>
                <c:pt idx="27">
                  <c:v>10.4</c:v>
                </c:pt>
                <c:pt idx="28">
                  <c:v>13</c:v>
                </c:pt>
                <c:pt idx="29">
                  <c:v>11.6</c:v>
                </c:pt>
                <c:pt idx="30">
                  <c:v>7.5</c:v>
                </c:pt>
                <c:pt idx="31">
                  <c:v>9.1999999999999993</c:v>
                </c:pt>
                <c:pt idx="32">
                  <c:v>6.8</c:v>
                </c:pt>
                <c:pt idx="33">
                  <c:v>8.5</c:v>
                </c:pt>
                <c:pt idx="34">
                  <c:v>8</c:v>
                </c:pt>
                <c:pt idx="35">
                  <c:v>8.6</c:v>
                </c:pt>
                <c:pt idx="36">
                  <c:v>10.199999999999999</c:v>
                </c:pt>
                <c:pt idx="37">
                  <c:v>6.5</c:v>
                </c:pt>
                <c:pt idx="38">
                  <c:v>7.1</c:v>
                </c:pt>
                <c:pt idx="39">
                  <c:v>10</c:v>
                </c:pt>
                <c:pt idx="40">
                  <c:v>7.9</c:v>
                </c:pt>
                <c:pt idx="41">
                  <c:v>5.9</c:v>
                </c:pt>
                <c:pt idx="42">
                  <c:v>5.7</c:v>
                </c:pt>
                <c:pt idx="43">
                  <c:v>6.8</c:v>
                </c:pt>
                <c:pt idx="44">
                  <c:v>6.1</c:v>
                </c:pt>
                <c:pt idx="45">
                  <c:v>8</c:v>
                </c:pt>
                <c:pt idx="46">
                  <c:v>6.8</c:v>
                </c:pt>
                <c:pt idx="47">
                  <c:v>8.5</c:v>
                </c:pt>
                <c:pt idx="48">
                  <c:v>5.7</c:v>
                </c:pt>
                <c:pt idx="49">
                  <c:v>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5D-4F8D-B19B-AC7BBC8F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185808"/>
        <c:axId val="1835910128"/>
      </c:scatterChart>
      <c:valAx>
        <c:axId val="183818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910128"/>
        <c:crosses val="autoZero"/>
        <c:crossBetween val="midCat"/>
      </c:valAx>
      <c:valAx>
        <c:axId val="183591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8185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(томаты-мука)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№1-2'!$C$3:$C$52</c:f>
              <c:numCache>
                <c:formatCode>General</c:formatCode>
                <c:ptCount val="50"/>
                <c:pt idx="0">
                  <c:v>68.5</c:v>
                </c:pt>
                <c:pt idx="1">
                  <c:v>52.8</c:v>
                </c:pt>
                <c:pt idx="2">
                  <c:v>65.7</c:v>
                </c:pt>
                <c:pt idx="3">
                  <c:v>42.7</c:v>
                </c:pt>
                <c:pt idx="4">
                  <c:v>71.900000000000006</c:v>
                </c:pt>
                <c:pt idx="5">
                  <c:v>36.9</c:v>
                </c:pt>
                <c:pt idx="6">
                  <c:v>55.3</c:v>
                </c:pt>
                <c:pt idx="7">
                  <c:v>34.299999999999997</c:v>
                </c:pt>
                <c:pt idx="8">
                  <c:v>35.4</c:v>
                </c:pt>
                <c:pt idx="9">
                  <c:v>34.299999999999997</c:v>
                </c:pt>
                <c:pt idx="10">
                  <c:v>41.7</c:v>
                </c:pt>
                <c:pt idx="11">
                  <c:v>34.5</c:v>
                </c:pt>
                <c:pt idx="12">
                  <c:v>27.3</c:v>
                </c:pt>
                <c:pt idx="13">
                  <c:v>36.9</c:v>
                </c:pt>
                <c:pt idx="14">
                  <c:v>37.299999999999997</c:v>
                </c:pt>
                <c:pt idx="15">
                  <c:v>51.3</c:v>
                </c:pt>
                <c:pt idx="16">
                  <c:v>31.3</c:v>
                </c:pt>
                <c:pt idx="17">
                  <c:v>26.2</c:v>
                </c:pt>
                <c:pt idx="18">
                  <c:v>31.4</c:v>
                </c:pt>
                <c:pt idx="19">
                  <c:v>34.6</c:v>
                </c:pt>
                <c:pt idx="20">
                  <c:v>51.2</c:v>
                </c:pt>
                <c:pt idx="21">
                  <c:v>45.6</c:v>
                </c:pt>
                <c:pt idx="22">
                  <c:v>25.5</c:v>
                </c:pt>
                <c:pt idx="23">
                  <c:v>32.700000000000003</c:v>
                </c:pt>
                <c:pt idx="24">
                  <c:v>39.200000000000003</c:v>
                </c:pt>
                <c:pt idx="25">
                  <c:v>44.6</c:v>
                </c:pt>
                <c:pt idx="26">
                  <c:v>49.4</c:v>
                </c:pt>
                <c:pt idx="27">
                  <c:v>47</c:v>
                </c:pt>
                <c:pt idx="28">
                  <c:v>39.799999999999997</c:v>
                </c:pt>
                <c:pt idx="29">
                  <c:v>50.4</c:v>
                </c:pt>
                <c:pt idx="30">
                  <c:v>26.6</c:v>
                </c:pt>
                <c:pt idx="31">
                  <c:v>20.8</c:v>
                </c:pt>
                <c:pt idx="32">
                  <c:v>15.7</c:v>
                </c:pt>
                <c:pt idx="33">
                  <c:v>24.9</c:v>
                </c:pt>
                <c:pt idx="34">
                  <c:v>13.1</c:v>
                </c:pt>
                <c:pt idx="35">
                  <c:v>7.3</c:v>
                </c:pt>
                <c:pt idx="36">
                  <c:v>35.700000000000003</c:v>
                </c:pt>
                <c:pt idx="37">
                  <c:v>30</c:v>
                </c:pt>
                <c:pt idx="38">
                  <c:v>17.2</c:v>
                </c:pt>
                <c:pt idx="39">
                  <c:v>18.8</c:v>
                </c:pt>
                <c:pt idx="40">
                  <c:v>20.7</c:v>
                </c:pt>
                <c:pt idx="41">
                  <c:v>24.3</c:v>
                </c:pt>
                <c:pt idx="42">
                  <c:v>23.6</c:v>
                </c:pt>
                <c:pt idx="43">
                  <c:v>15.4</c:v>
                </c:pt>
                <c:pt idx="44">
                  <c:v>6.4</c:v>
                </c:pt>
                <c:pt idx="45">
                  <c:v>17.7</c:v>
                </c:pt>
                <c:pt idx="46">
                  <c:v>15.5</c:v>
                </c:pt>
                <c:pt idx="47">
                  <c:v>22.9</c:v>
                </c:pt>
                <c:pt idx="48">
                  <c:v>27.7</c:v>
                </c:pt>
                <c:pt idx="49">
                  <c:v>31.4</c:v>
                </c:pt>
              </c:numCache>
            </c:numRef>
          </c:xVal>
          <c:yVal>
            <c:numRef>
              <c:f>'Задание №1-2'!$E$3:$E$52</c:f>
              <c:numCache>
                <c:formatCode>General</c:formatCode>
                <c:ptCount val="50"/>
                <c:pt idx="0">
                  <c:v>8.6999999999999993</c:v>
                </c:pt>
                <c:pt idx="1">
                  <c:v>10.3</c:v>
                </c:pt>
                <c:pt idx="2">
                  <c:v>8.3000000000000007</c:v>
                </c:pt>
                <c:pt idx="3">
                  <c:v>9.5</c:v>
                </c:pt>
                <c:pt idx="4">
                  <c:v>11.7</c:v>
                </c:pt>
                <c:pt idx="5">
                  <c:v>7.7</c:v>
                </c:pt>
                <c:pt idx="6">
                  <c:v>6.8</c:v>
                </c:pt>
                <c:pt idx="7">
                  <c:v>8.6999999999999993</c:v>
                </c:pt>
                <c:pt idx="8">
                  <c:v>7.3</c:v>
                </c:pt>
                <c:pt idx="9">
                  <c:v>7.4</c:v>
                </c:pt>
                <c:pt idx="10">
                  <c:v>7.2</c:v>
                </c:pt>
                <c:pt idx="11">
                  <c:v>9.6</c:v>
                </c:pt>
                <c:pt idx="12">
                  <c:v>4.9000000000000004</c:v>
                </c:pt>
                <c:pt idx="13">
                  <c:v>8.9</c:v>
                </c:pt>
                <c:pt idx="14">
                  <c:v>6.7</c:v>
                </c:pt>
                <c:pt idx="15">
                  <c:v>8</c:v>
                </c:pt>
                <c:pt idx="16">
                  <c:v>6.3</c:v>
                </c:pt>
                <c:pt idx="17">
                  <c:v>6.2</c:v>
                </c:pt>
                <c:pt idx="18">
                  <c:v>5.9</c:v>
                </c:pt>
                <c:pt idx="19">
                  <c:v>8.4</c:v>
                </c:pt>
                <c:pt idx="20">
                  <c:v>8.6</c:v>
                </c:pt>
                <c:pt idx="21">
                  <c:v>7.7</c:v>
                </c:pt>
                <c:pt idx="22">
                  <c:v>7</c:v>
                </c:pt>
                <c:pt idx="23">
                  <c:v>6.2</c:v>
                </c:pt>
                <c:pt idx="24">
                  <c:v>5.6</c:v>
                </c:pt>
                <c:pt idx="25">
                  <c:v>7.8</c:v>
                </c:pt>
                <c:pt idx="26">
                  <c:v>8.1</c:v>
                </c:pt>
                <c:pt idx="27">
                  <c:v>8.6999999999999993</c:v>
                </c:pt>
                <c:pt idx="28">
                  <c:v>6.3</c:v>
                </c:pt>
                <c:pt idx="29">
                  <c:v>8.6</c:v>
                </c:pt>
                <c:pt idx="30">
                  <c:v>6.3</c:v>
                </c:pt>
                <c:pt idx="31">
                  <c:v>6.7</c:v>
                </c:pt>
                <c:pt idx="32">
                  <c:v>6.7</c:v>
                </c:pt>
                <c:pt idx="33">
                  <c:v>5.2</c:v>
                </c:pt>
                <c:pt idx="34">
                  <c:v>5.6</c:v>
                </c:pt>
                <c:pt idx="35">
                  <c:v>5</c:v>
                </c:pt>
                <c:pt idx="36">
                  <c:v>3.8</c:v>
                </c:pt>
                <c:pt idx="37">
                  <c:v>6.7</c:v>
                </c:pt>
                <c:pt idx="38">
                  <c:v>5.2</c:v>
                </c:pt>
                <c:pt idx="39">
                  <c:v>4.7</c:v>
                </c:pt>
                <c:pt idx="40">
                  <c:v>4.9000000000000004</c:v>
                </c:pt>
                <c:pt idx="41">
                  <c:v>6.4</c:v>
                </c:pt>
                <c:pt idx="42">
                  <c:v>7.1</c:v>
                </c:pt>
                <c:pt idx="43">
                  <c:v>5</c:v>
                </c:pt>
                <c:pt idx="44">
                  <c:v>5.2</c:v>
                </c:pt>
                <c:pt idx="45">
                  <c:v>6.3</c:v>
                </c:pt>
                <c:pt idx="46">
                  <c:v>6</c:v>
                </c:pt>
                <c:pt idx="47">
                  <c:v>6.6</c:v>
                </c:pt>
                <c:pt idx="48">
                  <c:v>7.7</c:v>
                </c:pt>
                <c:pt idx="49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7E-4BBD-8001-1288811DC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597328"/>
        <c:axId val="1840597744"/>
      </c:scatterChart>
      <c:valAx>
        <c:axId val="184059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0597744"/>
        <c:crosses val="autoZero"/>
        <c:crossBetween val="midCat"/>
      </c:valAx>
      <c:valAx>
        <c:axId val="184059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059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(томаты-крупа)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№1-2'!$C$3:$C$52</c:f>
              <c:numCache>
                <c:formatCode>General</c:formatCode>
                <c:ptCount val="50"/>
                <c:pt idx="0">
                  <c:v>68.5</c:v>
                </c:pt>
                <c:pt idx="1">
                  <c:v>52.8</c:v>
                </c:pt>
                <c:pt idx="2">
                  <c:v>65.7</c:v>
                </c:pt>
                <c:pt idx="3">
                  <c:v>42.7</c:v>
                </c:pt>
                <c:pt idx="4">
                  <c:v>71.900000000000006</c:v>
                </c:pt>
                <c:pt idx="5">
                  <c:v>36.9</c:v>
                </c:pt>
                <c:pt idx="6">
                  <c:v>55.3</c:v>
                </c:pt>
                <c:pt idx="7">
                  <c:v>34.299999999999997</c:v>
                </c:pt>
                <c:pt idx="8">
                  <c:v>35.4</c:v>
                </c:pt>
                <c:pt idx="9">
                  <c:v>34.299999999999997</c:v>
                </c:pt>
                <c:pt idx="10">
                  <c:v>41.7</c:v>
                </c:pt>
                <c:pt idx="11">
                  <c:v>34.5</c:v>
                </c:pt>
                <c:pt idx="12">
                  <c:v>27.3</c:v>
                </c:pt>
                <c:pt idx="13">
                  <c:v>36.9</c:v>
                </c:pt>
                <c:pt idx="14">
                  <c:v>37.299999999999997</c:v>
                </c:pt>
                <c:pt idx="15">
                  <c:v>51.3</c:v>
                </c:pt>
                <c:pt idx="16">
                  <c:v>31.3</c:v>
                </c:pt>
                <c:pt idx="17">
                  <c:v>26.2</c:v>
                </c:pt>
                <c:pt idx="18">
                  <c:v>31.4</c:v>
                </c:pt>
                <c:pt idx="19">
                  <c:v>34.6</c:v>
                </c:pt>
                <c:pt idx="20">
                  <c:v>51.2</c:v>
                </c:pt>
                <c:pt idx="21">
                  <c:v>45.6</c:v>
                </c:pt>
                <c:pt idx="22">
                  <c:v>25.5</c:v>
                </c:pt>
                <c:pt idx="23">
                  <c:v>32.700000000000003</c:v>
                </c:pt>
                <c:pt idx="24">
                  <c:v>39.200000000000003</c:v>
                </c:pt>
                <c:pt idx="25">
                  <c:v>44.6</c:v>
                </c:pt>
                <c:pt idx="26">
                  <c:v>49.4</c:v>
                </c:pt>
                <c:pt idx="27">
                  <c:v>47</c:v>
                </c:pt>
                <c:pt idx="28">
                  <c:v>39.799999999999997</c:v>
                </c:pt>
                <c:pt idx="29">
                  <c:v>50.4</c:v>
                </c:pt>
                <c:pt idx="30">
                  <c:v>26.6</c:v>
                </c:pt>
                <c:pt idx="31">
                  <c:v>20.8</c:v>
                </c:pt>
                <c:pt idx="32">
                  <c:v>15.7</c:v>
                </c:pt>
                <c:pt idx="33">
                  <c:v>24.9</c:v>
                </c:pt>
                <c:pt idx="34">
                  <c:v>13.1</c:v>
                </c:pt>
                <c:pt idx="35">
                  <c:v>7.3</c:v>
                </c:pt>
                <c:pt idx="36">
                  <c:v>35.700000000000003</c:v>
                </c:pt>
                <c:pt idx="37">
                  <c:v>30</c:v>
                </c:pt>
                <c:pt idx="38">
                  <c:v>17.2</c:v>
                </c:pt>
                <c:pt idx="39">
                  <c:v>18.8</c:v>
                </c:pt>
                <c:pt idx="40">
                  <c:v>20.7</c:v>
                </c:pt>
                <c:pt idx="41">
                  <c:v>24.3</c:v>
                </c:pt>
                <c:pt idx="42">
                  <c:v>23.6</c:v>
                </c:pt>
                <c:pt idx="43">
                  <c:v>15.4</c:v>
                </c:pt>
                <c:pt idx="44">
                  <c:v>6.4</c:v>
                </c:pt>
                <c:pt idx="45">
                  <c:v>17.7</c:v>
                </c:pt>
                <c:pt idx="46">
                  <c:v>15.5</c:v>
                </c:pt>
                <c:pt idx="47">
                  <c:v>22.9</c:v>
                </c:pt>
                <c:pt idx="48">
                  <c:v>27.7</c:v>
                </c:pt>
                <c:pt idx="49">
                  <c:v>31.4</c:v>
                </c:pt>
              </c:numCache>
            </c:numRef>
          </c:xVal>
          <c:yVal>
            <c:numRef>
              <c:f>'Задание №1-2'!$F$3:$F$52</c:f>
              <c:numCache>
                <c:formatCode>General</c:formatCode>
                <c:ptCount val="50"/>
                <c:pt idx="0">
                  <c:v>22.2</c:v>
                </c:pt>
                <c:pt idx="1">
                  <c:v>18</c:v>
                </c:pt>
                <c:pt idx="2">
                  <c:v>19.100000000000001</c:v>
                </c:pt>
                <c:pt idx="3">
                  <c:v>21.6</c:v>
                </c:pt>
                <c:pt idx="4">
                  <c:v>22.5</c:v>
                </c:pt>
                <c:pt idx="5">
                  <c:v>14.4</c:v>
                </c:pt>
                <c:pt idx="6">
                  <c:v>14.8</c:v>
                </c:pt>
                <c:pt idx="7">
                  <c:v>13.6</c:v>
                </c:pt>
                <c:pt idx="8">
                  <c:v>14.8</c:v>
                </c:pt>
                <c:pt idx="9">
                  <c:v>13.6</c:v>
                </c:pt>
                <c:pt idx="10">
                  <c:v>13.5</c:v>
                </c:pt>
                <c:pt idx="11">
                  <c:v>13</c:v>
                </c:pt>
                <c:pt idx="12">
                  <c:v>14.1</c:v>
                </c:pt>
                <c:pt idx="13">
                  <c:v>11.3</c:v>
                </c:pt>
                <c:pt idx="14">
                  <c:v>14.6</c:v>
                </c:pt>
                <c:pt idx="15">
                  <c:v>13.6</c:v>
                </c:pt>
                <c:pt idx="16">
                  <c:v>12.8</c:v>
                </c:pt>
                <c:pt idx="17">
                  <c:v>13.2</c:v>
                </c:pt>
                <c:pt idx="18">
                  <c:v>13.4</c:v>
                </c:pt>
                <c:pt idx="19">
                  <c:v>13</c:v>
                </c:pt>
                <c:pt idx="20">
                  <c:v>13.2</c:v>
                </c:pt>
                <c:pt idx="21">
                  <c:v>14.9</c:v>
                </c:pt>
                <c:pt idx="22">
                  <c:v>12.9</c:v>
                </c:pt>
                <c:pt idx="23">
                  <c:v>12.6</c:v>
                </c:pt>
                <c:pt idx="24">
                  <c:v>13.1</c:v>
                </c:pt>
                <c:pt idx="25">
                  <c:v>11.4</c:v>
                </c:pt>
                <c:pt idx="26">
                  <c:v>16.600000000000001</c:v>
                </c:pt>
                <c:pt idx="27">
                  <c:v>13.2</c:v>
                </c:pt>
                <c:pt idx="28">
                  <c:v>11.5</c:v>
                </c:pt>
                <c:pt idx="29">
                  <c:v>14.3</c:v>
                </c:pt>
                <c:pt idx="30">
                  <c:v>8.4</c:v>
                </c:pt>
                <c:pt idx="31">
                  <c:v>9.3000000000000007</c:v>
                </c:pt>
                <c:pt idx="32">
                  <c:v>8.9</c:v>
                </c:pt>
                <c:pt idx="33">
                  <c:v>10.4</c:v>
                </c:pt>
                <c:pt idx="34">
                  <c:v>7.7</c:v>
                </c:pt>
                <c:pt idx="35">
                  <c:v>8.6999999999999993</c:v>
                </c:pt>
                <c:pt idx="36">
                  <c:v>10.3</c:v>
                </c:pt>
                <c:pt idx="37">
                  <c:v>10</c:v>
                </c:pt>
                <c:pt idx="38">
                  <c:v>8.6999999999999993</c:v>
                </c:pt>
                <c:pt idx="39">
                  <c:v>5.5</c:v>
                </c:pt>
                <c:pt idx="40">
                  <c:v>9.5</c:v>
                </c:pt>
                <c:pt idx="41">
                  <c:v>11.8</c:v>
                </c:pt>
                <c:pt idx="42">
                  <c:v>6.7</c:v>
                </c:pt>
                <c:pt idx="43">
                  <c:v>10.6</c:v>
                </c:pt>
                <c:pt idx="44">
                  <c:v>9.1999999999999993</c:v>
                </c:pt>
                <c:pt idx="45">
                  <c:v>5.7</c:v>
                </c:pt>
                <c:pt idx="46">
                  <c:v>8.1</c:v>
                </c:pt>
                <c:pt idx="47">
                  <c:v>10.5</c:v>
                </c:pt>
                <c:pt idx="48">
                  <c:v>9.4</c:v>
                </c:pt>
                <c:pt idx="49">
                  <c:v>10.4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A2-442B-8735-778E0037E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526000"/>
        <c:axId val="1835529744"/>
      </c:scatterChart>
      <c:valAx>
        <c:axId val="183552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529744"/>
        <c:crosses val="autoZero"/>
        <c:crossBetween val="midCat"/>
      </c:valAx>
      <c:valAx>
        <c:axId val="18355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52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(лапша-мука)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№1-2'!$D$3:$D$52</c:f>
              <c:numCache>
                <c:formatCode>General</c:formatCode>
                <c:ptCount val="50"/>
                <c:pt idx="0">
                  <c:v>20.5</c:v>
                </c:pt>
                <c:pt idx="1">
                  <c:v>17.100000000000001</c:v>
                </c:pt>
                <c:pt idx="2">
                  <c:v>16.8</c:v>
                </c:pt>
                <c:pt idx="3">
                  <c:v>15.8</c:v>
                </c:pt>
                <c:pt idx="4">
                  <c:v>16.8</c:v>
                </c:pt>
                <c:pt idx="5">
                  <c:v>10.5</c:v>
                </c:pt>
                <c:pt idx="6">
                  <c:v>13.2</c:v>
                </c:pt>
                <c:pt idx="7">
                  <c:v>11.1</c:v>
                </c:pt>
                <c:pt idx="8">
                  <c:v>12.2</c:v>
                </c:pt>
                <c:pt idx="9">
                  <c:v>8.8000000000000007</c:v>
                </c:pt>
                <c:pt idx="10">
                  <c:v>10.9</c:v>
                </c:pt>
                <c:pt idx="11">
                  <c:v>10.8</c:v>
                </c:pt>
                <c:pt idx="12">
                  <c:v>10.4</c:v>
                </c:pt>
                <c:pt idx="13">
                  <c:v>12.1</c:v>
                </c:pt>
                <c:pt idx="14">
                  <c:v>11.8</c:v>
                </c:pt>
                <c:pt idx="15">
                  <c:v>14.1</c:v>
                </c:pt>
                <c:pt idx="16">
                  <c:v>12.3</c:v>
                </c:pt>
                <c:pt idx="17">
                  <c:v>12.5</c:v>
                </c:pt>
                <c:pt idx="18">
                  <c:v>11.2</c:v>
                </c:pt>
                <c:pt idx="19">
                  <c:v>10.4</c:v>
                </c:pt>
                <c:pt idx="20">
                  <c:v>13.3</c:v>
                </c:pt>
                <c:pt idx="21">
                  <c:v>12.4</c:v>
                </c:pt>
                <c:pt idx="22">
                  <c:v>12.5</c:v>
                </c:pt>
                <c:pt idx="23">
                  <c:v>13.1</c:v>
                </c:pt>
                <c:pt idx="24">
                  <c:v>12.9</c:v>
                </c:pt>
                <c:pt idx="25">
                  <c:v>10</c:v>
                </c:pt>
                <c:pt idx="26">
                  <c:v>12.9</c:v>
                </c:pt>
                <c:pt idx="27">
                  <c:v>10.4</c:v>
                </c:pt>
                <c:pt idx="28">
                  <c:v>13</c:v>
                </c:pt>
                <c:pt idx="29">
                  <c:v>11.6</c:v>
                </c:pt>
                <c:pt idx="30">
                  <c:v>7.5</c:v>
                </c:pt>
                <c:pt idx="31">
                  <c:v>9.1999999999999993</c:v>
                </c:pt>
                <c:pt idx="32">
                  <c:v>6.8</c:v>
                </c:pt>
                <c:pt idx="33">
                  <c:v>8.5</c:v>
                </c:pt>
                <c:pt idx="34">
                  <c:v>8</c:v>
                </c:pt>
                <c:pt idx="35">
                  <c:v>8.6</c:v>
                </c:pt>
                <c:pt idx="36">
                  <c:v>10.199999999999999</c:v>
                </c:pt>
                <c:pt idx="37">
                  <c:v>6.5</c:v>
                </c:pt>
                <c:pt idx="38">
                  <c:v>7.1</c:v>
                </c:pt>
                <c:pt idx="39">
                  <c:v>10</c:v>
                </c:pt>
                <c:pt idx="40">
                  <c:v>7.9</c:v>
                </c:pt>
                <c:pt idx="41">
                  <c:v>5.9</c:v>
                </c:pt>
                <c:pt idx="42">
                  <c:v>5.7</c:v>
                </c:pt>
                <c:pt idx="43">
                  <c:v>6.8</c:v>
                </c:pt>
                <c:pt idx="44">
                  <c:v>6.1</c:v>
                </c:pt>
                <c:pt idx="45">
                  <c:v>8</c:v>
                </c:pt>
                <c:pt idx="46">
                  <c:v>6.8</c:v>
                </c:pt>
                <c:pt idx="47">
                  <c:v>8.5</c:v>
                </c:pt>
                <c:pt idx="48">
                  <c:v>5.7</c:v>
                </c:pt>
                <c:pt idx="49">
                  <c:v>6.2</c:v>
                </c:pt>
              </c:numCache>
            </c:numRef>
          </c:xVal>
          <c:yVal>
            <c:numRef>
              <c:f>'Задание №1-2'!$E$3:$E$52</c:f>
              <c:numCache>
                <c:formatCode>General</c:formatCode>
                <c:ptCount val="50"/>
                <c:pt idx="0">
                  <c:v>8.6999999999999993</c:v>
                </c:pt>
                <c:pt idx="1">
                  <c:v>10.3</c:v>
                </c:pt>
                <c:pt idx="2">
                  <c:v>8.3000000000000007</c:v>
                </c:pt>
                <c:pt idx="3">
                  <c:v>9.5</c:v>
                </c:pt>
                <c:pt idx="4">
                  <c:v>11.7</c:v>
                </c:pt>
                <c:pt idx="5">
                  <c:v>7.7</c:v>
                </c:pt>
                <c:pt idx="6">
                  <c:v>6.8</c:v>
                </c:pt>
                <c:pt idx="7">
                  <c:v>8.6999999999999993</c:v>
                </c:pt>
                <c:pt idx="8">
                  <c:v>7.3</c:v>
                </c:pt>
                <c:pt idx="9">
                  <c:v>7.4</c:v>
                </c:pt>
                <c:pt idx="10">
                  <c:v>7.2</c:v>
                </c:pt>
                <c:pt idx="11">
                  <c:v>9.6</c:v>
                </c:pt>
                <c:pt idx="12">
                  <c:v>4.9000000000000004</c:v>
                </c:pt>
                <c:pt idx="13">
                  <c:v>8.9</c:v>
                </c:pt>
                <c:pt idx="14">
                  <c:v>6.7</c:v>
                </c:pt>
                <c:pt idx="15">
                  <c:v>8</c:v>
                </c:pt>
                <c:pt idx="16">
                  <c:v>6.3</c:v>
                </c:pt>
                <c:pt idx="17">
                  <c:v>6.2</c:v>
                </c:pt>
                <c:pt idx="18">
                  <c:v>5.9</c:v>
                </c:pt>
                <c:pt idx="19">
                  <c:v>8.4</c:v>
                </c:pt>
                <c:pt idx="20">
                  <c:v>8.6</c:v>
                </c:pt>
                <c:pt idx="21">
                  <c:v>7.7</c:v>
                </c:pt>
                <c:pt idx="22">
                  <c:v>7</c:v>
                </c:pt>
                <c:pt idx="23">
                  <c:v>6.2</c:v>
                </c:pt>
                <c:pt idx="24">
                  <c:v>5.6</c:v>
                </c:pt>
                <c:pt idx="25">
                  <c:v>7.8</c:v>
                </c:pt>
                <c:pt idx="26">
                  <c:v>8.1</c:v>
                </c:pt>
                <c:pt idx="27">
                  <c:v>8.6999999999999993</c:v>
                </c:pt>
                <c:pt idx="28">
                  <c:v>6.3</c:v>
                </c:pt>
                <c:pt idx="29">
                  <c:v>8.6</c:v>
                </c:pt>
                <c:pt idx="30">
                  <c:v>6.3</c:v>
                </c:pt>
                <c:pt idx="31">
                  <c:v>6.7</c:v>
                </c:pt>
                <c:pt idx="32">
                  <c:v>6.7</c:v>
                </c:pt>
                <c:pt idx="33">
                  <c:v>5.2</c:v>
                </c:pt>
                <c:pt idx="34">
                  <c:v>5.6</c:v>
                </c:pt>
                <c:pt idx="35">
                  <c:v>5</c:v>
                </c:pt>
                <c:pt idx="36">
                  <c:v>3.8</c:v>
                </c:pt>
                <c:pt idx="37">
                  <c:v>6.7</c:v>
                </c:pt>
                <c:pt idx="38">
                  <c:v>5.2</c:v>
                </c:pt>
                <c:pt idx="39">
                  <c:v>4.7</c:v>
                </c:pt>
                <c:pt idx="40">
                  <c:v>4.9000000000000004</c:v>
                </c:pt>
                <c:pt idx="41">
                  <c:v>6.4</c:v>
                </c:pt>
                <c:pt idx="42">
                  <c:v>7.1</c:v>
                </c:pt>
                <c:pt idx="43">
                  <c:v>5</c:v>
                </c:pt>
                <c:pt idx="44">
                  <c:v>5.2</c:v>
                </c:pt>
                <c:pt idx="45">
                  <c:v>6.3</c:v>
                </c:pt>
                <c:pt idx="46">
                  <c:v>6</c:v>
                </c:pt>
                <c:pt idx="47">
                  <c:v>6.6</c:v>
                </c:pt>
                <c:pt idx="48">
                  <c:v>7.7</c:v>
                </c:pt>
                <c:pt idx="49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0A-4A03-81D4-2AAB66E6D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002080"/>
        <c:axId val="1874002912"/>
      </c:scatterChart>
      <c:valAx>
        <c:axId val="187400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4002912"/>
        <c:crosses val="autoZero"/>
        <c:crossBetween val="midCat"/>
      </c:valAx>
      <c:valAx>
        <c:axId val="18740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4002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(лапша-крупа)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№1-2'!$D$3:$D$52</c:f>
              <c:numCache>
                <c:formatCode>General</c:formatCode>
                <c:ptCount val="50"/>
                <c:pt idx="0">
                  <c:v>20.5</c:v>
                </c:pt>
                <c:pt idx="1">
                  <c:v>17.100000000000001</c:v>
                </c:pt>
                <c:pt idx="2">
                  <c:v>16.8</c:v>
                </c:pt>
                <c:pt idx="3">
                  <c:v>15.8</c:v>
                </c:pt>
                <c:pt idx="4">
                  <c:v>16.8</c:v>
                </c:pt>
                <c:pt idx="5">
                  <c:v>10.5</c:v>
                </c:pt>
                <c:pt idx="6">
                  <c:v>13.2</c:v>
                </c:pt>
                <c:pt idx="7">
                  <c:v>11.1</c:v>
                </c:pt>
                <c:pt idx="8">
                  <c:v>12.2</c:v>
                </c:pt>
                <c:pt idx="9">
                  <c:v>8.8000000000000007</c:v>
                </c:pt>
                <c:pt idx="10">
                  <c:v>10.9</c:v>
                </c:pt>
                <c:pt idx="11">
                  <c:v>10.8</c:v>
                </c:pt>
                <c:pt idx="12">
                  <c:v>10.4</c:v>
                </c:pt>
                <c:pt idx="13">
                  <c:v>12.1</c:v>
                </c:pt>
                <c:pt idx="14">
                  <c:v>11.8</c:v>
                </c:pt>
                <c:pt idx="15">
                  <c:v>14.1</c:v>
                </c:pt>
                <c:pt idx="16">
                  <c:v>12.3</c:v>
                </c:pt>
                <c:pt idx="17">
                  <c:v>12.5</c:v>
                </c:pt>
                <c:pt idx="18">
                  <c:v>11.2</c:v>
                </c:pt>
                <c:pt idx="19">
                  <c:v>10.4</c:v>
                </c:pt>
                <c:pt idx="20">
                  <c:v>13.3</c:v>
                </c:pt>
                <c:pt idx="21">
                  <c:v>12.4</c:v>
                </c:pt>
                <c:pt idx="22">
                  <c:v>12.5</c:v>
                </c:pt>
                <c:pt idx="23">
                  <c:v>13.1</c:v>
                </c:pt>
                <c:pt idx="24">
                  <c:v>12.9</c:v>
                </c:pt>
                <c:pt idx="25">
                  <c:v>10</c:v>
                </c:pt>
                <c:pt idx="26">
                  <c:v>12.9</c:v>
                </c:pt>
                <c:pt idx="27">
                  <c:v>10.4</c:v>
                </c:pt>
                <c:pt idx="28">
                  <c:v>13</c:v>
                </c:pt>
                <c:pt idx="29">
                  <c:v>11.6</c:v>
                </c:pt>
                <c:pt idx="30">
                  <c:v>7.5</c:v>
                </c:pt>
                <c:pt idx="31">
                  <c:v>9.1999999999999993</c:v>
                </c:pt>
                <c:pt idx="32">
                  <c:v>6.8</c:v>
                </c:pt>
                <c:pt idx="33">
                  <c:v>8.5</c:v>
                </c:pt>
                <c:pt idx="34">
                  <c:v>8</c:v>
                </c:pt>
                <c:pt idx="35">
                  <c:v>8.6</c:v>
                </c:pt>
                <c:pt idx="36">
                  <c:v>10.199999999999999</c:v>
                </c:pt>
                <c:pt idx="37">
                  <c:v>6.5</c:v>
                </c:pt>
                <c:pt idx="38">
                  <c:v>7.1</c:v>
                </c:pt>
                <c:pt idx="39">
                  <c:v>10</c:v>
                </c:pt>
                <c:pt idx="40">
                  <c:v>7.9</c:v>
                </c:pt>
                <c:pt idx="41">
                  <c:v>5.9</c:v>
                </c:pt>
                <c:pt idx="42">
                  <c:v>5.7</c:v>
                </c:pt>
                <c:pt idx="43">
                  <c:v>6.8</c:v>
                </c:pt>
                <c:pt idx="44">
                  <c:v>6.1</c:v>
                </c:pt>
                <c:pt idx="45">
                  <c:v>8</c:v>
                </c:pt>
                <c:pt idx="46">
                  <c:v>6.8</c:v>
                </c:pt>
                <c:pt idx="47">
                  <c:v>8.5</c:v>
                </c:pt>
                <c:pt idx="48">
                  <c:v>5.7</c:v>
                </c:pt>
                <c:pt idx="49">
                  <c:v>6.2</c:v>
                </c:pt>
              </c:numCache>
            </c:numRef>
          </c:xVal>
          <c:yVal>
            <c:numRef>
              <c:f>'Задание №1-2'!$F$3:$F$52</c:f>
              <c:numCache>
                <c:formatCode>General</c:formatCode>
                <c:ptCount val="50"/>
                <c:pt idx="0">
                  <c:v>22.2</c:v>
                </c:pt>
                <c:pt idx="1">
                  <c:v>18</c:v>
                </c:pt>
                <c:pt idx="2">
                  <c:v>19.100000000000001</c:v>
                </c:pt>
                <c:pt idx="3">
                  <c:v>21.6</c:v>
                </c:pt>
                <c:pt idx="4">
                  <c:v>22.5</c:v>
                </c:pt>
                <c:pt idx="5">
                  <c:v>14.4</c:v>
                </c:pt>
                <c:pt idx="6">
                  <c:v>14.8</c:v>
                </c:pt>
                <c:pt idx="7">
                  <c:v>13.6</c:v>
                </c:pt>
                <c:pt idx="8">
                  <c:v>14.8</c:v>
                </c:pt>
                <c:pt idx="9">
                  <c:v>13.6</c:v>
                </c:pt>
                <c:pt idx="10">
                  <c:v>13.5</c:v>
                </c:pt>
                <c:pt idx="11">
                  <c:v>13</c:v>
                </c:pt>
                <c:pt idx="12">
                  <c:v>14.1</c:v>
                </c:pt>
                <c:pt idx="13">
                  <c:v>11.3</c:v>
                </c:pt>
                <c:pt idx="14">
                  <c:v>14.6</c:v>
                </c:pt>
                <c:pt idx="15">
                  <c:v>13.6</c:v>
                </c:pt>
                <c:pt idx="16">
                  <c:v>12.8</c:v>
                </c:pt>
                <c:pt idx="17">
                  <c:v>13.2</c:v>
                </c:pt>
                <c:pt idx="18">
                  <c:v>13.4</c:v>
                </c:pt>
                <c:pt idx="19">
                  <c:v>13</c:v>
                </c:pt>
                <c:pt idx="20">
                  <c:v>13.2</c:v>
                </c:pt>
                <c:pt idx="21">
                  <c:v>14.9</c:v>
                </c:pt>
                <c:pt idx="22">
                  <c:v>12.9</c:v>
                </c:pt>
                <c:pt idx="23">
                  <c:v>12.6</c:v>
                </c:pt>
                <c:pt idx="24">
                  <c:v>13.1</c:v>
                </c:pt>
                <c:pt idx="25">
                  <c:v>11.4</c:v>
                </c:pt>
                <c:pt idx="26">
                  <c:v>16.600000000000001</c:v>
                </c:pt>
                <c:pt idx="27">
                  <c:v>13.2</c:v>
                </c:pt>
                <c:pt idx="28">
                  <c:v>11.5</c:v>
                </c:pt>
                <c:pt idx="29">
                  <c:v>14.3</c:v>
                </c:pt>
                <c:pt idx="30">
                  <c:v>8.4</c:v>
                </c:pt>
                <c:pt idx="31">
                  <c:v>9.3000000000000007</c:v>
                </c:pt>
                <c:pt idx="32">
                  <c:v>8.9</c:v>
                </c:pt>
                <c:pt idx="33">
                  <c:v>10.4</c:v>
                </c:pt>
                <c:pt idx="34">
                  <c:v>7.7</c:v>
                </c:pt>
                <c:pt idx="35">
                  <c:v>8.6999999999999993</c:v>
                </c:pt>
                <c:pt idx="36">
                  <c:v>10.3</c:v>
                </c:pt>
                <c:pt idx="37">
                  <c:v>10</c:v>
                </c:pt>
                <c:pt idx="38">
                  <c:v>8.6999999999999993</c:v>
                </c:pt>
                <c:pt idx="39">
                  <c:v>5.5</c:v>
                </c:pt>
                <c:pt idx="40">
                  <c:v>9.5</c:v>
                </c:pt>
                <c:pt idx="41">
                  <c:v>11.8</c:v>
                </c:pt>
                <c:pt idx="42">
                  <c:v>6.7</c:v>
                </c:pt>
                <c:pt idx="43">
                  <c:v>10.6</c:v>
                </c:pt>
                <c:pt idx="44">
                  <c:v>9.1999999999999993</c:v>
                </c:pt>
                <c:pt idx="45">
                  <c:v>5.7</c:v>
                </c:pt>
                <c:pt idx="46">
                  <c:v>8.1</c:v>
                </c:pt>
                <c:pt idx="47">
                  <c:v>10.5</c:v>
                </c:pt>
                <c:pt idx="48">
                  <c:v>9.4</c:v>
                </c:pt>
                <c:pt idx="49">
                  <c:v>10.4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9-478B-9DE8-269A45EB5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722816"/>
        <c:axId val="1878712832"/>
      </c:scatterChart>
      <c:valAx>
        <c:axId val="187872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8712832"/>
        <c:crosses val="autoZero"/>
        <c:crossBetween val="midCat"/>
      </c:valAx>
      <c:valAx>
        <c:axId val="187871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872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(мука-крупа)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№1-2'!$E$3:$E$52</c:f>
              <c:numCache>
                <c:formatCode>General</c:formatCode>
                <c:ptCount val="50"/>
                <c:pt idx="0">
                  <c:v>8.6999999999999993</c:v>
                </c:pt>
                <c:pt idx="1">
                  <c:v>10.3</c:v>
                </c:pt>
                <c:pt idx="2">
                  <c:v>8.3000000000000007</c:v>
                </c:pt>
                <c:pt idx="3">
                  <c:v>9.5</c:v>
                </c:pt>
                <c:pt idx="4">
                  <c:v>11.7</c:v>
                </c:pt>
                <c:pt idx="5">
                  <c:v>7.7</c:v>
                </c:pt>
                <c:pt idx="6">
                  <c:v>6.8</c:v>
                </c:pt>
                <c:pt idx="7">
                  <c:v>8.6999999999999993</c:v>
                </c:pt>
                <c:pt idx="8">
                  <c:v>7.3</c:v>
                </c:pt>
                <c:pt idx="9">
                  <c:v>7.4</c:v>
                </c:pt>
                <c:pt idx="10">
                  <c:v>7.2</c:v>
                </c:pt>
                <c:pt idx="11">
                  <c:v>9.6</c:v>
                </c:pt>
                <c:pt idx="12">
                  <c:v>4.9000000000000004</c:v>
                </c:pt>
                <c:pt idx="13">
                  <c:v>8.9</c:v>
                </c:pt>
                <c:pt idx="14">
                  <c:v>6.7</c:v>
                </c:pt>
                <c:pt idx="15">
                  <c:v>8</c:v>
                </c:pt>
                <c:pt idx="16">
                  <c:v>6.3</c:v>
                </c:pt>
                <c:pt idx="17">
                  <c:v>6.2</c:v>
                </c:pt>
                <c:pt idx="18">
                  <c:v>5.9</c:v>
                </c:pt>
                <c:pt idx="19">
                  <c:v>8.4</c:v>
                </c:pt>
                <c:pt idx="20">
                  <c:v>8.6</c:v>
                </c:pt>
                <c:pt idx="21">
                  <c:v>7.7</c:v>
                </c:pt>
                <c:pt idx="22">
                  <c:v>7</c:v>
                </c:pt>
                <c:pt idx="23">
                  <c:v>6.2</c:v>
                </c:pt>
                <c:pt idx="24">
                  <c:v>5.6</c:v>
                </c:pt>
                <c:pt idx="25">
                  <c:v>7.8</c:v>
                </c:pt>
                <c:pt idx="26">
                  <c:v>8.1</c:v>
                </c:pt>
                <c:pt idx="27">
                  <c:v>8.6999999999999993</c:v>
                </c:pt>
                <c:pt idx="28">
                  <c:v>6.3</c:v>
                </c:pt>
                <c:pt idx="29">
                  <c:v>8.6</c:v>
                </c:pt>
                <c:pt idx="30">
                  <c:v>6.3</c:v>
                </c:pt>
                <c:pt idx="31">
                  <c:v>6.7</c:v>
                </c:pt>
                <c:pt idx="32">
                  <c:v>6.7</c:v>
                </c:pt>
                <c:pt idx="33">
                  <c:v>5.2</c:v>
                </c:pt>
                <c:pt idx="34">
                  <c:v>5.6</c:v>
                </c:pt>
                <c:pt idx="35">
                  <c:v>5</c:v>
                </c:pt>
                <c:pt idx="36">
                  <c:v>3.8</c:v>
                </c:pt>
                <c:pt idx="37">
                  <c:v>6.7</c:v>
                </c:pt>
                <c:pt idx="38">
                  <c:v>5.2</c:v>
                </c:pt>
                <c:pt idx="39">
                  <c:v>4.7</c:v>
                </c:pt>
                <c:pt idx="40">
                  <c:v>4.9000000000000004</c:v>
                </c:pt>
                <c:pt idx="41">
                  <c:v>6.4</c:v>
                </c:pt>
                <c:pt idx="42">
                  <c:v>7.1</c:v>
                </c:pt>
                <c:pt idx="43">
                  <c:v>5</c:v>
                </c:pt>
                <c:pt idx="44">
                  <c:v>5.2</c:v>
                </c:pt>
                <c:pt idx="45">
                  <c:v>6.3</c:v>
                </c:pt>
                <c:pt idx="46">
                  <c:v>6</c:v>
                </c:pt>
                <c:pt idx="47">
                  <c:v>6.6</c:v>
                </c:pt>
                <c:pt idx="48">
                  <c:v>7.7</c:v>
                </c:pt>
                <c:pt idx="49">
                  <c:v>5.3</c:v>
                </c:pt>
              </c:numCache>
            </c:numRef>
          </c:xVal>
          <c:yVal>
            <c:numRef>
              <c:f>'Задание №1-2'!$F$3:$F$52</c:f>
              <c:numCache>
                <c:formatCode>General</c:formatCode>
                <c:ptCount val="50"/>
                <c:pt idx="0">
                  <c:v>22.2</c:v>
                </c:pt>
                <c:pt idx="1">
                  <c:v>18</c:v>
                </c:pt>
                <c:pt idx="2">
                  <c:v>19.100000000000001</c:v>
                </c:pt>
                <c:pt idx="3">
                  <c:v>21.6</c:v>
                </c:pt>
                <c:pt idx="4">
                  <c:v>22.5</c:v>
                </c:pt>
                <c:pt idx="5">
                  <c:v>14.4</c:v>
                </c:pt>
                <c:pt idx="6">
                  <c:v>14.8</c:v>
                </c:pt>
                <c:pt idx="7">
                  <c:v>13.6</c:v>
                </c:pt>
                <c:pt idx="8">
                  <c:v>14.8</c:v>
                </c:pt>
                <c:pt idx="9">
                  <c:v>13.6</c:v>
                </c:pt>
                <c:pt idx="10">
                  <c:v>13.5</c:v>
                </c:pt>
                <c:pt idx="11">
                  <c:v>13</c:v>
                </c:pt>
                <c:pt idx="12">
                  <c:v>14.1</c:v>
                </c:pt>
                <c:pt idx="13">
                  <c:v>11.3</c:v>
                </c:pt>
                <c:pt idx="14">
                  <c:v>14.6</c:v>
                </c:pt>
                <c:pt idx="15">
                  <c:v>13.6</c:v>
                </c:pt>
                <c:pt idx="16">
                  <c:v>12.8</c:v>
                </c:pt>
                <c:pt idx="17">
                  <c:v>13.2</c:v>
                </c:pt>
                <c:pt idx="18">
                  <c:v>13.4</c:v>
                </c:pt>
                <c:pt idx="19">
                  <c:v>13</c:v>
                </c:pt>
                <c:pt idx="20">
                  <c:v>13.2</c:v>
                </c:pt>
                <c:pt idx="21">
                  <c:v>14.9</c:v>
                </c:pt>
                <c:pt idx="22">
                  <c:v>12.9</c:v>
                </c:pt>
                <c:pt idx="23">
                  <c:v>12.6</c:v>
                </c:pt>
                <c:pt idx="24">
                  <c:v>13.1</c:v>
                </c:pt>
                <c:pt idx="25">
                  <c:v>11.4</c:v>
                </c:pt>
                <c:pt idx="26">
                  <c:v>16.600000000000001</c:v>
                </c:pt>
                <c:pt idx="27">
                  <c:v>13.2</c:v>
                </c:pt>
                <c:pt idx="28">
                  <c:v>11.5</c:v>
                </c:pt>
                <c:pt idx="29">
                  <c:v>14.3</c:v>
                </c:pt>
                <c:pt idx="30">
                  <c:v>8.4</c:v>
                </c:pt>
                <c:pt idx="31">
                  <c:v>9.3000000000000007</c:v>
                </c:pt>
                <c:pt idx="32">
                  <c:v>8.9</c:v>
                </c:pt>
                <c:pt idx="33">
                  <c:v>10.4</c:v>
                </c:pt>
                <c:pt idx="34">
                  <c:v>7.7</c:v>
                </c:pt>
                <c:pt idx="35">
                  <c:v>8.6999999999999993</c:v>
                </c:pt>
                <c:pt idx="36">
                  <c:v>10.3</c:v>
                </c:pt>
                <c:pt idx="37">
                  <c:v>10</c:v>
                </c:pt>
                <c:pt idx="38">
                  <c:v>8.6999999999999993</c:v>
                </c:pt>
                <c:pt idx="39">
                  <c:v>5.5</c:v>
                </c:pt>
                <c:pt idx="40">
                  <c:v>9.5</c:v>
                </c:pt>
                <c:pt idx="41">
                  <c:v>11.8</c:v>
                </c:pt>
                <c:pt idx="42">
                  <c:v>6.7</c:v>
                </c:pt>
                <c:pt idx="43">
                  <c:v>10.6</c:v>
                </c:pt>
                <c:pt idx="44">
                  <c:v>9.1999999999999993</c:v>
                </c:pt>
                <c:pt idx="45">
                  <c:v>5.7</c:v>
                </c:pt>
                <c:pt idx="46">
                  <c:v>8.1</c:v>
                </c:pt>
                <c:pt idx="47">
                  <c:v>10.5</c:v>
                </c:pt>
                <c:pt idx="48">
                  <c:v>9.4</c:v>
                </c:pt>
                <c:pt idx="49">
                  <c:v>10.4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4-4D16-ACF2-B1055D7B1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768080"/>
        <c:axId val="1835774320"/>
      </c:scatterChart>
      <c:valAx>
        <c:axId val="183576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774320"/>
        <c:crosses val="autoZero"/>
        <c:crossBetween val="midCat"/>
      </c:valAx>
      <c:valAx>
        <c:axId val="183577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76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Посетители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88398720902245"/>
          <c:y val="0.19376207101470808"/>
          <c:w val="0.75221538355740469"/>
          <c:h val="0.4227640766602288"/>
        </c:manualLayout>
      </c:layout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'Задание №1-2'!$AW$2:$AW$8</c:f>
              <c:numCache>
                <c:formatCode>General</c:formatCode>
                <c:ptCount val="7"/>
                <c:pt idx="0">
                  <c:v>535.80921947234765</c:v>
                </c:pt>
                <c:pt idx="1">
                  <c:v>857.6184389446953</c:v>
                </c:pt>
                <c:pt idx="2">
                  <c:v>1179.4276584170429</c:v>
                </c:pt>
                <c:pt idx="3">
                  <c:v>1501.2368778893906</c:v>
                </c:pt>
                <c:pt idx="4">
                  <c:v>1823.0460973617382</c:v>
                </c:pt>
                <c:pt idx="5">
                  <c:v>2144.8553168340859</c:v>
                </c:pt>
                <c:pt idx="6">
                  <c:v>2351</c:v>
                </c:pt>
              </c:numCache>
            </c:numRef>
          </c:cat>
          <c:val>
            <c:numRef>
              <c:f>'Задание №1-2'!$AX$2:$AX$8</c:f>
              <c:numCache>
                <c:formatCode>General</c:formatCode>
                <c:ptCount val="7"/>
                <c:pt idx="0">
                  <c:v>20</c:v>
                </c:pt>
                <c:pt idx="1">
                  <c:v>7</c:v>
                </c:pt>
                <c:pt idx="2">
                  <c:v>15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C-4CEC-9D1B-581E15F9C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8417256"/>
        <c:axId val="538421936"/>
      </c:barChart>
      <c:catAx>
        <c:axId val="538417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8421936"/>
        <c:crosses val="autoZero"/>
        <c:auto val="1"/>
        <c:lblAlgn val="ctr"/>
        <c:lblOffset val="100"/>
        <c:tickLblSkip val="1"/>
        <c:noMultiLvlLbl val="0"/>
      </c:catAx>
      <c:valAx>
        <c:axId val="538421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841725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Томаты</a:t>
            </a:r>
          </a:p>
        </c:rich>
      </c:tx>
      <c:layout>
        <c:manualLayout>
          <c:xMode val="edge"/>
          <c:yMode val="edge"/>
          <c:x val="0.34672217355301593"/>
          <c:y val="6.171371267270836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№1-2'!$AX$10</c:f>
              <c:strCache>
                <c:ptCount val="1"/>
                <c:pt idx="0">
                  <c:v>Частота</c:v>
                </c:pt>
              </c:strCache>
            </c:strRef>
          </c:tx>
          <c:invertIfNegative val="0"/>
          <c:cat>
            <c:numRef>
              <c:f>'Задание №1-2'!$AW$11:$AW$17</c:f>
              <c:numCache>
                <c:formatCode>General</c:formatCode>
                <c:ptCount val="7"/>
                <c:pt idx="0">
                  <c:v>16.263595636611498</c:v>
                </c:pt>
                <c:pt idx="1">
                  <c:v>26.127191273222994</c:v>
                </c:pt>
                <c:pt idx="2">
                  <c:v>35.99078690983449</c:v>
                </c:pt>
                <c:pt idx="3">
                  <c:v>45.85438254644599</c:v>
                </c:pt>
                <c:pt idx="4">
                  <c:v>55.717978183057483</c:v>
                </c:pt>
                <c:pt idx="5">
                  <c:v>65.581573819668975</c:v>
                </c:pt>
                <c:pt idx="6">
                  <c:v>75.445169456280468</c:v>
                </c:pt>
              </c:numCache>
            </c:numRef>
          </c:cat>
          <c:val>
            <c:numRef>
              <c:f>'Задание №1-2'!$AX$11:$AX$17</c:f>
              <c:numCache>
                <c:formatCode>General</c:formatCode>
                <c:ptCount val="7"/>
                <c:pt idx="0">
                  <c:v>12</c:v>
                </c:pt>
                <c:pt idx="1">
                  <c:v>10</c:v>
                </c:pt>
                <c:pt idx="2">
                  <c:v>13</c:v>
                </c:pt>
                <c:pt idx="3">
                  <c:v>8</c:v>
                </c:pt>
                <c:pt idx="4">
                  <c:v>10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5-496D-8CCF-BB583C276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280504"/>
        <c:axId val="529285904"/>
      </c:barChart>
      <c:catAx>
        <c:axId val="529280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285904"/>
        <c:crosses val="autoZero"/>
        <c:auto val="1"/>
        <c:lblAlgn val="ctr"/>
        <c:lblOffset val="100"/>
        <c:noMultiLvlLbl val="0"/>
      </c:catAx>
      <c:valAx>
        <c:axId val="529285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280504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Лапша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'Задание №1-2'!$AW$20:$AW$26</c:f>
              <c:numCache>
                <c:formatCode>General</c:formatCode>
                <c:ptCount val="7"/>
                <c:pt idx="0">
                  <c:v>7.9287208461351169</c:v>
                </c:pt>
                <c:pt idx="1">
                  <c:v>10.157441692270233</c:v>
                </c:pt>
                <c:pt idx="2">
                  <c:v>12.386162538405349</c:v>
                </c:pt>
                <c:pt idx="3">
                  <c:v>14.614883384540466</c:v>
                </c:pt>
                <c:pt idx="4">
                  <c:v>16.843604230675581</c:v>
                </c:pt>
                <c:pt idx="5">
                  <c:v>19.072325076810699</c:v>
                </c:pt>
                <c:pt idx="6">
                  <c:v>20.5</c:v>
                </c:pt>
              </c:numCache>
            </c:numRef>
          </c:cat>
          <c:val>
            <c:numRef>
              <c:f>'Задание №1-2'!$AX$20:$AX$26</c:f>
              <c:numCache>
                <c:formatCode>General</c:formatCode>
                <c:ptCount val="7"/>
                <c:pt idx="0">
                  <c:v>12</c:v>
                </c:pt>
                <c:pt idx="1">
                  <c:v>9</c:v>
                </c:pt>
                <c:pt idx="2">
                  <c:v>14</c:v>
                </c:pt>
                <c:pt idx="3">
                  <c:v>10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E-4BC6-834C-ACEBE615B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140248"/>
        <c:axId val="524132688"/>
      </c:barChart>
      <c:catAx>
        <c:axId val="524140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132688"/>
        <c:crosses val="autoZero"/>
        <c:auto val="1"/>
        <c:lblAlgn val="ctr"/>
        <c:lblOffset val="100"/>
        <c:noMultiLvlLbl val="0"/>
      </c:catAx>
      <c:valAx>
        <c:axId val="524132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14024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Крупа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'Задание №1-2'!$AW$38:$AW$44</c:f>
              <c:numCache>
                <c:formatCode>General</c:formatCode>
                <c:ptCount val="7"/>
                <c:pt idx="0">
                  <c:v>8.0600171881281746</c:v>
                </c:pt>
                <c:pt idx="1">
                  <c:v>10.620034376256349</c:v>
                </c:pt>
                <c:pt idx="2">
                  <c:v>13.180051564384524</c:v>
                </c:pt>
                <c:pt idx="3">
                  <c:v>15.740068752512698</c:v>
                </c:pt>
                <c:pt idx="4">
                  <c:v>18.300085940640873</c:v>
                </c:pt>
                <c:pt idx="5">
                  <c:v>20.860103128769047</c:v>
                </c:pt>
                <c:pt idx="6">
                  <c:v>22.5</c:v>
                </c:pt>
              </c:numCache>
            </c:numRef>
          </c:cat>
          <c:val>
            <c:numRef>
              <c:f>'Задание №1-2'!$AX$38:$AX$44</c:f>
              <c:numCache>
                <c:formatCode>General</c:formatCode>
                <c:ptCount val="7"/>
                <c:pt idx="0">
                  <c:v>4</c:v>
                </c:pt>
                <c:pt idx="1">
                  <c:v>15</c:v>
                </c:pt>
                <c:pt idx="2">
                  <c:v>10</c:v>
                </c:pt>
                <c:pt idx="3">
                  <c:v>15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9-42A3-A55F-56B53BC90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5152576"/>
        <c:axId val="525153296"/>
      </c:barChart>
      <c:catAx>
        <c:axId val="525152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153296"/>
        <c:crosses val="autoZero"/>
        <c:auto val="1"/>
        <c:lblAlgn val="ctr"/>
        <c:lblOffset val="100"/>
        <c:noMultiLvlLbl val="0"/>
      </c:catAx>
      <c:valAx>
        <c:axId val="5251532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15257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Мука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'Задание №1-2'!$AW$29:$AW$35</c:f>
              <c:numCache>
                <c:formatCode>General</c:formatCode>
                <c:ptCount val="7"/>
                <c:pt idx="0">
                  <c:v>4.9896550462477984</c:v>
                </c:pt>
                <c:pt idx="1">
                  <c:v>6.179310092495597</c:v>
                </c:pt>
                <c:pt idx="2">
                  <c:v>7.3689651387433956</c:v>
                </c:pt>
                <c:pt idx="3">
                  <c:v>8.5586201849911951</c:v>
                </c:pt>
                <c:pt idx="4">
                  <c:v>9.7482752312389938</c:v>
                </c:pt>
                <c:pt idx="5">
                  <c:v>10.937930277486792</c:v>
                </c:pt>
                <c:pt idx="6">
                  <c:v>11.7</c:v>
                </c:pt>
              </c:numCache>
            </c:numRef>
          </c:cat>
          <c:val>
            <c:numRef>
              <c:f>'Задание №1-2'!$AX$29:$AX$35</c:f>
              <c:numCache>
                <c:formatCode>General</c:formatCode>
                <c:ptCount val="7"/>
                <c:pt idx="0">
                  <c:v>4</c:v>
                </c:pt>
                <c:pt idx="1">
                  <c:v>10</c:v>
                </c:pt>
                <c:pt idx="2">
                  <c:v>17</c:v>
                </c:pt>
                <c:pt idx="3">
                  <c:v>9</c:v>
                </c:pt>
                <c:pt idx="4">
                  <c:v>8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1-4CC2-A647-3C6630F79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136648"/>
        <c:axId val="524138808"/>
      </c:barChart>
      <c:catAx>
        <c:axId val="524136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138808"/>
        <c:crosses val="autoZero"/>
        <c:auto val="1"/>
        <c:lblAlgn val="ctr"/>
        <c:lblOffset val="100"/>
        <c:noMultiLvlLbl val="0"/>
      </c:catAx>
      <c:valAx>
        <c:axId val="524138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13664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1.xml"/><Relationship Id="rId18" Type="http://schemas.openxmlformats.org/officeDocument/2006/relationships/image" Target="../media/image3.png"/><Relationship Id="rId3" Type="http://schemas.openxmlformats.org/officeDocument/2006/relationships/chart" Target="../charts/chart3.xml"/><Relationship Id="rId21" Type="http://schemas.openxmlformats.org/officeDocument/2006/relationships/image" Target="../media/image6.png"/><Relationship Id="rId7" Type="http://schemas.openxmlformats.org/officeDocument/2006/relationships/chart" Target="../charts/chart7.xml"/><Relationship Id="rId12" Type="http://schemas.openxmlformats.org/officeDocument/2006/relationships/image" Target="../media/image2.png"/><Relationship Id="rId17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20" Type="http://schemas.openxmlformats.org/officeDocument/2006/relationships/image" Target="../media/image5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.png"/><Relationship Id="rId24" Type="http://schemas.openxmlformats.org/officeDocument/2006/relationships/image" Target="../media/image9.png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23" Type="http://schemas.openxmlformats.org/officeDocument/2006/relationships/image" Target="../media/image8.png"/><Relationship Id="rId10" Type="http://schemas.openxmlformats.org/officeDocument/2006/relationships/chart" Target="../charts/chart10.xml"/><Relationship Id="rId19" Type="http://schemas.openxmlformats.org/officeDocument/2006/relationships/image" Target="../media/image4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2.xml"/><Relationship Id="rId2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</xdr:colOff>
      <xdr:row>1</xdr:row>
      <xdr:rowOff>3810</xdr:rowOff>
    </xdr:from>
    <xdr:to>
      <xdr:col>14</xdr:col>
      <xdr:colOff>300990</xdr:colOff>
      <xdr:row>16</xdr:row>
      <xdr:rowOff>3810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56D6E338-BA1A-483A-975F-D562240AA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</xdr:colOff>
      <xdr:row>17</xdr:row>
      <xdr:rowOff>3810</xdr:rowOff>
    </xdr:from>
    <xdr:to>
      <xdr:col>14</xdr:col>
      <xdr:colOff>300990</xdr:colOff>
      <xdr:row>32</xdr:row>
      <xdr:rowOff>3810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79C2E69E-5E50-4912-B236-603310E50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</xdr:colOff>
      <xdr:row>33</xdr:row>
      <xdr:rowOff>3810</xdr:rowOff>
    </xdr:from>
    <xdr:to>
      <xdr:col>14</xdr:col>
      <xdr:colOff>300990</xdr:colOff>
      <xdr:row>48</xdr:row>
      <xdr:rowOff>3810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3CF704C8-EE7D-48DB-9722-FF8CF8CCB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</xdr:colOff>
      <xdr:row>49</xdr:row>
      <xdr:rowOff>3810</xdr:rowOff>
    </xdr:from>
    <xdr:to>
      <xdr:col>14</xdr:col>
      <xdr:colOff>300990</xdr:colOff>
      <xdr:row>62</xdr:row>
      <xdr:rowOff>186690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E7E3FAEA-127E-4DD9-ACCD-2578AECF5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3810</xdr:colOff>
      <xdr:row>1</xdr:row>
      <xdr:rowOff>3810</xdr:rowOff>
    </xdr:from>
    <xdr:to>
      <xdr:col>22</xdr:col>
      <xdr:colOff>133350</xdr:colOff>
      <xdr:row>16</xdr:row>
      <xdr:rowOff>3810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C01B384F-E5F3-428C-97AF-F7307318B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3810</xdr:colOff>
      <xdr:row>17</xdr:row>
      <xdr:rowOff>3810</xdr:rowOff>
    </xdr:from>
    <xdr:to>
      <xdr:col>22</xdr:col>
      <xdr:colOff>133350</xdr:colOff>
      <xdr:row>32</xdr:row>
      <xdr:rowOff>3810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E03456C4-EA8E-4FFA-8A2A-09D38FF7F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3810</xdr:colOff>
      <xdr:row>33</xdr:row>
      <xdr:rowOff>3810</xdr:rowOff>
    </xdr:from>
    <xdr:to>
      <xdr:col>22</xdr:col>
      <xdr:colOff>133350</xdr:colOff>
      <xdr:row>48</xdr:row>
      <xdr:rowOff>3810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C098490F-8CF7-4755-A914-DAECF919D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3810</xdr:colOff>
      <xdr:row>1</xdr:row>
      <xdr:rowOff>3810</xdr:rowOff>
    </xdr:from>
    <xdr:to>
      <xdr:col>30</xdr:col>
      <xdr:colOff>300990</xdr:colOff>
      <xdr:row>16</xdr:row>
      <xdr:rowOff>3810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4E46775E-177D-43D1-93CD-D9A537A66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3810</xdr:colOff>
      <xdr:row>17</xdr:row>
      <xdr:rowOff>3810</xdr:rowOff>
    </xdr:from>
    <xdr:to>
      <xdr:col>30</xdr:col>
      <xdr:colOff>300990</xdr:colOff>
      <xdr:row>32</xdr:row>
      <xdr:rowOff>3810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38B4F28A-380C-44DC-B561-E8D1CC2F3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3810</xdr:colOff>
      <xdr:row>1</xdr:row>
      <xdr:rowOff>3810</xdr:rowOff>
    </xdr:from>
    <xdr:to>
      <xdr:col>38</xdr:col>
      <xdr:colOff>133350</xdr:colOff>
      <xdr:row>16</xdr:row>
      <xdr:rowOff>3810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BCB469B4-1D49-4C0B-BEF3-50D211A48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7</xdr:col>
      <xdr:colOff>348288</xdr:colOff>
      <xdr:row>77</xdr:row>
      <xdr:rowOff>212437</xdr:rowOff>
    </xdr:from>
    <xdr:to>
      <xdr:col>8</xdr:col>
      <xdr:colOff>932488</xdr:colOff>
      <xdr:row>81</xdr:row>
      <xdr:rowOff>41926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BEB2F08-0812-2010-3162-3D21FCCC8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63583" y="15565005"/>
          <a:ext cx="1545360" cy="699473"/>
        </a:xfrm>
        <a:prstGeom prst="rect">
          <a:avLst/>
        </a:prstGeom>
      </xdr:spPr>
    </xdr:pic>
    <xdr:clientData/>
  </xdr:twoCellAnchor>
  <xdr:twoCellAnchor editAs="oneCell">
    <xdr:from>
      <xdr:col>10</xdr:col>
      <xdr:colOff>354444</xdr:colOff>
      <xdr:row>95</xdr:row>
      <xdr:rowOff>36476</xdr:rowOff>
    </xdr:from>
    <xdr:to>
      <xdr:col>16</xdr:col>
      <xdr:colOff>478939</xdr:colOff>
      <xdr:row>110</xdr:row>
      <xdr:rowOff>50800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58190A42-4857-06C1-A2C1-A7EEEBF3E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22524" y="19563996"/>
          <a:ext cx="4645695" cy="2909924"/>
        </a:xfrm>
        <a:prstGeom prst="rect">
          <a:avLst/>
        </a:prstGeom>
      </xdr:spPr>
    </xdr:pic>
    <xdr:clientData/>
  </xdr:twoCellAnchor>
  <xdr:twoCellAnchor>
    <xdr:from>
      <xdr:col>50</xdr:col>
      <xdr:colOff>46305</xdr:colOff>
      <xdr:row>0</xdr:row>
      <xdr:rowOff>142240</xdr:rowOff>
    </xdr:from>
    <xdr:to>
      <xdr:col>59</xdr:col>
      <xdr:colOff>344939</xdr:colOff>
      <xdr:row>15</xdr:row>
      <xdr:rowOff>33867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93DEC3E8-0AF3-498F-8F2D-B5C6D1F20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59</xdr:col>
      <xdr:colOff>513079</xdr:colOff>
      <xdr:row>0</xdr:row>
      <xdr:rowOff>101600</xdr:rowOff>
    </xdr:from>
    <xdr:to>
      <xdr:col>68</xdr:col>
      <xdr:colOff>335280</xdr:colOff>
      <xdr:row>14</xdr:row>
      <xdr:rowOff>186267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8F4D7326-1B3A-4D3A-99C4-2CCF293FF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50</xdr:col>
      <xdr:colOff>38210</xdr:colOff>
      <xdr:row>15</xdr:row>
      <xdr:rowOff>40160</xdr:rowOff>
    </xdr:from>
    <xdr:to>
      <xdr:col>59</xdr:col>
      <xdr:colOff>359868</xdr:colOff>
      <xdr:row>28</xdr:row>
      <xdr:rowOff>155021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A806A8FD-43DD-4443-9A4E-C991B71CB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50</xdr:col>
      <xdr:colOff>48710</xdr:colOff>
      <xdr:row>28</xdr:row>
      <xdr:rowOff>151144</xdr:rowOff>
    </xdr:from>
    <xdr:to>
      <xdr:col>59</xdr:col>
      <xdr:colOff>391975</xdr:colOff>
      <xdr:row>44</xdr:row>
      <xdr:rowOff>32613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55FD8CC1-70C2-4218-8093-1FDB400FA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59</xdr:col>
      <xdr:colOff>484480</xdr:colOff>
      <xdr:row>15</xdr:row>
      <xdr:rowOff>1253</xdr:rowOff>
    </xdr:from>
    <xdr:to>
      <xdr:col>68</xdr:col>
      <xdr:colOff>332081</xdr:colOff>
      <xdr:row>29</xdr:row>
      <xdr:rowOff>9721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5C904A0E-02CB-439C-989E-1FDA31119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10</xdr:col>
      <xdr:colOff>12825</xdr:colOff>
      <xdr:row>87</xdr:row>
      <xdr:rowOff>58542</xdr:rowOff>
    </xdr:from>
    <xdr:to>
      <xdr:col>12</xdr:col>
      <xdr:colOff>636712</xdr:colOff>
      <xdr:row>87</xdr:row>
      <xdr:rowOff>566517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1D9F45C6-D28D-F351-9175-F51C56388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84780" y="17368065"/>
          <a:ext cx="1914091" cy="507975"/>
        </a:xfrm>
        <a:prstGeom prst="rect">
          <a:avLst/>
        </a:prstGeom>
      </xdr:spPr>
    </xdr:pic>
    <xdr:clientData/>
  </xdr:twoCellAnchor>
  <xdr:twoCellAnchor editAs="oneCell">
    <xdr:from>
      <xdr:col>9</xdr:col>
      <xdr:colOff>137390</xdr:colOff>
      <xdr:row>115</xdr:row>
      <xdr:rowOff>57727</xdr:rowOff>
    </xdr:from>
    <xdr:to>
      <xdr:col>10</xdr:col>
      <xdr:colOff>395476</xdr:colOff>
      <xdr:row>118</xdr:row>
      <xdr:rowOff>167003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767C7045-050B-0A45-C054-C2FB4FC10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692322" y="23082250"/>
          <a:ext cx="1375109" cy="680776"/>
        </a:xfrm>
        <a:prstGeom prst="rect">
          <a:avLst/>
        </a:prstGeom>
      </xdr:spPr>
    </xdr:pic>
    <xdr:clientData/>
  </xdr:twoCellAnchor>
  <xdr:twoCellAnchor editAs="oneCell">
    <xdr:from>
      <xdr:col>9</xdr:col>
      <xdr:colOff>135081</xdr:colOff>
      <xdr:row>119</xdr:row>
      <xdr:rowOff>86014</xdr:rowOff>
    </xdr:from>
    <xdr:to>
      <xdr:col>11</xdr:col>
      <xdr:colOff>736252</xdr:colOff>
      <xdr:row>122</xdr:row>
      <xdr:rowOff>152109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C20E7FA-0BB3-86DF-5903-0B1FED7B8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90013" y="23872537"/>
          <a:ext cx="2151148" cy="637595"/>
        </a:xfrm>
        <a:prstGeom prst="rect">
          <a:avLst/>
        </a:prstGeom>
      </xdr:spPr>
    </xdr:pic>
    <xdr:clientData/>
  </xdr:twoCellAnchor>
  <xdr:twoCellAnchor editAs="oneCell">
    <xdr:from>
      <xdr:col>9</xdr:col>
      <xdr:colOff>153939</xdr:colOff>
      <xdr:row>123</xdr:row>
      <xdr:rowOff>94866</xdr:rowOff>
    </xdr:from>
    <xdr:to>
      <xdr:col>11</xdr:col>
      <xdr:colOff>139105</xdr:colOff>
      <xdr:row>126</xdr:row>
      <xdr:rowOff>92374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4743E10F-023E-175F-258E-76DC07BA9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708871" y="24643389"/>
          <a:ext cx="1535143" cy="569008"/>
        </a:xfrm>
        <a:prstGeom prst="rect">
          <a:avLst/>
        </a:prstGeom>
      </xdr:spPr>
    </xdr:pic>
    <xdr:clientData/>
  </xdr:twoCellAnchor>
  <xdr:twoCellAnchor editAs="oneCell">
    <xdr:from>
      <xdr:col>9</xdr:col>
      <xdr:colOff>131618</xdr:colOff>
      <xdr:row>126</xdr:row>
      <xdr:rowOff>159711</xdr:rowOff>
    </xdr:from>
    <xdr:to>
      <xdr:col>11</xdr:col>
      <xdr:colOff>115937</xdr:colOff>
      <xdr:row>129</xdr:row>
      <xdr:rowOff>150443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1604762C-C051-B62D-4774-179075EDC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686550" y="25279734"/>
          <a:ext cx="1534296" cy="562232"/>
        </a:xfrm>
        <a:prstGeom prst="rect">
          <a:avLst/>
        </a:prstGeom>
      </xdr:spPr>
    </xdr:pic>
    <xdr:clientData/>
  </xdr:twoCellAnchor>
  <xdr:twoCellAnchor editAs="oneCell">
    <xdr:from>
      <xdr:col>9</xdr:col>
      <xdr:colOff>43295</xdr:colOff>
      <xdr:row>131</xdr:row>
      <xdr:rowOff>129886</xdr:rowOff>
    </xdr:from>
    <xdr:to>
      <xdr:col>15</xdr:col>
      <xdr:colOff>112396</xdr:colOff>
      <xdr:row>135</xdr:row>
      <xdr:rowOff>23259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4B27EE76-231F-0FD1-1D44-9E315DBD4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598227" y="26202409"/>
          <a:ext cx="4571828" cy="655373"/>
        </a:xfrm>
        <a:prstGeom prst="rect">
          <a:avLst/>
        </a:prstGeom>
      </xdr:spPr>
    </xdr:pic>
    <xdr:clientData/>
  </xdr:twoCellAnchor>
  <xdr:twoCellAnchor editAs="oneCell">
    <xdr:from>
      <xdr:col>12</xdr:col>
      <xdr:colOff>544092</xdr:colOff>
      <xdr:row>89</xdr:row>
      <xdr:rowOff>176344</xdr:rowOff>
    </xdr:from>
    <xdr:to>
      <xdr:col>16</xdr:col>
      <xdr:colOff>167798</xdr:colOff>
      <xdr:row>93</xdr:row>
      <xdr:rowOff>127703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A75D00-734B-9F93-FC0A-8D5DEBA41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506251" y="18247867"/>
          <a:ext cx="2290706" cy="713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41"/>
  <sheetViews>
    <sheetView tabSelected="1" topLeftCell="A16" zoomScale="81" zoomScaleNormal="85" workbookViewId="0">
      <pane xSplit="1" topLeftCell="AF1" activePane="topRight" state="frozen"/>
      <selection pane="topRight" activeCell="AO49" sqref="AO49"/>
    </sheetView>
  </sheetViews>
  <sheetFormatPr defaultColWidth="8.85546875" defaultRowHeight="15"/>
  <cols>
    <col min="1" max="1" width="14.140625" style="1" bestFit="1" customWidth="1"/>
    <col min="2" max="2" width="12.7109375" style="1" bestFit="1" customWidth="1"/>
    <col min="3" max="3" width="9.28515625" style="1" bestFit="1" customWidth="1"/>
    <col min="4" max="4" width="8.42578125" style="1" customWidth="1"/>
    <col min="5" max="6" width="8.7109375" style="1" bestFit="1" customWidth="1"/>
    <col min="7" max="7" width="7.140625" style="1" bestFit="1" customWidth="1"/>
    <col min="8" max="8" width="14.42578125" style="1" customWidth="1"/>
    <col min="9" max="9" width="14.7109375" style="1" customWidth="1"/>
    <col min="10" max="10" width="16.7109375" style="1" customWidth="1"/>
    <col min="11" max="11" width="6.42578125" style="1" customWidth="1"/>
    <col min="12" max="12" width="12.85546875" style="1" customWidth="1"/>
    <col min="13" max="13" width="11.7109375" style="1" customWidth="1"/>
    <col min="14" max="14" width="11.140625" style="1" customWidth="1"/>
    <col min="15" max="16" width="8.42578125" style="1" bestFit="1" customWidth="1"/>
    <col min="17" max="17" width="11" style="1" bestFit="1" customWidth="1"/>
    <col min="18" max="21" width="8.42578125" style="1" bestFit="1" customWidth="1"/>
    <col min="22" max="22" width="16" style="1" customWidth="1"/>
    <col min="23" max="26" width="8.42578125" style="1" bestFit="1" customWidth="1"/>
    <col min="27" max="27" width="11" style="1" bestFit="1" customWidth="1"/>
    <col min="28" max="31" width="8.42578125" style="1" bestFit="1" customWidth="1"/>
    <col min="32" max="32" width="11" style="1" bestFit="1" customWidth="1"/>
    <col min="33" max="36" width="8.42578125" style="1" bestFit="1" customWidth="1"/>
    <col min="37" max="37" width="11" style="1" bestFit="1" customWidth="1"/>
    <col min="38" max="39" width="8.42578125" style="1" bestFit="1" customWidth="1"/>
    <col min="40" max="40" width="13.42578125" style="1" customWidth="1"/>
    <col min="41" max="41" width="8.42578125" style="1" bestFit="1" customWidth="1"/>
    <col min="42" max="42" width="11" style="1" bestFit="1" customWidth="1"/>
    <col min="43" max="43" width="10.42578125" style="1" customWidth="1"/>
    <col min="44" max="46" width="8.42578125" style="1" bestFit="1" customWidth="1"/>
    <col min="47" max="47" width="11" style="1" bestFit="1" customWidth="1"/>
    <col min="48" max="51" width="8.42578125" style="1" bestFit="1" customWidth="1"/>
    <col min="52" max="52" width="11" style="1" bestFit="1" customWidth="1"/>
    <col min="53" max="56" width="8.42578125" style="1" bestFit="1" customWidth="1"/>
    <col min="57" max="57" width="11" style="1" bestFit="1" customWidth="1"/>
    <col min="58" max="61" width="8.42578125" style="1" bestFit="1" customWidth="1"/>
    <col min="62" max="62" width="11" style="1" bestFit="1" customWidth="1"/>
    <col min="63" max="66" width="8.42578125" style="1" bestFit="1" customWidth="1"/>
    <col min="67" max="67" width="11" style="1" bestFit="1" customWidth="1"/>
    <col min="68" max="71" width="8.42578125" style="1" bestFit="1" customWidth="1"/>
    <col min="72" max="72" width="11" style="1" bestFit="1" customWidth="1"/>
    <col min="73" max="76" width="8.42578125" style="1" bestFit="1" customWidth="1"/>
    <col min="77" max="77" width="11" style="1" bestFit="1" customWidth="1"/>
    <col min="78" max="81" width="8.42578125" style="1" bestFit="1" customWidth="1"/>
    <col min="82" max="82" width="11" style="1" bestFit="1" customWidth="1"/>
    <col min="83" max="86" width="8.42578125" style="1" bestFit="1" customWidth="1"/>
    <col min="87" max="87" width="11" style="1" bestFit="1" customWidth="1"/>
    <col min="88" max="91" width="8.42578125" style="1" bestFit="1" customWidth="1"/>
    <col min="92" max="92" width="11" style="1" bestFit="1" customWidth="1"/>
    <col min="93" max="96" width="8.42578125" style="1" bestFit="1" customWidth="1"/>
    <col min="97" max="97" width="11" style="1" bestFit="1" customWidth="1"/>
    <col min="98" max="101" width="8.42578125" style="1" bestFit="1" customWidth="1"/>
    <col min="102" max="102" width="11" style="1" bestFit="1" customWidth="1"/>
    <col min="103" max="106" width="8.42578125" style="1" bestFit="1" customWidth="1"/>
    <col min="107" max="107" width="11" style="1" bestFit="1" customWidth="1"/>
    <col min="108" max="111" width="8.42578125" style="1" bestFit="1" customWidth="1"/>
    <col min="112" max="112" width="11" style="1" bestFit="1" customWidth="1"/>
    <col min="113" max="116" width="8.42578125" style="1" bestFit="1" customWidth="1"/>
    <col min="117" max="117" width="11" style="1" bestFit="1" customWidth="1"/>
    <col min="118" max="121" width="8.42578125" style="1" bestFit="1" customWidth="1"/>
    <col min="122" max="122" width="11" style="1" bestFit="1" customWidth="1"/>
    <col min="123" max="126" width="8.42578125" style="1" bestFit="1" customWidth="1"/>
    <col min="127" max="127" width="11" style="1" bestFit="1" customWidth="1"/>
    <col min="128" max="131" width="8.42578125" style="1" bestFit="1" customWidth="1"/>
    <col min="132" max="132" width="11" style="1" bestFit="1" customWidth="1"/>
    <col min="133" max="136" width="8.42578125" style="1" bestFit="1" customWidth="1"/>
    <col min="137" max="137" width="11" style="1" bestFit="1" customWidth="1"/>
    <col min="138" max="141" width="8.42578125" style="1" bestFit="1" customWidth="1"/>
    <col min="142" max="142" width="11" style="1" bestFit="1" customWidth="1"/>
    <col min="143" max="146" width="8.42578125" style="1" bestFit="1" customWidth="1"/>
    <col min="147" max="147" width="11" style="1" bestFit="1" customWidth="1"/>
    <col min="148" max="151" width="8.42578125" style="1" bestFit="1" customWidth="1"/>
    <col min="152" max="152" width="11" style="1" bestFit="1" customWidth="1"/>
    <col min="153" max="156" width="8.42578125" style="1" bestFit="1" customWidth="1"/>
    <col min="157" max="157" width="11" style="1" bestFit="1" customWidth="1"/>
    <col min="158" max="161" width="8.42578125" style="1" bestFit="1" customWidth="1"/>
    <col min="162" max="162" width="11" style="1" bestFit="1" customWidth="1"/>
    <col min="163" max="166" width="8.42578125" style="1" bestFit="1" customWidth="1"/>
    <col min="167" max="167" width="11" style="1" bestFit="1" customWidth="1"/>
    <col min="168" max="171" width="8.42578125" style="1" bestFit="1" customWidth="1"/>
    <col min="172" max="172" width="11" style="1" bestFit="1" customWidth="1"/>
    <col min="173" max="176" width="8.42578125" style="1" bestFit="1" customWidth="1"/>
    <col min="177" max="177" width="11" style="1" bestFit="1" customWidth="1"/>
    <col min="178" max="181" width="8.42578125" style="1" bestFit="1" customWidth="1"/>
    <col min="182" max="182" width="11" style="1" bestFit="1" customWidth="1"/>
    <col min="183" max="186" width="8.42578125" style="1" bestFit="1" customWidth="1"/>
    <col min="187" max="187" width="11" style="1" bestFit="1" customWidth="1"/>
    <col min="188" max="191" width="8.42578125" style="1" bestFit="1" customWidth="1"/>
    <col min="192" max="192" width="11" style="1" bestFit="1" customWidth="1"/>
    <col min="193" max="196" width="8.42578125" style="1" bestFit="1" customWidth="1"/>
    <col min="197" max="197" width="11" style="1" bestFit="1" customWidth="1"/>
    <col min="198" max="201" width="8.42578125" style="1" bestFit="1" customWidth="1"/>
    <col min="202" max="202" width="11" style="1" bestFit="1" customWidth="1"/>
    <col min="203" max="206" width="8.42578125" style="1" bestFit="1" customWidth="1"/>
    <col min="207" max="207" width="11" style="1" bestFit="1" customWidth="1"/>
    <col min="208" max="211" width="8.42578125" style="1" bestFit="1" customWidth="1"/>
    <col min="212" max="212" width="11" style="1" bestFit="1" customWidth="1"/>
    <col min="213" max="216" width="8.42578125" style="1" bestFit="1" customWidth="1"/>
    <col min="217" max="217" width="11" style="1" bestFit="1" customWidth="1"/>
    <col min="218" max="221" width="8.42578125" style="1" bestFit="1" customWidth="1"/>
    <col min="222" max="222" width="11" style="1" bestFit="1" customWidth="1"/>
    <col min="223" max="226" width="8.42578125" style="1" bestFit="1" customWidth="1"/>
    <col min="227" max="227" width="11" style="1" bestFit="1" customWidth="1"/>
    <col min="228" max="231" width="8.42578125" style="1" bestFit="1" customWidth="1"/>
    <col min="232" max="232" width="11" style="1" bestFit="1" customWidth="1"/>
    <col min="233" max="236" width="8.42578125" style="1" bestFit="1" customWidth="1"/>
    <col min="237" max="237" width="11" style="1" bestFit="1" customWidth="1"/>
    <col min="238" max="241" width="8.42578125" style="1" bestFit="1" customWidth="1"/>
    <col min="242" max="242" width="11" style="1" bestFit="1" customWidth="1"/>
    <col min="243" max="246" width="8.42578125" style="1" bestFit="1" customWidth="1"/>
    <col min="247" max="247" width="11" style="1" bestFit="1" customWidth="1"/>
    <col min="248" max="251" width="8.42578125" style="1" bestFit="1" customWidth="1"/>
    <col min="252" max="252" width="11" style="1" bestFit="1" customWidth="1"/>
    <col min="253" max="256" width="8.42578125" style="1" bestFit="1" customWidth="1"/>
    <col min="257" max="257" width="11" style="1" bestFit="1" customWidth="1"/>
    <col min="258" max="261" width="8.42578125" style="1" bestFit="1" customWidth="1"/>
    <col min="262" max="262" width="11" style="1" bestFit="1" customWidth="1"/>
    <col min="263" max="266" width="8.42578125" style="1" bestFit="1" customWidth="1"/>
    <col min="267" max="267" width="11" style="1" bestFit="1" customWidth="1"/>
    <col min="268" max="271" width="8.42578125" style="1" bestFit="1" customWidth="1"/>
    <col min="272" max="16384" width="8.85546875" style="1"/>
  </cols>
  <sheetData>
    <row r="1" spans="1:50">
      <c r="B1" s="1" t="s">
        <v>22</v>
      </c>
      <c r="AN1" s="24"/>
      <c r="AQ1" s="9" t="s">
        <v>60</v>
      </c>
      <c r="AR1" s="9" t="s">
        <v>157</v>
      </c>
      <c r="AS1" s="9" t="s">
        <v>158</v>
      </c>
      <c r="AT1" s="9" t="s">
        <v>159</v>
      </c>
      <c r="AU1" s="9" t="s">
        <v>160</v>
      </c>
      <c r="AV1" s="9" t="s">
        <v>161</v>
      </c>
      <c r="AW1" s="9" t="s">
        <v>162</v>
      </c>
      <c r="AX1" s="9" t="s">
        <v>163</v>
      </c>
    </row>
    <row r="2" spans="1:50" ht="35.1" customHeight="1">
      <c r="A2" s="11" t="s">
        <v>171</v>
      </c>
      <c r="B2" s="12" t="s">
        <v>170</v>
      </c>
      <c r="C2" s="11" t="s">
        <v>172</v>
      </c>
      <c r="D2" s="11" t="s">
        <v>173</v>
      </c>
      <c r="E2" s="11" t="s">
        <v>174</v>
      </c>
      <c r="F2" s="11" t="s">
        <v>175</v>
      </c>
      <c r="AN2" s="25" t="s">
        <v>164</v>
      </c>
      <c r="AO2" s="9">
        <v>6.64058041439558</v>
      </c>
      <c r="AQ2" s="9">
        <v>1</v>
      </c>
      <c r="AR2" s="9">
        <v>214</v>
      </c>
      <c r="AS2" s="9">
        <f>214+AO5</f>
        <v>535.80921947234765</v>
      </c>
      <c r="AT2" s="26">
        <f>COUNTIFS($B$2:$B$52, "&gt;="&amp;AR2, $B$2:$B$52, "&lt;="&amp;AS2)</f>
        <v>20</v>
      </c>
      <c r="AU2" s="9">
        <f>50 * (_xlfn.NORM.S.DIST((AS2- $AO$6)/$AO$7, TRUE) - _xlfn.NORM.S.DIST((AR2-$AO$6)/$AO$7, TRUE))</f>
        <v>8.6453124480221959</v>
      </c>
      <c r="AV2" s="9">
        <f>(AT2-AU2)^2/AU2</f>
        <v>14.913160186886595</v>
      </c>
      <c r="AW2" s="9">
        <f>AS2</f>
        <v>535.80921947234765</v>
      </c>
      <c r="AX2" s="9">
        <f>AT2</f>
        <v>20</v>
      </c>
    </row>
    <row r="3" spans="1:50">
      <c r="A3" s="9">
        <v>1</v>
      </c>
      <c r="B3" s="1">
        <v>2351</v>
      </c>
      <c r="C3" s="1">
        <v>68.5</v>
      </c>
      <c r="D3" s="1">
        <v>20.5</v>
      </c>
      <c r="E3" s="1">
        <v>8.6999999999999993</v>
      </c>
      <c r="F3" s="1">
        <v>22.2</v>
      </c>
      <c r="AN3" s="25" t="s">
        <v>165</v>
      </c>
      <c r="AO3" s="9">
        <f>MIN(B3:B52)</f>
        <v>214</v>
      </c>
      <c r="AQ3" s="9">
        <v>2</v>
      </c>
      <c r="AR3" s="9">
        <f>AS2</f>
        <v>535.80921947234765</v>
      </c>
      <c r="AS3" s="9">
        <f>AR3+$AO$5</f>
        <v>857.6184389446953</v>
      </c>
      <c r="AT3" s="26">
        <f t="shared" ref="AT3:AT8" si="0">COUNTIFS($B$2:$B$52, "&gt;="&amp;AR3, $B$2:$B$52, "&lt;="&amp;AS3)</f>
        <v>7</v>
      </c>
      <c r="AU3" s="25">
        <f t="shared" ref="AU3:AU8" si="1">50 * (_xlfn.NORM.S.DIST((AS3- $AO$6)/$AO$7, TRUE) - _xlfn.NORM.S.DIST((AR3-$AO$6)/$AO$7, TRUE))</f>
        <v>12.356965357179622</v>
      </c>
      <c r="AV3" s="25">
        <f t="shared" ref="AV3:AV8" si="2">(AT3-AU3)^2/AU3</f>
        <v>2.322340235529516</v>
      </c>
      <c r="AW3" s="25">
        <f t="shared" ref="AW3:AW7" si="3">AS3</f>
        <v>857.6184389446953</v>
      </c>
      <c r="AX3" s="25">
        <f t="shared" ref="AX3:AX8" si="4">AT3</f>
        <v>7</v>
      </c>
    </row>
    <row r="4" spans="1:50">
      <c r="A4" s="9">
        <v>2</v>
      </c>
      <c r="B4" s="1">
        <v>1643</v>
      </c>
      <c r="C4" s="1">
        <v>52.8</v>
      </c>
      <c r="D4" s="1">
        <v>17.100000000000001</v>
      </c>
      <c r="E4" s="1">
        <v>10.3</v>
      </c>
      <c r="F4" s="1">
        <v>18</v>
      </c>
      <c r="AN4" s="25" t="s">
        <v>166</v>
      </c>
      <c r="AO4" s="9">
        <f>MAX(B3:B52)</f>
        <v>2351</v>
      </c>
      <c r="AQ4" s="9">
        <v>3</v>
      </c>
      <c r="AR4" s="25">
        <f t="shared" ref="AR4:AR8" si="5">AS3</f>
        <v>857.6184389446953</v>
      </c>
      <c r="AS4" s="25">
        <f t="shared" ref="AS4:AS7" si="6">AR4+$AO$5</f>
        <v>1179.4276584170429</v>
      </c>
      <c r="AT4" s="26">
        <f t="shared" si="0"/>
        <v>15</v>
      </c>
      <c r="AU4" s="25">
        <f t="shared" si="1"/>
        <v>11.760725826535412</v>
      </c>
      <c r="AV4" s="25">
        <f t="shared" si="2"/>
        <v>0.89219809437270015</v>
      </c>
      <c r="AW4" s="25">
        <f t="shared" si="3"/>
        <v>1179.4276584170429</v>
      </c>
      <c r="AX4" s="25">
        <f t="shared" si="4"/>
        <v>15</v>
      </c>
    </row>
    <row r="5" spans="1:50">
      <c r="A5" s="9">
        <v>3</v>
      </c>
      <c r="B5" s="1">
        <v>1603</v>
      </c>
      <c r="C5" s="1">
        <v>65.7</v>
      </c>
      <c r="D5" s="1">
        <v>16.8</v>
      </c>
      <c r="E5" s="1">
        <v>8.3000000000000007</v>
      </c>
      <c r="F5" s="1">
        <v>19.100000000000001</v>
      </c>
      <c r="AN5" s="9" t="s">
        <v>167</v>
      </c>
      <c r="AO5" s="9">
        <f>(AO4-AO3)/AO2</f>
        <v>321.80921947234759</v>
      </c>
      <c r="AQ5" s="9">
        <v>4</v>
      </c>
      <c r="AR5" s="25">
        <f t="shared" si="5"/>
        <v>1179.4276584170429</v>
      </c>
      <c r="AS5" s="25">
        <f t="shared" si="6"/>
        <v>1501.2368778893906</v>
      </c>
      <c r="AT5" s="26">
        <f t="shared" si="0"/>
        <v>3</v>
      </c>
      <c r="AU5" s="25">
        <f t="shared" si="1"/>
        <v>7.4530565330483132</v>
      </c>
      <c r="AV5" s="25">
        <f t="shared" si="2"/>
        <v>2.6606147959022493</v>
      </c>
      <c r="AW5" s="25">
        <f t="shared" si="3"/>
        <v>1501.2368778893906</v>
      </c>
      <c r="AX5" s="25">
        <f t="shared" si="4"/>
        <v>3</v>
      </c>
    </row>
    <row r="6" spans="1:50">
      <c r="A6" s="9">
        <v>4</v>
      </c>
      <c r="B6" s="1">
        <v>1735</v>
      </c>
      <c r="C6" s="1">
        <v>42.7</v>
      </c>
      <c r="D6" s="1">
        <v>15.8</v>
      </c>
      <c r="E6" s="1">
        <v>9.5</v>
      </c>
      <c r="F6" s="1">
        <v>21.6</v>
      </c>
      <c r="AN6" s="9" t="s">
        <v>168</v>
      </c>
      <c r="AO6" s="9">
        <f>AVERAGE(B3:B52)</f>
        <v>818.48</v>
      </c>
      <c r="AQ6" s="9">
        <v>5</v>
      </c>
      <c r="AR6" s="25">
        <f t="shared" si="5"/>
        <v>1501.2368778893906</v>
      </c>
      <c r="AS6" s="25">
        <f t="shared" si="6"/>
        <v>1823.0460973617382</v>
      </c>
      <c r="AT6" s="26">
        <f t="shared" si="0"/>
        <v>3</v>
      </c>
      <c r="AU6" s="25">
        <f t="shared" si="1"/>
        <v>3.1440778669038769</v>
      </c>
      <c r="AV6" s="25">
        <f t="shared" si="2"/>
        <v>6.6023911017232808E-3</v>
      </c>
      <c r="AW6" s="25">
        <f t="shared" si="3"/>
        <v>1823.0460973617382</v>
      </c>
      <c r="AX6" s="25">
        <f t="shared" si="4"/>
        <v>3</v>
      </c>
    </row>
    <row r="7" spans="1:50">
      <c r="A7" s="9">
        <v>5</v>
      </c>
      <c r="B7" s="1">
        <v>2031</v>
      </c>
      <c r="C7" s="1">
        <v>71.900000000000006</v>
      </c>
      <c r="D7" s="1">
        <v>16.8</v>
      </c>
      <c r="E7" s="1">
        <v>11.7</v>
      </c>
      <c r="F7" s="1">
        <v>22.5</v>
      </c>
      <c r="AN7" s="9" t="s">
        <v>169</v>
      </c>
      <c r="AO7" s="9">
        <f>STDEV(B3:B52)</f>
        <v>495.85729678558755</v>
      </c>
      <c r="AQ7" s="9">
        <v>6</v>
      </c>
      <c r="AR7" s="25">
        <f t="shared" si="5"/>
        <v>1823.0460973617382</v>
      </c>
      <c r="AS7" s="25">
        <f t="shared" si="6"/>
        <v>2144.8553168340859</v>
      </c>
      <c r="AT7" s="26">
        <f t="shared" si="0"/>
        <v>1</v>
      </c>
      <c r="AU7" s="25">
        <f t="shared" si="1"/>
        <v>0.8824589562401286</v>
      </c>
      <c r="AV7" s="25">
        <f t="shared" si="2"/>
        <v>1.5656135472889368E-2</v>
      </c>
      <c r="AW7" s="25">
        <f t="shared" si="3"/>
        <v>2144.8553168340859</v>
      </c>
      <c r="AX7" s="25">
        <f t="shared" si="4"/>
        <v>1</v>
      </c>
    </row>
    <row r="8" spans="1:50">
      <c r="A8" s="9">
        <v>6</v>
      </c>
      <c r="B8" s="1">
        <v>1266</v>
      </c>
      <c r="C8" s="1">
        <v>36.9</v>
      </c>
      <c r="D8" s="1">
        <v>10.5</v>
      </c>
      <c r="E8" s="1">
        <v>7.7</v>
      </c>
      <c r="F8" s="1">
        <v>14.4</v>
      </c>
      <c r="AQ8" s="9">
        <v>7</v>
      </c>
      <c r="AR8" s="25">
        <f t="shared" si="5"/>
        <v>2144.8553168340859</v>
      </c>
      <c r="AS8" s="25">
        <f>AO4</f>
        <v>2351</v>
      </c>
      <c r="AT8" s="26">
        <f t="shared" si="0"/>
        <v>1</v>
      </c>
      <c r="AU8" s="25">
        <f t="shared" si="1"/>
        <v>0.13694121775988943</v>
      </c>
      <c r="AV8" s="25">
        <f t="shared" si="2"/>
        <v>5.4393445142851489</v>
      </c>
      <c r="AW8" s="25">
        <f>AS8</f>
        <v>2351</v>
      </c>
      <c r="AX8" s="25">
        <f t="shared" si="4"/>
        <v>1</v>
      </c>
    </row>
    <row r="9" spans="1:50">
      <c r="A9" s="9">
        <v>7</v>
      </c>
      <c r="B9" s="1">
        <v>1138</v>
      </c>
      <c r="C9" s="1">
        <v>55.3</v>
      </c>
      <c r="D9" s="1">
        <v>13.2</v>
      </c>
      <c r="E9" s="1">
        <v>6.8</v>
      </c>
      <c r="F9" s="1">
        <v>14.8</v>
      </c>
      <c r="AU9" s="10">
        <f>SUM(AU2:AU8)</f>
        <v>44.379538205689435</v>
      </c>
      <c r="AV9" s="7">
        <f>SUM(AV2:AV8)</f>
        <v>26.249916353550816</v>
      </c>
    </row>
    <row r="10" spans="1:50">
      <c r="A10" s="9">
        <v>8</v>
      </c>
      <c r="B10" s="1">
        <v>947</v>
      </c>
      <c r="C10" s="1">
        <v>34.299999999999997</v>
      </c>
      <c r="D10" s="1">
        <v>11.1</v>
      </c>
      <c r="E10" s="1">
        <v>8.6999999999999993</v>
      </c>
      <c r="F10" s="1">
        <v>13.6</v>
      </c>
      <c r="AN10" s="9" t="s">
        <v>164</v>
      </c>
      <c r="AO10" s="9">
        <v>6.6405804143955818</v>
      </c>
      <c r="AQ10" s="9" t="s">
        <v>61</v>
      </c>
      <c r="AR10" s="9" t="s">
        <v>157</v>
      </c>
      <c r="AS10" s="9" t="s">
        <v>158</v>
      </c>
      <c r="AT10" s="9" t="s">
        <v>159</v>
      </c>
      <c r="AU10" s="9" t="s">
        <v>160</v>
      </c>
      <c r="AV10" s="9" t="s">
        <v>161</v>
      </c>
      <c r="AW10" s="9" t="s">
        <v>162</v>
      </c>
      <c r="AX10" s="9" t="s">
        <v>163</v>
      </c>
    </row>
    <row r="11" spans="1:50">
      <c r="A11" s="9">
        <v>9</v>
      </c>
      <c r="B11" s="1">
        <v>921</v>
      </c>
      <c r="C11" s="1">
        <v>35.4</v>
      </c>
      <c r="D11" s="1">
        <v>12.2</v>
      </c>
      <c r="E11" s="1">
        <v>7.3</v>
      </c>
      <c r="F11" s="1">
        <v>14.8</v>
      </c>
      <c r="AN11" s="9" t="s">
        <v>165</v>
      </c>
      <c r="AO11" s="25">
        <f>MIN($C$3:$C$52)</f>
        <v>6.4</v>
      </c>
      <c r="AQ11" s="9">
        <v>1</v>
      </c>
      <c r="AR11" s="9">
        <f>AO11</f>
        <v>6.4</v>
      </c>
      <c r="AS11" s="9">
        <f>AR11+$AO$13</f>
        <v>16.263595636611498</v>
      </c>
      <c r="AT11" s="25">
        <f>COUNTIFS($C$2:$C$52, "&gt;="&amp;AR11, $C$2:$C$52, "&lt;="&amp;AS11)</f>
        <v>6</v>
      </c>
      <c r="AU11" s="25">
        <f>50 * (_xlfn.NORM.S.DIST((AS11- $AO$14)/$AO$15, TRUE) - _xlfn.NORM.S.DIST((AR11-$AO$14)/$AO$15, TRUE))</f>
        <v>4.3406851351325155</v>
      </c>
      <c r="AV11" s="25">
        <f>(AT11-AU11)^2/AU11</f>
        <v>0.63430673616139699</v>
      </c>
      <c r="AW11" s="9">
        <f>AS11</f>
        <v>16.263595636611498</v>
      </c>
      <c r="AX11" s="9">
        <v>12</v>
      </c>
    </row>
    <row r="12" spans="1:50">
      <c r="A12" s="9">
        <v>10</v>
      </c>
      <c r="B12" s="1">
        <v>826</v>
      </c>
      <c r="C12" s="1">
        <v>34.299999999999997</v>
      </c>
      <c r="D12" s="1">
        <v>8.8000000000000007</v>
      </c>
      <c r="E12" s="1">
        <v>7.4</v>
      </c>
      <c r="F12" s="1">
        <v>13.6</v>
      </c>
      <c r="AN12" s="9" t="s">
        <v>166</v>
      </c>
      <c r="AO12" s="9">
        <f>MAX($C$3:$C$52)</f>
        <v>71.900000000000006</v>
      </c>
      <c r="AQ12" s="9">
        <v>2</v>
      </c>
      <c r="AR12" s="9">
        <f>AS11</f>
        <v>16.263595636611498</v>
      </c>
      <c r="AS12" s="25">
        <f t="shared" ref="AS12:AS16" si="7">AR12+$AO$13</f>
        <v>26.127191273222994</v>
      </c>
      <c r="AT12" s="25">
        <f t="shared" ref="AT12:AT17" si="8">COUNTIFS($C$2:$C$52, "&gt;="&amp;AR12, $C$2:$C$52, "&lt;="&amp;AS12)</f>
        <v>10</v>
      </c>
      <c r="AU12" s="25">
        <f t="shared" ref="AU12:AU16" si="9">50 * (_xlfn.NORM.S.DIST((AS12- $AO$14)/$AO$15, TRUE) - _xlfn.NORM.S.DIST((AR12-$AO$14)/$AO$15, TRUE))</f>
        <v>9.1589358914282268</v>
      </c>
      <c r="AV12" s="25">
        <f t="shared" ref="AV12:AV17" si="10">(AT12-AU12)^2/AU12</f>
        <v>7.7234827616783616E-2</v>
      </c>
      <c r="AW12" s="25">
        <f t="shared" ref="AW12:AW17" si="11">AS12</f>
        <v>26.127191273222994</v>
      </c>
      <c r="AX12" s="9">
        <v>10</v>
      </c>
    </row>
    <row r="13" spans="1:50">
      <c r="A13" s="9">
        <v>11</v>
      </c>
      <c r="B13" s="1">
        <v>784</v>
      </c>
      <c r="C13" s="1">
        <v>41.7</v>
      </c>
      <c r="D13" s="1">
        <v>10.9</v>
      </c>
      <c r="E13" s="1">
        <v>7.2</v>
      </c>
      <c r="F13" s="1">
        <v>13.5</v>
      </c>
      <c r="AN13" s="9" t="s">
        <v>167</v>
      </c>
      <c r="AO13" s="25">
        <f>(AO12-AO11)/AO2</f>
        <v>9.8635956366114961</v>
      </c>
      <c r="AQ13" s="9">
        <v>3</v>
      </c>
      <c r="AR13" s="25">
        <f t="shared" ref="AR13:AR17" si="12">AS12</f>
        <v>26.127191273222994</v>
      </c>
      <c r="AS13" s="25">
        <f t="shared" si="7"/>
        <v>35.99078690983449</v>
      </c>
      <c r="AT13" s="25">
        <f t="shared" si="8"/>
        <v>15</v>
      </c>
      <c r="AU13" s="25">
        <f t="shared" si="9"/>
        <v>12.70522701857923</v>
      </c>
      <c r="AV13" s="25">
        <f t="shared" si="10"/>
        <v>0.41447374600691261</v>
      </c>
      <c r="AW13" s="25">
        <f t="shared" si="11"/>
        <v>35.99078690983449</v>
      </c>
      <c r="AX13" s="9">
        <v>13</v>
      </c>
    </row>
    <row r="14" spans="1:50">
      <c r="A14" s="9">
        <v>12</v>
      </c>
      <c r="B14" s="1">
        <v>932</v>
      </c>
      <c r="C14" s="1">
        <v>34.5</v>
      </c>
      <c r="D14" s="1">
        <v>10.8</v>
      </c>
      <c r="E14" s="1">
        <v>9.6</v>
      </c>
      <c r="F14" s="1">
        <v>13</v>
      </c>
      <c r="AN14" s="9" t="s">
        <v>168</v>
      </c>
      <c r="AO14" s="9">
        <f>AVERAGE(C3:C52)</f>
        <v>33.828000000000003</v>
      </c>
      <c r="AQ14" s="9">
        <v>4</v>
      </c>
      <c r="AR14" s="25">
        <f t="shared" si="12"/>
        <v>35.99078690983449</v>
      </c>
      <c r="AS14" s="25">
        <f t="shared" si="7"/>
        <v>45.85438254644599</v>
      </c>
      <c r="AT14" s="25">
        <f t="shared" si="8"/>
        <v>9</v>
      </c>
      <c r="AU14" s="25">
        <f t="shared" si="9"/>
        <v>11.58951846055788</v>
      </c>
      <c r="AV14" s="25">
        <f t="shared" si="10"/>
        <v>0.5785922754591537</v>
      </c>
      <c r="AW14" s="25">
        <f t="shared" si="11"/>
        <v>45.85438254644599</v>
      </c>
      <c r="AX14" s="9">
        <v>8</v>
      </c>
    </row>
    <row r="15" spans="1:50">
      <c r="A15" s="9">
        <v>13</v>
      </c>
      <c r="B15" s="1">
        <v>755</v>
      </c>
      <c r="C15" s="1">
        <v>27.3</v>
      </c>
      <c r="D15" s="1">
        <v>10.4</v>
      </c>
      <c r="E15" s="1">
        <v>4.9000000000000004</v>
      </c>
      <c r="F15" s="1">
        <v>14.1</v>
      </c>
      <c r="AN15" s="9" t="s">
        <v>169</v>
      </c>
      <c r="AO15" s="9">
        <f>STDEV(C3:C53)</f>
        <v>14.960656429994186</v>
      </c>
      <c r="AQ15" s="9">
        <v>5</v>
      </c>
      <c r="AR15" s="25">
        <f t="shared" si="12"/>
        <v>45.85438254644599</v>
      </c>
      <c r="AS15" s="25">
        <f t="shared" si="7"/>
        <v>55.717978183057483</v>
      </c>
      <c r="AT15" s="25">
        <f t="shared" si="8"/>
        <v>7</v>
      </c>
      <c r="AU15" s="25">
        <f t="shared" si="9"/>
        <v>6.9513161752926935</v>
      </c>
      <c r="AV15" s="25">
        <f t="shared" si="10"/>
        <v>3.4095914045111726E-4</v>
      </c>
      <c r="AW15" s="25">
        <f t="shared" si="11"/>
        <v>55.717978183057483</v>
      </c>
      <c r="AX15" s="9">
        <v>10</v>
      </c>
    </row>
    <row r="16" spans="1:50">
      <c r="A16" s="9">
        <v>14</v>
      </c>
      <c r="B16" s="1">
        <v>998</v>
      </c>
      <c r="C16" s="1">
        <v>36.9</v>
      </c>
      <c r="D16" s="1">
        <v>12.1</v>
      </c>
      <c r="E16" s="1">
        <v>8.9</v>
      </c>
      <c r="F16" s="1">
        <v>11.3</v>
      </c>
      <c r="AQ16" s="9">
        <v>6</v>
      </c>
      <c r="AR16" s="25">
        <f t="shared" si="12"/>
        <v>55.717978183057483</v>
      </c>
      <c r="AS16" s="25">
        <f t="shared" si="7"/>
        <v>65.581573819668975</v>
      </c>
      <c r="AT16" s="25">
        <f t="shared" si="8"/>
        <v>0</v>
      </c>
      <c r="AU16" s="25">
        <f t="shared" si="9"/>
        <v>2.7405710783106274</v>
      </c>
      <c r="AV16" s="25">
        <f t="shared" si="10"/>
        <v>2.7405710783106274</v>
      </c>
      <c r="AW16" s="25">
        <f t="shared" si="11"/>
        <v>65.581573819668975</v>
      </c>
      <c r="AX16" s="9">
        <v>2</v>
      </c>
    </row>
    <row r="17" spans="1:50">
      <c r="A17" s="9">
        <v>15</v>
      </c>
      <c r="B17" s="1">
        <v>1047</v>
      </c>
      <c r="C17" s="1">
        <v>37.299999999999997</v>
      </c>
      <c r="D17" s="1">
        <v>11.8</v>
      </c>
      <c r="E17" s="1">
        <v>6.7</v>
      </c>
      <c r="F17" s="1">
        <v>14.6</v>
      </c>
      <c r="AQ17" s="9">
        <v>7</v>
      </c>
      <c r="AR17" s="25">
        <f t="shared" si="12"/>
        <v>65.581573819668975</v>
      </c>
      <c r="AS17" s="25">
        <f>AR17+$AO$13</f>
        <v>75.445169456280468</v>
      </c>
      <c r="AT17" s="25">
        <f t="shared" si="8"/>
        <v>3</v>
      </c>
      <c r="AU17" s="25">
        <f>50 * (_xlfn.NORM.S.DIST((AS17- $AO$14)/$AO$15, TRUE) - _xlfn.NORM.S.DIST((AR17-$AO$14)/$AO$15, TRUE))</f>
        <v>0.70979655626787208</v>
      </c>
      <c r="AV17" s="25">
        <f t="shared" si="10"/>
        <v>7.389486138480307</v>
      </c>
      <c r="AW17" s="25">
        <f t="shared" si="11"/>
        <v>75.445169456280468</v>
      </c>
      <c r="AX17" s="9">
        <v>3</v>
      </c>
    </row>
    <row r="18" spans="1:50">
      <c r="A18" s="9">
        <v>16</v>
      </c>
      <c r="B18" s="1">
        <v>1143</v>
      </c>
      <c r="C18" s="1">
        <v>51.3</v>
      </c>
      <c r="D18" s="1">
        <v>14.1</v>
      </c>
      <c r="E18" s="1">
        <v>8</v>
      </c>
      <c r="F18" s="1">
        <v>13.6</v>
      </c>
      <c r="AU18" s="10">
        <f>SUM(AU11:AU17)</f>
        <v>48.196050315569053</v>
      </c>
      <c r="AV18" s="7">
        <f>SUM(AV11:AV17)</f>
        <v>11.835005761175633</v>
      </c>
    </row>
    <row r="19" spans="1:50">
      <c r="A19" s="9">
        <v>17</v>
      </c>
      <c r="B19" s="1">
        <v>805</v>
      </c>
      <c r="C19" s="1">
        <v>31.3</v>
      </c>
      <c r="D19" s="1">
        <v>12.3</v>
      </c>
      <c r="E19" s="1">
        <v>6.3</v>
      </c>
      <c r="F19" s="1">
        <v>12.8</v>
      </c>
      <c r="AN19" s="9" t="s">
        <v>164</v>
      </c>
      <c r="AO19" s="9">
        <v>6.6405804143955818</v>
      </c>
      <c r="AQ19" s="9" t="s">
        <v>62</v>
      </c>
      <c r="AR19" s="9" t="s">
        <v>157</v>
      </c>
      <c r="AS19" s="9" t="s">
        <v>158</v>
      </c>
      <c r="AT19" s="9" t="s">
        <v>159</v>
      </c>
      <c r="AU19" s="9" t="s">
        <v>160</v>
      </c>
      <c r="AV19" s="9" t="s">
        <v>161</v>
      </c>
      <c r="AW19" s="9" t="s">
        <v>162</v>
      </c>
      <c r="AX19" s="9" t="s">
        <v>163</v>
      </c>
    </row>
    <row r="20" spans="1:50">
      <c r="A20" s="9">
        <v>18</v>
      </c>
      <c r="B20" s="1">
        <v>969</v>
      </c>
      <c r="C20" s="1">
        <v>26.2</v>
      </c>
      <c r="D20" s="1">
        <v>12.5</v>
      </c>
      <c r="E20" s="1">
        <v>6.2</v>
      </c>
      <c r="F20" s="1">
        <v>13.2</v>
      </c>
      <c r="AN20" s="9" t="s">
        <v>165</v>
      </c>
      <c r="AO20" s="25">
        <f>MIN($D$3:$D$52)</f>
        <v>5.7</v>
      </c>
      <c r="AQ20" s="9">
        <v>1</v>
      </c>
      <c r="AR20" s="9">
        <f>AO20</f>
        <v>5.7</v>
      </c>
      <c r="AS20" s="9">
        <f>AR20+$AO$22</f>
        <v>7.9287208461351169</v>
      </c>
      <c r="AT20" s="25">
        <f>COUNTIFS($D$2:$D$52, "&gt;="&amp;AR20, $D$2:$D$52, "&lt;="&amp;AS20)</f>
        <v>12</v>
      </c>
      <c r="AU20" s="37">
        <f>50 * (_xlfn.NORM.S.DIST((AS20- $AO$23)/$AO$24, TRUE) - _xlfn.NORM.S.DIST((AR20-$AO$23)/$AO$24, TRUE))</f>
        <v>6.9714489782192386</v>
      </c>
      <c r="AV20" s="9">
        <f>(AT20-AU20)^2/AU20</f>
        <v>3.627126219764917</v>
      </c>
      <c r="AW20" s="9">
        <f>AS20</f>
        <v>7.9287208461351169</v>
      </c>
      <c r="AX20" s="9">
        <f>AT20</f>
        <v>12</v>
      </c>
    </row>
    <row r="21" spans="1:50">
      <c r="A21" s="9">
        <v>19</v>
      </c>
      <c r="B21" s="1">
        <v>907</v>
      </c>
      <c r="C21" s="1">
        <v>31.4</v>
      </c>
      <c r="D21" s="1">
        <v>11.2</v>
      </c>
      <c r="E21" s="1">
        <v>5.9</v>
      </c>
      <c r="F21" s="1">
        <v>13.4</v>
      </c>
      <c r="AN21" s="9" t="s">
        <v>166</v>
      </c>
      <c r="AO21" s="25">
        <f>MAX($D$3:$D$52)</f>
        <v>20.5</v>
      </c>
      <c r="AQ21" s="9">
        <v>2</v>
      </c>
      <c r="AR21" s="9">
        <f>AS20</f>
        <v>7.9287208461351169</v>
      </c>
      <c r="AS21" s="25">
        <f t="shared" ref="AS21:AS25" si="13">AR21+$AO$22</f>
        <v>10.157441692270233</v>
      </c>
      <c r="AT21" s="25">
        <f t="shared" ref="AT21:AT26" si="14">COUNTIFS($D$2:$D$52, "&gt;="&amp;AR21, $D$2:$D$52, "&lt;="&amp;AS21)</f>
        <v>9</v>
      </c>
      <c r="AU21" s="37">
        <f t="shared" ref="AU21:AU26" si="15">50 * (_xlfn.NORM.S.DIST((AS21- $AO$23)/$AO$24, TRUE) - _xlfn.NORM.S.DIST((AR21-$AO$23)/$AO$24, TRUE))</f>
        <v>11.72984782246345</v>
      </c>
      <c r="AV21" s="25">
        <f t="shared" ref="AV21:AV26" si="16">(AT21-AU21)^2/AU21</f>
        <v>0.63530825349133879</v>
      </c>
      <c r="AW21" s="25">
        <f t="shared" ref="AW21:AW26" si="17">AS21</f>
        <v>10.157441692270233</v>
      </c>
      <c r="AX21" s="25">
        <f t="shared" ref="AX21:AX26" si="18">AT21</f>
        <v>9</v>
      </c>
    </row>
    <row r="22" spans="1:50">
      <c r="A22" s="9">
        <v>20</v>
      </c>
      <c r="B22" s="1">
        <v>1017</v>
      </c>
      <c r="C22" s="1">
        <v>34.6</v>
      </c>
      <c r="D22" s="1">
        <v>10.4</v>
      </c>
      <c r="E22" s="1">
        <v>8.4</v>
      </c>
      <c r="F22" s="1">
        <v>13</v>
      </c>
      <c r="AN22" s="9" t="s">
        <v>167</v>
      </c>
      <c r="AO22" s="25">
        <f>(AO21-AO20)/$AO$2</f>
        <v>2.2287208461351167</v>
      </c>
      <c r="AQ22" s="9">
        <v>3</v>
      </c>
      <c r="AR22" s="25">
        <f t="shared" ref="AR22:AR26" si="19">AS21</f>
        <v>10.157441692270233</v>
      </c>
      <c r="AS22" s="25">
        <f t="shared" si="13"/>
        <v>12.386162538405349</v>
      </c>
      <c r="AT22" s="25">
        <f t="shared" si="14"/>
        <v>14</v>
      </c>
      <c r="AU22" s="37">
        <f t="shared" si="15"/>
        <v>12.843347627171489</v>
      </c>
      <c r="AV22" s="25">
        <f t="shared" si="16"/>
        <v>0.10416635525300807</v>
      </c>
      <c r="AW22" s="25">
        <f t="shared" si="17"/>
        <v>12.386162538405349</v>
      </c>
      <c r="AX22" s="25">
        <f t="shared" si="18"/>
        <v>14</v>
      </c>
    </row>
    <row r="23" spans="1:50">
      <c r="A23" s="9">
        <v>21</v>
      </c>
      <c r="B23" s="1">
        <v>1125</v>
      </c>
      <c r="C23" s="1">
        <v>51.2</v>
      </c>
      <c r="D23" s="1">
        <v>13.3</v>
      </c>
      <c r="E23" s="1">
        <v>8.6</v>
      </c>
      <c r="F23" s="1">
        <v>13.2</v>
      </c>
      <c r="AN23" s="9" t="s">
        <v>168</v>
      </c>
      <c r="AO23" s="25">
        <f>AVERAGE($D$3:$D$52)</f>
        <v>10.628000000000002</v>
      </c>
      <c r="AQ23" s="9">
        <v>4</v>
      </c>
      <c r="AR23" s="25">
        <f t="shared" si="19"/>
        <v>12.386162538405349</v>
      </c>
      <c r="AS23" s="25">
        <f t="shared" si="13"/>
        <v>14.614883384540466</v>
      </c>
      <c r="AT23" s="25">
        <f t="shared" si="14"/>
        <v>10</v>
      </c>
      <c r="AU23" s="37">
        <f t="shared" si="15"/>
        <v>9.151856736568293</v>
      </c>
      <c r="AV23" s="25">
        <f t="shared" si="16"/>
        <v>7.86012080401427E-2</v>
      </c>
      <c r="AW23" s="25">
        <f t="shared" si="17"/>
        <v>14.614883384540466</v>
      </c>
      <c r="AX23" s="25">
        <f t="shared" si="18"/>
        <v>10</v>
      </c>
    </row>
    <row r="24" spans="1:50">
      <c r="A24" s="9">
        <v>22</v>
      </c>
      <c r="B24" s="1">
        <v>1177</v>
      </c>
      <c r="C24" s="1">
        <v>45.6</v>
      </c>
      <c r="D24" s="1">
        <v>12.4</v>
      </c>
      <c r="E24" s="1">
        <v>7.7</v>
      </c>
      <c r="F24" s="1">
        <v>14.9</v>
      </c>
      <c r="AN24" s="9" t="s">
        <v>169</v>
      </c>
      <c r="AO24" s="25">
        <f>STDEV($D$3:$D$52)</f>
        <v>3.3378497294405678</v>
      </c>
      <c r="AQ24" s="9">
        <v>5</v>
      </c>
      <c r="AR24" s="25">
        <f t="shared" si="19"/>
        <v>14.614883384540466</v>
      </c>
      <c r="AS24" s="25">
        <f t="shared" si="13"/>
        <v>16.843604230675581</v>
      </c>
      <c r="AT24" s="25">
        <f t="shared" si="14"/>
        <v>3</v>
      </c>
      <c r="AU24" s="37">
        <f t="shared" si="15"/>
        <v>4.2430626994849732</v>
      </c>
      <c r="AV24" s="25">
        <f t="shared" si="16"/>
        <v>0.36417205784831486</v>
      </c>
      <c r="AW24" s="25">
        <f t="shared" si="17"/>
        <v>16.843604230675581</v>
      </c>
      <c r="AX24" s="25">
        <f t="shared" si="18"/>
        <v>3</v>
      </c>
    </row>
    <row r="25" spans="1:50">
      <c r="A25" s="9">
        <v>23</v>
      </c>
      <c r="B25" s="1">
        <v>758</v>
      </c>
      <c r="C25" s="1">
        <v>25.5</v>
      </c>
      <c r="D25" s="1">
        <v>12.5</v>
      </c>
      <c r="E25" s="1">
        <v>7</v>
      </c>
      <c r="F25" s="1">
        <v>12.9</v>
      </c>
      <c r="AQ25" s="9">
        <v>6</v>
      </c>
      <c r="AR25" s="25">
        <f t="shared" si="19"/>
        <v>16.843604230675581</v>
      </c>
      <c r="AS25" s="25">
        <f t="shared" si="13"/>
        <v>19.072325076810699</v>
      </c>
      <c r="AT25" s="25">
        <f t="shared" si="14"/>
        <v>1</v>
      </c>
      <c r="AU25" s="37">
        <f t="shared" si="15"/>
        <v>1.2792576870658434</v>
      </c>
      <c r="AV25" s="25">
        <f t="shared" si="16"/>
        <v>6.096102182839621E-2</v>
      </c>
      <c r="AW25" s="25">
        <f t="shared" si="17"/>
        <v>19.072325076810699</v>
      </c>
      <c r="AX25" s="25">
        <f t="shared" si="18"/>
        <v>1</v>
      </c>
    </row>
    <row r="26" spans="1:50">
      <c r="A26" s="9">
        <v>24</v>
      </c>
      <c r="B26" s="1">
        <v>1000</v>
      </c>
      <c r="C26" s="1">
        <v>32.700000000000003</v>
      </c>
      <c r="D26" s="1">
        <v>13.1</v>
      </c>
      <c r="E26" s="1">
        <v>6.2</v>
      </c>
      <c r="F26" s="1">
        <v>12.6</v>
      </c>
      <c r="AQ26" s="9">
        <v>7</v>
      </c>
      <c r="AR26" s="25">
        <f t="shared" si="19"/>
        <v>19.072325076810699</v>
      </c>
      <c r="AS26" s="25">
        <f>AO21</f>
        <v>20.5</v>
      </c>
      <c r="AT26" s="25">
        <f t="shared" si="14"/>
        <v>1</v>
      </c>
      <c r="AU26" s="37">
        <f t="shared" si="15"/>
        <v>0.20774931117968354</v>
      </c>
      <c r="AV26" s="25">
        <f t="shared" si="16"/>
        <v>3.0212430085671778</v>
      </c>
      <c r="AW26" s="25">
        <f t="shared" si="17"/>
        <v>20.5</v>
      </c>
      <c r="AX26" s="25">
        <f t="shared" si="18"/>
        <v>1</v>
      </c>
    </row>
    <row r="27" spans="1:50">
      <c r="A27" s="9">
        <v>25</v>
      </c>
      <c r="B27" s="1">
        <v>819</v>
      </c>
      <c r="C27" s="1">
        <v>39.200000000000003</v>
      </c>
      <c r="D27" s="1">
        <v>12.9</v>
      </c>
      <c r="E27" s="1">
        <v>5.6</v>
      </c>
      <c r="F27" s="1">
        <v>13.1</v>
      </c>
      <c r="AU27" s="10">
        <f>SUM(AU20:AU26)</f>
        <v>46.426570862152971</v>
      </c>
      <c r="AV27" s="7">
        <f>SUM(AV20:AV26)</f>
        <v>7.8915781247932948</v>
      </c>
    </row>
    <row r="28" spans="1:50">
      <c r="A28" s="9">
        <v>26</v>
      </c>
      <c r="B28" s="1">
        <v>837</v>
      </c>
      <c r="C28" s="1">
        <v>44.6</v>
      </c>
      <c r="D28" s="1">
        <v>10</v>
      </c>
      <c r="E28" s="1">
        <v>7.8</v>
      </c>
      <c r="F28" s="1">
        <v>11.4</v>
      </c>
      <c r="AN28" s="9" t="s">
        <v>164</v>
      </c>
      <c r="AO28" s="9">
        <v>6.6405804143955818</v>
      </c>
      <c r="AQ28" s="9" t="s">
        <v>63</v>
      </c>
      <c r="AR28" s="9" t="s">
        <v>157</v>
      </c>
      <c r="AS28" s="9" t="s">
        <v>158</v>
      </c>
      <c r="AT28" s="9" t="s">
        <v>159</v>
      </c>
      <c r="AU28" s="9" t="s">
        <v>160</v>
      </c>
      <c r="AV28" s="9" t="s">
        <v>161</v>
      </c>
      <c r="AW28" s="9" t="s">
        <v>162</v>
      </c>
      <c r="AX28" s="9" t="s">
        <v>163</v>
      </c>
    </row>
    <row r="29" spans="1:50">
      <c r="A29" s="9">
        <v>27</v>
      </c>
      <c r="B29" s="1">
        <v>1249</v>
      </c>
      <c r="C29" s="1">
        <v>49.4</v>
      </c>
      <c r="D29" s="1">
        <v>12.9</v>
      </c>
      <c r="E29" s="1">
        <v>8.1</v>
      </c>
      <c r="F29" s="1">
        <v>16.600000000000001</v>
      </c>
      <c r="AN29" s="9" t="s">
        <v>165</v>
      </c>
      <c r="AO29" s="25">
        <f>MIN($E$3:$E$52)</f>
        <v>3.8</v>
      </c>
      <c r="AQ29" s="9">
        <v>1</v>
      </c>
      <c r="AR29" s="9">
        <f>AO29</f>
        <v>3.8</v>
      </c>
      <c r="AS29" s="9">
        <f>AR29+$AO$31</f>
        <v>4.9896550462477984</v>
      </c>
      <c r="AT29" s="25">
        <f>COUNTIFS($E$2:$E$52, "&gt;="&amp;AR29, $E$2:$E$52, "&lt;="&amp;AS29)</f>
        <v>4</v>
      </c>
      <c r="AU29" s="37">
        <f>50 * (_xlfn.NORM.S.DIST((AS29- $AO$32)/$AO$33, TRUE) - _xlfn.NORM.S.DIST((AR29-$AO$32)/$AO$33, TRUE))</f>
        <v>4.1604977239924317</v>
      </c>
      <c r="AV29" s="25">
        <f>(AT29-AU29)^2/AU29</f>
        <v>6.1914513877036398E-3</v>
      </c>
      <c r="AW29" s="9">
        <f>AS29</f>
        <v>4.9896550462477984</v>
      </c>
      <c r="AX29" s="9">
        <f>AT29</f>
        <v>4</v>
      </c>
    </row>
    <row r="30" spans="1:50">
      <c r="A30" s="9">
        <v>28</v>
      </c>
      <c r="B30" s="1">
        <v>1089</v>
      </c>
      <c r="C30" s="1">
        <v>47</v>
      </c>
      <c r="D30" s="1">
        <v>10.4</v>
      </c>
      <c r="E30" s="1">
        <v>8.6999999999999993</v>
      </c>
      <c r="F30" s="1">
        <v>13.2</v>
      </c>
      <c r="AN30" s="9" t="s">
        <v>166</v>
      </c>
      <c r="AO30" s="25">
        <f>MAX($E$3:$E$52)</f>
        <v>11.7</v>
      </c>
      <c r="AQ30" s="9">
        <v>2</v>
      </c>
      <c r="AR30" s="9">
        <f>AS29</f>
        <v>4.9896550462477984</v>
      </c>
      <c r="AS30" s="25">
        <f t="shared" ref="AS30:AS34" si="20">AR30+$AO$31</f>
        <v>6.179310092495597</v>
      </c>
      <c r="AT30" s="25">
        <f t="shared" ref="AT30:AT35" si="21">COUNTIFS($E$2:$E$52, "&gt;="&amp;AR30, $E$2:$E$52, "&lt;="&amp;AS30)</f>
        <v>10</v>
      </c>
      <c r="AU30" s="37">
        <f t="shared" ref="AU30:AU34" si="22">50 * (_xlfn.NORM.S.DIST((AS30- $AO$32)/$AO$33, TRUE) - _xlfn.NORM.S.DIST((AR30-$AO$32)/$AO$33, TRUE))</f>
        <v>10.014064510709774</v>
      </c>
      <c r="AV30" s="25">
        <f t="shared" ref="AV30:AV34" si="23">(AT30-AU30)^2/AU30</f>
        <v>1.9753264151015174E-5</v>
      </c>
      <c r="AW30" s="25">
        <f t="shared" ref="AW30:AW35" si="24">AS30</f>
        <v>6.179310092495597</v>
      </c>
      <c r="AX30" s="25">
        <f t="shared" ref="AX30:AX35" si="25">AT30</f>
        <v>10</v>
      </c>
    </row>
    <row r="31" spans="1:50">
      <c r="A31" s="9">
        <v>29</v>
      </c>
      <c r="B31" s="1">
        <v>1045</v>
      </c>
      <c r="C31" s="1">
        <v>39.799999999999997</v>
      </c>
      <c r="D31" s="1">
        <v>13</v>
      </c>
      <c r="E31" s="1">
        <v>6.3</v>
      </c>
      <c r="F31" s="1">
        <v>11.5</v>
      </c>
      <c r="AN31" s="9" t="s">
        <v>167</v>
      </c>
      <c r="AO31" s="25">
        <f>(AO30-AO29)/$AO$2</f>
        <v>1.1896550462477986</v>
      </c>
      <c r="AQ31" s="9">
        <v>3</v>
      </c>
      <c r="AR31" s="25">
        <f t="shared" ref="AR31:AR35" si="26">AS30</f>
        <v>6.179310092495597</v>
      </c>
      <c r="AS31" s="25">
        <f t="shared" si="20"/>
        <v>7.3689651387433956</v>
      </c>
      <c r="AT31" s="25">
        <f t="shared" si="21"/>
        <v>17</v>
      </c>
      <c r="AU31" s="37">
        <f t="shared" si="22"/>
        <v>14.293176402134591</v>
      </c>
      <c r="AV31" s="25">
        <f t="shared" si="23"/>
        <v>0.51261481589682278</v>
      </c>
      <c r="AW31" s="25">
        <f t="shared" si="24"/>
        <v>7.3689651387433956</v>
      </c>
      <c r="AX31" s="25">
        <f t="shared" si="25"/>
        <v>17</v>
      </c>
    </row>
    <row r="32" spans="1:50">
      <c r="A32" s="9">
        <v>30</v>
      </c>
      <c r="B32" s="1">
        <v>1245</v>
      </c>
      <c r="C32" s="1">
        <v>50.4</v>
      </c>
      <c r="D32" s="1">
        <v>11.6</v>
      </c>
      <c r="E32" s="1">
        <v>8.6</v>
      </c>
      <c r="F32" s="1">
        <v>14.3</v>
      </c>
      <c r="AN32" s="9" t="s">
        <v>168</v>
      </c>
      <c r="AO32" s="25">
        <f>AVERAGE($E$3:$E$52)</f>
        <v>6.99</v>
      </c>
      <c r="AQ32" s="9">
        <v>4</v>
      </c>
      <c r="AR32" s="25">
        <f t="shared" si="26"/>
        <v>7.3689651387433956</v>
      </c>
      <c r="AS32" s="25">
        <f t="shared" si="20"/>
        <v>8.5586201849911951</v>
      </c>
      <c r="AT32" s="25">
        <f t="shared" si="21"/>
        <v>9</v>
      </c>
      <c r="AU32" s="37">
        <f t="shared" si="22"/>
        <v>12.103289878358403</v>
      </c>
      <c r="AV32" s="25">
        <f t="shared" si="23"/>
        <v>0.79568515386395966</v>
      </c>
      <c r="AW32" s="25">
        <f t="shared" si="24"/>
        <v>8.5586201849911951</v>
      </c>
      <c r="AX32" s="25">
        <f t="shared" si="25"/>
        <v>9</v>
      </c>
    </row>
    <row r="33" spans="1:50">
      <c r="A33" s="9">
        <v>31</v>
      </c>
      <c r="B33" s="1">
        <v>284</v>
      </c>
      <c r="C33" s="1">
        <v>26.6</v>
      </c>
      <c r="D33" s="1">
        <v>7.5</v>
      </c>
      <c r="E33" s="1">
        <v>6.3</v>
      </c>
      <c r="F33" s="1">
        <v>8.4</v>
      </c>
      <c r="AN33" s="9" t="s">
        <v>169</v>
      </c>
      <c r="AO33" s="25">
        <f>STDEV($E$3:$E$52)</f>
        <v>1.6093159910917674</v>
      </c>
      <c r="AQ33" s="9">
        <v>5</v>
      </c>
      <c r="AR33" s="25">
        <f t="shared" si="26"/>
        <v>8.5586201849911951</v>
      </c>
      <c r="AS33" s="25">
        <f t="shared" si="20"/>
        <v>9.7482752312389938</v>
      </c>
      <c r="AT33" s="25">
        <f t="shared" si="21"/>
        <v>8</v>
      </c>
      <c r="AU33" s="37">
        <f t="shared" si="22"/>
        <v>6.0790923108265176</v>
      </c>
      <c r="AV33" s="25">
        <f t="shared" si="23"/>
        <v>0.6069798189697384</v>
      </c>
      <c r="AW33" s="25">
        <f t="shared" si="24"/>
        <v>9.7482752312389938</v>
      </c>
      <c r="AX33" s="25">
        <f t="shared" si="25"/>
        <v>8</v>
      </c>
    </row>
    <row r="34" spans="1:50">
      <c r="A34" s="9">
        <v>32</v>
      </c>
      <c r="B34" s="1">
        <v>467</v>
      </c>
      <c r="C34" s="1">
        <v>20.8</v>
      </c>
      <c r="D34" s="1">
        <v>9.1999999999999993</v>
      </c>
      <c r="E34" s="1">
        <v>6.7</v>
      </c>
      <c r="F34" s="1">
        <v>9.3000000000000007</v>
      </c>
      <c r="AQ34" s="9">
        <v>6</v>
      </c>
      <c r="AR34" s="25">
        <f t="shared" si="26"/>
        <v>9.7482752312389938</v>
      </c>
      <c r="AS34" s="25">
        <f t="shared" si="20"/>
        <v>10.937930277486792</v>
      </c>
      <c r="AT34" s="25">
        <f t="shared" si="21"/>
        <v>1</v>
      </c>
      <c r="AU34" s="37">
        <f t="shared" si="22"/>
        <v>1.8094760080355654</v>
      </c>
      <c r="AV34" s="25">
        <f t="shared" si="23"/>
        <v>0.3621221860225492</v>
      </c>
      <c r="AW34" s="25">
        <f t="shared" si="24"/>
        <v>10.937930277486792</v>
      </c>
      <c r="AX34" s="25">
        <f t="shared" si="25"/>
        <v>1</v>
      </c>
    </row>
    <row r="35" spans="1:50">
      <c r="A35" s="9">
        <v>33</v>
      </c>
      <c r="B35" s="1">
        <v>292</v>
      </c>
      <c r="C35" s="1">
        <v>15.7</v>
      </c>
      <c r="D35" s="1">
        <v>6.8</v>
      </c>
      <c r="E35" s="1">
        <v>6.7</v>
      </c>
      <c r="F35" s="1">
        <v>8.9</v>
      </c>
      <c r="AQ35" s="9">
        <v>7</v>
      </c>
      <c r="AR35" s="25">
        <f t="shared" si="26"/>
        <v>10.937930277486792</v>
      </c>
      <c r="AS35" s="25">
        <f>AO30</f>
        <v>11.7</v>
      </c>
      <c r="AT35" s="25">
        <f t="shared" si="21"/>
        <v>1</v>
      </c>
      <c r="AU35" s="37">
        <f>50 * (_xlfn.NORM.S.DIST((AS35- $AO$32)/$AO$33, TRUE) - _xlfn.NORM.S.DIST((AR35-$AO$32)/$AO$33, TRUE))</f>
        <v>0.26836346388375287</v>
      </c>
      <c r="AV35" s="25">
        <f>(AT35-AU35)^2/AU35</f>
        <v>1.9946531216784908</v>
      </c>
      <c r="AW35" s="25">
        <f t="shared" si="24"/>
        <v>11.7</v>
      </c>
      <c r="AX35" s="25">
        <f t="shared" si="25"/>
        <v>1</v>
      </c>
    </row>
    <row r="36" spans="1:50">
      <c r="A36" s="9">
        <v>34</v>
      </c>
      <c r="B36" s="1">
        <v>332</v>
      </c>
      <c r="C36" s="1">
        <v>24.9</v>
      </c>
      <c r="D36" s="1">
        <v>8.5</v>
      </c>
      <c r="E36" s="1">
        <v>5.2</v>
      </c>
      <c r="F36" s="1">
        <v>10.4</v>
      </c>
      <c r="AU36" s="10">
        <f>SUM(AU29:AU35)</f>
        <v>48.727960297941038</v>
      </c>
      <c r="AV36" s="7">
        <f>SUM(AV29:AV35)</f>
        <v>4.2782663010834154</v>
      </c>
    </row>
    <row r="37" spans="1:50">
      <c r="A37" s="9">
        <v>35</v>
      </c>
      <c r="B37" s="1">
        <v>290</v>
      </c>
      <c r="C37" s="1">
        <v>13.1</v>
      </c>
      <c r="D37" s="1">
        <v>8</v>
      </c>
      <c r="E37" s="1">
        <v>5.6</v>
      </c>
      <c r="F37" s="1">
        <v>7.7</v>
      </c>
      <c r="AN37" s="9" t="s">
        <v>164</v>
      </c>
      <c r="AO37" s="9">
        <v>6.6405804143955818</v>
      </c>
      <c r="AQ37" s="9" t="s">
        <v>64</v>
      </c>
      <c r="AR37" s="9" t="s">
        <v>157</v>
      </c>
      <c r="AS37" s="9" t="s">
        <v>158</v>
      </c>
      <c r="AT37" s="9" t="s">
        <v>159</v>
      </c>
      <c r="AU37" s="9" t="s">
        <v>160</v>
      </c>
      <c r="AV37" s="9" t="s">
        <v>161</v>
      </c>
      <c r="AW37" s="9" t="s">
        <v>162</v>
      </c>
      <c r="AX37" s="9" t="s">
        <v>163</v>
      </c>
    </row>
    <row r="38" spans="1:50">
      <c r="A38" s="9">
        <v>36</v>
      </c>
      <c r="B38" s="1">
        <v>263</v>
      </c>
      <c r="C38" s="1">
        <v>7.3</v>
      </c>
      <c r="D38" s="1">
        <v>8.6</v>
      </c>
      <c r="E38" s="1">
        <v>5</v>
      </c>
      <c r="F38" s="1">
        <v>8.6999999999999993</v>
      </c>
      <c r="AN38" s="9" t="s">
        <v>165</v>
      </c>
      <c r="AO38" s="25">
        <f>MIN($F$3:$F$52)</f>
        <v>5.5</v>
      </c>
      <c r="AQ38" s="9">
        <v>1</v>
      </c>
      <c r="AR38" s="9">
        <f>AO38</f>
        <v>5.5</v>
      </c>
      <c r="AS38" s="9">
        <f>AR38+$AO$40</f>
        <v>8.0600171881281746</v>
      </c>
      <c r="AT38" s="25">
        <f>COUNTIFS($F$2:$F$52, "&gt;="&amp;AR38, $F$2:$F$52, "&lt;="&amp;AS38)</f>
        <v>4</v>
      </c>
      <c r="AU38" s="37">
        <f>50 * (_xlfn.NORM.S.DIST((AS38- $AO$41)/$AO$42, TRUE) - _xlfn.NORM.S.DIST((AR38-$AO$41)/$AO$42, TRUE))</f>
        <v>4.5764066666180163</v>
      </c>
      <c r="AV38" s="25">
        <f>(AT38-AU38)^2/AU38</f>
        <v>7.259945837969492E-2</v>
      </c>
      <c r="AW38" s="9">
        <f>AS38</f>
        <v>8.0600171881281746</v>
      </c>
      <c r="AX38" s="9">
        <f>AT38</f>
        <v>4</v>
      </c>
    </row>
    <row r="39" spans="1:50">
      <c r="A39" s="9">
        <v>37</v>
      </c>
      <c r="B39" s="1">
        <v>323</v>
      </c>
      <c r="C39" s="1">
        <v>35.700000000000003</v>
      </c>
      <c r="D39" s="1">
        <v>10.199999999999999</v>
      </c>
      <c r="E39" s="1">
        <v>3.8</v>
      </c>
      <c r="F39" s="1">
        <v>10.3</v>
      </c>
      <c r="AN39" s="9" t="s">
        <v>166</v>
      </c>
      <c r="AO39" s="25">
        <f>MAX($F$3:$F$52)</f>
        <v>22.5</v>
      </c>
      <c r="AQ39" s="9">
        <v>2</v>
      </c>
      <c r="AR39" s="9">
        <f>AS38</f>
        <v>8.0600171881281746</v>
      </c>
      <c r="AS39" s="25">
        <f t="shared" ref="AS39:AS43" si="27">AR39+$AO$40</f>
        <v>10.620034376256349</v>
      </c>
      <c r="AT39" s="25">
        <f t="shared" ref="AT39:AT43" si="28">COUNTIFS($F$2:$F$52, "&gt;="&amp;AR39, $F$2:$F$52, "&lt;="&amp;AS39)</f>
        <v>15</v>
      </c>
      <c r="AU39" s="37">
        <f t="shared" ref="AU39:AU44" si="29">50 * (_xlfn.NORM.S.DIST((AS39- $AO$41)/$AO$42, TRUE) - _xlfn.NORM.S.DIST((AR39-$AO$41)/$AO$42, TRUE))</f>
        <v>9.6304992450877283</v>
      </c>
      <c r="AV39" s="25">
        <f t="shared" ref="AV39:AV43" si="30">(AT39-AU39)^2/AU39</f>
        <v>2.9937740114262184</v>
      </c>
      <c r="AW39" s="25">
        <f t="shared" ref="AW39:AW44" si="31">AS39</f>
        <v>10.620034376256349</v>
      </c>
      <c r="AX39" s="25">
        <f t="shared" ref="AX39:AX44" si="32">AT39</f>
        <v>15</v>
      </c>
    </row>
    <row r="40" spans="1:50">
      <c r="A40" s="9">
        <v>38</v>
      </c>
      <c r="B40" s="1">
        <v>367</v>
      </c>
      <c r="C40" s="1">
        <v>30</v>
      </c>
      <c r="D40" s="1">
        <v>6.5</v>
      </c>
      <c r="E40" s="1">
        <v>6.7</v>
      </c>
      <c r="F40" s="1">
        <v>10</v>
      </c>
      <c r="AN40" s="9" t="s">
        <v>167</v>
      </c>
      <c r="AO40" s="25">
        <f>(AO39-AO38)/$AO$2</f>
        <v>2.5600171881281746</v>
      </c>
      <c r="AQ40" s="9">
        <v>3</v>
      </c>
      <c r="AR40" s="25">
        <f t="shared" ref="AR40:AR44" si="33">AS39</f>
        <v>10.620034376256349</v>
      </c>
      <c r="AS40" s="25">
        <f t="shared" si="27"/>
        <v>13.180051564384524</v>
      </c>
      <c r="AT40" s="25">
        <f t="shared" si="28"/>
        <v>10</v>
      </c>
      <c r="AU40" s="37">
        <f t="shared" si="29"/>
        <v>13.081494260293509</v>
      </c>
      <c r="AV40" s="25">
        <f t="shared" si="30"/>
        <v>0.72588090376219649</v>
      </c>
      <c r="AW40" s="25">
        <f t="shared" si="31"/>
        <v>13.180051564384524</v>
      </c>
      <c r="AX40" s="25">
        <f t="shared" si="32"/>
        <v>10</v>
      </c>
    </row>
    <row r="41" spans="1:50">
      <c r="A41" s="9">
        <v>39</v>
      </c>
      <c r="B41" s="1">
        <v>249</v>
      </c>
      <c r="C41" s="1">
        <v>17.2</v>
      </c>
      <c r="D41" s="1">
        <v>7.1</v>
      </c>
      <c r="E41" s="1">
        <v>5.2</v>
      </c>
      <c r="F41" s="1">
        <v>8.6999999999999993</v>
      </c>
      <c r="AN41" s="9" t="s">
        <v>168</v>
      </c>
      <c r="AO41" s="25">
        <f>AVERAGE($F$3:$F$52)</f>
        <v>12.412000000000001</v>
      </c>
      <c r="AQ41" s="9">
        <v>4</v>
      </c>
      <c r="AR41" s="25">
        <f t="shared" si="33"/>
        <v>13.180051564384524</v>
      </c>
      <c r="AS41" s="25">
        <f t="shared" si="27"/>
        <v>15.740068752512698</v>
      </c>
      <c r="AT41" s="25">
        <f t="shared" si="28"/>
        <v>15</v>
      </c>
      <c r="AU41" s="37">
        <f t="shared" si="29"/>
        <v>11.472331930038271</v>
      </c>
      <c r="AV41" s="25">
        <f t="shared" si="30"/>
        <v>1.0847351774440854</v>
      </c>
      <c r="AW41" s="25">
        <f t="shared" si="31"/>
        <v>15.740068752512698</v>
      </c>
      <c r="AX41" s="25">
        <f t="shared" si="32"/>
        <v>15</v>
      </c>
    </row>
    <row r="42" spans="1:50">
      <c r="A42" s="9">
        <v>40</v>
      </c>
      <c r="B42" s="1">
        <v>214</v>
      </c>
      <c r="C42" s="1">
        <v>18.8</v>
      </c>
      <c r="D42" s="1">
        <v>10</v>
      </c>
      <c r="E42" s="1">
        <v>4.7</v>
      </c>
      <c r="F42" s="1">
        <v>5.5</v>
      </c>
      <c r="AN42" s="9" t="s">
        <v>169</v>
      </c>
      <c r="AO42" s="25">
        <f>STDEV($F$3:$F$52)</f>
        <v>3.797563128413493</v>
      </c>
      <c r="AQ42" s="9">
        <v>5</v>
      </c>
      <c r="AR42" s="25">
        <f t="shared" si="33"/>
        <v>15.740068752512698</v>
      </c>
      <c r="AS42" s="25">
        <f t="shared" si="27"/>
        <v>18.300085940640873</v>
      </c>
      <c r="AT42" s="25">
        <f t="shared" si="28"/>
        <v>2</v>
      </c>
      <c r="AU42" s="37">
        <f t="shared" si="29"/>
        <v>6.4951337492833163</v>
      </c>
      <c r="AV42" s="25">
        <f t="shared" si="30"/>
        <v>3.1109794199658278</v>
      </c>
      <c r="AW42" s="25">
        <f t="shared" si="31"/>
        <v>18.300085940640873</v>
      </c>
      <c r="AX42" s="25">
        <f t="shared" si="32"/>
        <v>2</v>
      </c>
    </row>
    <row r="43" spans="1:50">
      <c r="A43" s="9">
        <v>41</v>
      </c>
      <c r="B43" s="1">
        <v>451</v>
      </c>
      <c r="C43" s="1">
        <v>20.7</v>
      </c>
      <c r="D43" s="1">
        <v>7.9</v>
      </c>
      <c r="E43" s="1">
        <v>4.9000000000000004</v>
      </c>
      <c r="F43" s="1">
        <v>9.5</v>
      </c>
      <c r="AQ43" s="9">
        <v>6</v>
      </c>
      <c r="AR43" s="25">
        <f t="shared" si="33"/>
        <v>18.300085940640873</v>
      </c>
      <c r="AS43" s="25">
        <f t="shared" si="27"/>
        <v>20.860103128769047</v>
      </c>
      <c r="AT43" s="25">
        <f t="shared" si="28"/>
        <v>1</v>
      </c>
      <c r="AU43" s="37">
        <f t="shared" si="29"/>
        <v>2.3729121688063568</v>
      </c>
      <c r="AV43" s="25">
        <f t="shared" si="30"/>
        <v>0.79433526787665609</v>
      </c>
      <c r="AW43" s="25">
        <f t="shared" si="31"/>
        <v>20.860103128769047</v>
      </c>
      <c r="AX43" s="25">
        <f t="shared" si="32"/>
        <v>1</v>
      </c>
    </row>
    <row r="44" spans="1:50">
      <c r="A44" s="9">
        <v>42</v>
      </c>
      <c r="B44" s="1">
        <v>421</v>
      </c>
      <c r="C44" s="1">
        <v>24.3</v>
      </c>
      <c r="D44" s="1">
        <v>5.9</v>
      </c>
      <c r="E44" s="1">
        <v>6.4</v>
      </c>
      <c r="F44" s="1">
        <v>11.8</v>
      </c>
      <c r="AQ44" s="9">
        <v>7</v>
      </c>
      <c r="AR44" s="25">
        <f t="shared" si="33"/>
        <v>20.860103128769047</v>
      </c>
      <c r="AS44" s="25">
        <v>22.5</v>
      </c>
      <c r="AT44" s="25">
        <f>COUNTIFS($F$2:$F$52, "&gt;="&amp;AR44, $F$2:$F$52, "&lt;="&amp;AS44)</f>
        <v>3</v>
      </c>
      <c r="AU44" s="37">
        <f t="shared" si="29"/>
        <v>0.45525697885381855</v>
      </c>
      <c r="AV44" s="25">
        <f>(AT44-AU44)^2/AU44</f>
        <v>14.224311420718546</v>
      </c>
      <c r="AW44" s="25">
        <f t="shared" si="31"/>
        <v>22.5</v>
      </c>
      <c r="AX44" s="25">
        <f t="shared" si="32"/>
        <v>3</v>
      </c>
    </row>
    <row r="45" spans="1:50">
      <c r="A45" s="9">
        <v>43</v>
      </c>
      <c r="B45" s="1">
        <v>236</v>
      </c>
      <c r="C45" s="1">
        <v>23.6</v>
      </c>
      <c r="D45" s="1">
        <v>5.7</v>
      </c>
      <c r="E45" s="1">
        <v>7.1</v>
      </c>
      <c r="F45" s="1">
        <v>6.7</v>
      </c>
      <c r="AU45" s="10">
        <f>SUM(AU38:AU44)</f>
        <v>48.084034998981018</v>
      </c>
      <c r="AV45" s="7">
        <f>SUM(AV38:AV44)</f>
        <v>23.006615659573225</v>
      </c>
    </row>
    <row r="46" spans="1:50">
      <c r="A46" s="9">
        <v>44</v>
      </c>
      <c r="B46" s="1">
        <v>418</v>
      </c>
      <c r="C46" s="1">
        <v>15.4</v>
      </c>
      <c r="D46" s="1">
        <v>6.8</v>
      </c>
      <c r="E46" s="1">
        <v>5</v>
      </c>
      <c r="F46" s="1">
        <v>10.6</v>
      </c>
    </row>
    <row r="47" spans="1:50">
      <c r="A47" s="9">
        <v>45</v>
      </c>
      <c r="B47" s="1">
        <v>272</v>
      </c>
      <c r="C47" s="1">
        <v>6.4</v>
      </c>
      <c r="D47" s="1">
        <v>6.1</v>
      </c>
      <c r="E47" s="1">
        <v>5.2</v>
      </c>
      <c r="F47" s="1">
        <v>9.1999999999999993</v>
      </c>
    </row>
    <row r="48" spans="1:50">
      <c r="A48" s="9">
        <v>46</v>
      </c>
      <c r="B48" s="1">
        <v>321</v>
      </c>
      <c r="C48" s="1">
        <v>17.7</v>
      </c>
      <c r="D48" s="1">
        <v>8</v>
      </c>
      <c r="E48" s="1">
        <v>6.3</v>
      </c>
      <c r="F48" s="1">
        <v>5.7</v>
      </c>
      <c r="AO48" s="1" t="s">
        <v>186</v>
      </c>
    </row>
    <row r="49" spans="1:51">
      <c r="A49" s="9">
        <v>47</v>
      </c>
      <c r="B49" s="1">
        <v>295</v>
      </c>
      <c r="C49" s="1">
        <v>15.5</v>
      </c>
      <c r="D49" s="1">
        <v>6.8</v>
      </c>
      <c r="E49" s="1">
        <v>6</v>
      </c>
      <c r="F49" s="1">
        <v>8.1</v>
      </c>
      <c r="AO49" s="1">
        <f>_xlfn.CHISQ.INV(0.95,4)</f>
        <v>9.4877290367811575</v>
      </c>
    </row>
    <row r="50" spans="1:51">
      <c r="A50" s="9">
        <v>48</v>
      </c>
      <c r="B50" s="1">
        <v>424</v>
      </c>
      <c r="C50" s="1">
        <v>22.9</v>
      </c>
      <c r="D50" s="1">
        <v>8.5</v>
      </c>
      <c r="E50" s="1">
        <v>6.6</v>
      </c>
      <c r="F50" s="1">
        <v>10.5</v>
      </c>
      <c r="AY50" s="24"/>
    </row>
    <row r="51" spans="1:51">
      <c r="A51" s="9">
        <v>49</v>
      </c>
      <c r="B51" s="1">
        <v>449</v>
      </c>
      <c r="C51" s="1">
        <v>27.7</v>
      </c>
      <c r="D51" s="1">
        <v>5.7</v>
      </c>
      <c r="E51" s="1">
        <v>7.7</v>
      </c>
      <c r="F51" s="1">
        <v>9.4</v>
      </c>
    </row>
    <row r="52" spans="1:51">
      <c r="A52" s="9">
        <v>50</v>
      </c>
      <c r="B52" s="1">
        <v>394</v>
      </c>
      <c r="C52" s="1">
        <v>31.4</v>
      </c>
      <c r="D52" s="1">
        <v>6.2</v>
      </c>
      <c r="E52" s="1">
        <v>5.3</v>
      </c>
      <c r="F52" s="1">
        <v>10.4</v>
      </c>
    </row>
    <row r="53" spans="1:51" ht="20.25">
      <c r="AN53" s="33" t="s">
        <v>185</v>
      </c>
    </row>
    <row r="54" spans="1:51" ht="18.75">
      <c r="B54" s="38" t="s">
        <v>138</v>
      </c>
      <c r="C54" s="38"/>
      <c r="D54" s="38"/>
      <c r="E54" s="38"/>
      <c r="F54" s="38"/>
      <c r="AN54" s="34"/>
    </row>
    <row r="55" spans="1:51" ht="23.25">
      <c r="B55" s="9" t="s">
        <v>60</v>
      </c>
      <c r="C55" s="9" t="s">
        <v>178</v>
      </c>
      <c r="D55" s="9" t="s">
        <v>179</v>
      </c>
      <c r="E55" s="9" t="s">
        <v>180</v>
      </c>
      <c r="F55" s="9" t="s">
        <v>181</v>
      </c>
      <c r="AN55" s="35" t="s">
        <v>183</v>
      </c>
      <c r="AP55" s="1" t="s">
        <v>137</v>
      </c>
    </row>
    <row r="56" spans="1:51" ht="18">
      <c r="B56" s="9">
        <f>AVERAGE(B3:B52)</f>
        <v>818.48</v>
      </c>
      <c r="C56" s="9">
        <f>AVERAGE(C3:C52)</f>
        <v>33.828000000000003</v>
      </c>
      <c r="D56" s="9">
        <f>AVERAGE(D3:D52)</f>
        <v>10.628000000000002</v>
      </c>
      <c r="E56" s="9">
        <f>AVERAGE(E3:E52)</f>
        <v>6.99</v>
      </c>
      <c r="F56" s="9">
        <f>AVERAGE(F3:F52)</f>
        <v>12.412000000000001</v>
      </c>
      <c r="AN56" s="36" t="s">
        <v>184</v>
      </c>
    </row>
    <row r="57" spans="1:51" ht="18.75">
      <c r="B57" s="38" t="s">
        <v>139</v>
      </c>
      <c r="C57" s="39"/>
      <c r="D57" s="39"/>
      <c r="E57" s="39"/>
      <c r="F57" s="39"/>
    </row>
    <row r="58" spans="1:51">
      <c r="B58" s="9">
        <f>MEDIAN(B3:B52)</f>
        <v>822.5</v>
      </c>
      <c r="C58" s="9">
        <f>MEDIAN(C3:C52)</f>
        <v>33.5</v>
      </c>
      <c r="D58" s="9">
        <f>MEDIAN(D3:D52)</f>
        <v>10.45</v>
      </c>
      <c r="E58" s="9">
        <f>MEDIAN(E3:E52)</f>
        <v>6.7</v>
      </c>
      <c r="F58" s="9">
        <f>MEDIAN(F3:F52)</f>
        <v>12.850000000000001</v>
      </c>
    </row>
    <row r="59" spans="1:51" ht="18.75">
      <c r="B59" s="38" t="s">
        <v>140</v>
      </c>
      <c r="C59" s="38"/>
      <c r="D59" s="38"/>
      <c r="E59" s="38"/>
      <c r="F59" s="38"/>
    </row>
    <row r="60" spans="1:51">
      <c r="B60" s="13">
        <f>VAR(B3:B52)</f>
        <v>245874.45877551023</v>
      </c>
      <c r="C60" s="13">
        <f>VAR(C3:C52)</f>
        <v>223.82124081632637</v>
      </c>
      <c r="D60" s="13">
        <f>VAR(D3:D52)</f>
        <v>11.141240816326473</v>
      </c>
      <c r="E60" s="13">
        <f>VAR(E3:E52)</f>
        <v>2.5898979591836775</v>
      </c>
      <c r="F60" s="13">
        <f>VAR(F3:F52)</f>
        <v>14.421485714285675</v>
      </c>
    </row>
    <row r="61" spans="1:51" ht="18.75">
      <c r="B61" s="38" t="s">
        <v>141</v>
      </c>
      <c r="C61" s="39"/>
      <c r="D61" s="39"/>
      <c r="E61" s="39"/>
      <c r="F61" s="39"/>
    </row>
    <row r="62" spans="1:51">
      <c r="B62" s="14">
        <f>STDEV(B3:B52)</f>
        <v>495.85729678558755</v>
      </c>
      <c r="C62" s="14">
        <f>STDEV(C3:C52)</f>
        <v>14.960656429994186</v>
      </c>
      <c r="D62" s="14">
        <f>STDEV(D3:D52)</f>
        <v>3.3378497294405678</v>
      </c>
      <c r="E62" s="14">
        <f>STDEV(E3:E52)</f>
        <v>1.6093159910917674</v>
      </c>
      <c r="F62" s="14">
        <f>STDEV(F3:F52)</f>
        <v>3.797563128413493</v>
      </c>
    </row>
    <row r="63" spans="1:51" ht="18.75">
      <c r="B63" s="38" t="s">
        <v>142</v>
      </c>
      <c r="C63" s="39"/>
      <c r="D63" s="39"/>
      <c r="E63" s="39"/>
      <c r="F63" s="39"/>
    </row>
    <row r="64" spans="1:51">
      <c r="B64" s="15">
        <f>SKEW(B3:B52)</f>
        <v>0.9184506600743102</v>
      </c>
      <c r="C64" s="15">
        <f>SKEW(C3:C52)</f>
        <v>0.52378630113194102</v>
      </c>
      <c r="D64" s="15">
        <f>SKEW(D3:D52)</f>
        <v>0.61349640090734792</v>
      </c>
      <c r="E64" s="15">
        <f>SKEW(E3:E52)</f>
        <v>0.52531702419366277</v>
      </c>
      <c r="F64" s="15">
        <f>SKEW(F3:F52)</f>
        <v>0.77010165391512686</v>
      </c>
    </row>
    <row r="65" spans="1:17" ht="18.75">
      <c r="B65" s="38" t="s">
        <v>143</v>
      </c>
      <c r="C65" s="39"/>
      <c r="D65" s="39"/>
      <c r="E65" s="39"/>
      <c r="F65" s="39"/>
    </row>
    <row r="66" spans="1:17">
      <c r="B66" s="15">
        <f>KURT(B3:B52)</f>
        <v>0.86039788342596246</v>
      </c>
      <c r="C66" s="15">
        <f>KURT(C3:C52)</f>
        <v>0.12429806875034899</v>
      </c>
      <c r="D66" s="15">
        <f>KURT(D3:D52)</f>
        <v>0.37195283339934671</v>
      </c>
      <c r="E66" s="15">
        <f>KURT(E3:E52)</f>
        <v>0.28952278722862612</v>
      </c>
      <c r="F66" s="15">
        <f>KURT(F3:F52)</f>
        <v>0.97673361349945331</v>
      </c>
    </row>
    <row r="67" spans="1:17" ht="18.75">
      <c r="B67" s="38" t="s">
        <v>144</v>
      </c>
      <c r="C67" s="41"/>
      <c r="D67" s="41"/>
      <c r="E67" s="41"/>
      <c r="F67" s="41"/>
    </row>
    <row r="68" spans="1:17">
      <c r="B68" s="15">
        <f>B62/B56*100%</f>
        <v>0.6058270168917842</v>
      </c>
      <c r="C68" s="15">
        <f t="shared" ref="C68:F68" si="34">C62/C56*100%</f>
        <v>0.44225660488335655</v>
      </c>
      <c r="D68" s="15">
        <f t="shared" si="34"/>
        <v>0.31406188647351968</v>
      </c>
      <c r="E68" s="15">
        <f t="shared" si="34"/>
        <v>0.23023118613616128</v>
      </c>
      <c r="F68" s="15">
        <f t="shared" si="34"/>
        <v>0.30595900164465784</v>
      </c>
    </row>
    <row r="69" spans="1:17" ht="15.75" thickBot="1"/>
    <row r="70" spans="1:17" ht="18.75">
      <c r="A70" s="1" t="s">
        <v>182</v>
      </c>
      <c r="B70" s="38" t="s">
        <v>145</v>
      </c>
      <c r="C70" s="38"/>
      <c r="D70" s="38"/>
      <c r="E70" s="38"/>
      <c r="F70" s="38"/>
      <c r="G70" s="9"/>
      <c r="L70" s="22"/>
      <c r="M70" s="22"/>
      <c r="N70" s="22"/>
      <c r="O70" s="22"/>
      <c r="P70" s="22"/>
      <c r="Q70" s="22"/>
    </row>
    <row r="71" spans="1:17">
      <c r="B71" s="16"/>
      <c r="C71" s="9" t="s">
        <v>60</v>
      </c>
      <c r="D71" s="9" t="s">
        <v>61</v>
      </c>
      <c r="E71" s="9" t="s">
        <v>62</v>
      </c>
      <c r="F71" s="9" t="s">
        <v>63</v>
      </c>
      <c r="G71" s="9" t="s">
        <v>64</v>
      </c>
      <c r="L71"/>
      <c r="M71"/>
      <c r="N71"/>
      <c r="O71"/>
      <c r="P71"/>
      <c r="Q71"/>
    </row>
    <row r="72" spans="1:17">
      <c r="B72" s="9" t="s">
        <v>60</v>
      </c>
      <c r="C72" s="5">
        <f>CORREL(B3:B52,B3:B52)</f>
        <v>0.99999999999999989</v>
      </c>
      <c r="D72" s="4">
        <f>CORREL(B3:B52,C3:C52)</f>
        <v>0.88271595586114304</v>
      </c>
      <c r="E72" s="4">
        <f>CORREL(B3:B52,D3:D52)</f>
        <v>0.91140501467170809</v>
      </c>
      <c r="F72" s="4">
        <f>CORREL(B3:B52,E3:E52)</f>
        <v>0.76014966900265202</v>
      </c>
      <c r="G72" s="4">
        <f>CORREL(B3:B52,F3:F52)</f>
        <v>0.93976218799559319</v>
      </c>
      <c r="I72" s="8"/>
      <c r="J72" s="8"/>
      <c r="K72" s="8"/>
      <c r="L72"/>
      <c r="M72"/>
      <c r="N72"/>
      <c r="O72"/>
      <c r="P72"/>
      <c r="Q72"/>
    </row>
    <row r="73" spans="1:17">
      <c r="B73" s="9" t="s">
        <v>61</v>
      </c>
      <c r="C73" s="4">
        <f>CORREL(B3:B52,C3:C52)</f>
        <v>0.88271595586114304</v>
      </c>
      <c r="D73" s="6">
        <f>CORREL(C3:C52,C3:C52)</f>
        <v>1</v>
      </c>
      <c r="E73" s="4">
        <f>CORREL(C3:C52,D3:D52)</f>
        <v>0.81448904287396717</v>
      </c>
      <c r="F73" s="4">
        <f>CORREL(C3:C52,E3:E52)</f>
        <v>0.71096226061107504</v>
      </c>
      <c r="G73" s="4">
        <f>CORREL(C3:C52,F3:F52)</f>
        <v>0.82867678060459571</v>
      </c>
      <c r="I73"/>
      <c r="J73"/>
      <c r="K73"/>
      <c r="L73"/>
      <c r="M73"/>
      <c r="N73"/>
      <c r="O73"/>
      <c r="P73"/>
      <c r="Q73"/>
    </row>
    <row r="74" spans="1:17">
      <c r="B74" s="9" t="s">
        <v>62</v>
      </c>
      <c r="C74" s="4">
        <f>CORREL(B3:B52,D3:D52)</f>
        <v>0.91140501467170809</v>
      </c>
      <c r="D74" s="4">
        <f>CORREL(C3:C52, D3:D52)</f>
        <v>0.81448904287396717</v>
      </c>
      <c r="E74" s="5">
        <f>CORREL(D3:D52,D3:D52)</f>
        <v>0.99999999999999989</v>
      </c>
      <c r="F74" s="4">
        <f>CORREL(D3:D52,E3:E52)</f>
        <v>0.5827793906550135</v>
      </c>
      <c r="G74" s="4">
        <f>CORREL(D3:D52,F3:F52)</f>
        <v>0.84359291379281198</v>
      </c>
      <c r="I74"/>
      <c r="J74"/>
      <c r="K74"/>
      <c r="L74"/>
      <c r="M74"/>
      <c r="N74"/>
      <c r="O74"/>
      <c r="P74"/>
      <c r="Q74"/>
    </row>
    <row r="75" spans="1:17" ht="15.75" thickBot="1">
      <c r="B75" s="9" t="s">
        <v>63</v>
      </c>
      <c r="C75" s="4">
        <f>CORREL(B3:B52,E3:E52)</f>
        <v>0.76014966900265202</v>
      </c>
      <c r="D75" s="4">
        <f>CORREL(C3:C52,E3:E52)</f>
        <v>0.71096226061107504</v>
      </c>
      <c r="E75" s="4">
        <f>CORREL(D3:D52,E3:E52)</f>
        <v>0.5827793906550135</v>
      </c>
      <c r="F75" s="5">
        <f>CORREL(E3:E52,E3:E52)</f>
        <v>1</v>
      </c>
      <c r="G75" s="4">
        <f>CORREL(E3:E52,F3:F52)</f>
        <v>0.67896987893319671</v>
      </c>
      <c r="I75"/>
      <c r="J75"/>
      <c r="K75"/>
      <c r="L75" s="21"/>
      <c r="M75" s="21"/>
      <c r="N75" s="21"/>
      <c r="O75" s="21"/>
      <c r="P75" s="21"/>
      <c r="Q75" s="21"/>
    </row>
    <row r="76" spans="1:17">
      <c r="B76" s="9" t="s">
        <v>64</v>
      </c>
      <c r="C76" s="4">
        <f>CORREL(B3:B52,F3:F52)</f>
        <v>0.93976218799559319</v>
      </c>
      <c r="D76" s="4">
        <f>CORREL(C3:C52,F3:F52)</f>
        <v>0.82867678060459571</v>
      </c>
      <c r="E76" s="4">
        <f>CORREL(D3:D52,F3:F52)</f>
        <v>0.84359291379281198</v>
      </c>
      <c r="F76" s="4">
        <f>CORREL(E3:E52,F3:F52)</f>
        <v>0.67896987893319671</v>
      </c>
      <c r="G76" s="5">
        <f>CORREL(F3:F52,F3:F52)</f>
        <v>1</v>
      </c>
      <c r="I76"/>
      <c r="J76"/>
      <c r="K76"/>
      <c r="L76"/>
      <c r="M76"/>
      <c r="N76"/>
    </row>
    <row r="77" spans="1:17">
      <c r="I77"/>
      <c r="J77"/>
      <c r="K77"/>
      <c r="L77"/>
      <c r="M77"/>
      <c r="N77"/>
    </row>
    <row r="78" spans="1:17" ht="22.5" customHeight="1">
      <c r="B78" s="38" t="s">
        <v>146</v>
      </c>
      <c r="C78" s="41"/>
      <c r="D78" s="41"/>
      <c r="E78" s="41"/>
      <c r="F78" s="41"/>
      <c r="G78" s="9"/>
    </row>
    <row r="79" spans="1:17">
      <c r="B79" s="9"/>
      <c r="C79" s="9" t="s">
        <v>60</v>
      </c>
      <c r="D79" s="9" t="s">
        <v>61</v>
      </c>
      <c r="E79" s="9" t="s">
        <v>62</v>
      </c>
      <c r="F79" s="9" t="s">
        <v>63</v>
      </c>
      <c r="G79" s="9" t="s">
        <v>64</v>
      </c>
    </row>
    <row r="80" spans="1:17">
      <c r="B80" s="16" t="s">
        <v>60</v>
      </c>
      <c r="C80" s="5">
        <v>1</v>
      </c>
      <c r="D80" s="4">
        <f>SQRT(48)*D72/SQRT(1-D72*D72)</f>
        <v>13.014567122737313</v>
      </c>
      <c r="E80" s="4">
        <f t="shared" ref="E80:G80" si="35">SQRT(48)*E72/SQRT(1-E72*E72)</f>
        <v>15.344442060776801</v>
      </c>
      <c r="F80" s="4">
        <f t="shared" si="35"/>
        <v>8.1054059187948031</v>
      </c>
      <c r="G80" s="4">
        <f t="shared" si="35"/>
        <v>19.0471387975143</v>
      </c>
    </row>
    <row r="81" spans="1:22">
      <c r="B81" s="16" t="s">
        <v>61</v>
      </c>
      <c r="C81" s="4">
        <f>SQRT(48)*C73/SQRT(1-C73*C73)</f>
        <v>13.014567122737313</v>
      </c>
      <c r="D81" s="5">
        <v>1</v>
      </c>
      <c r="E81" s="4">
        <f t="shared" ref="E81:G81" si="36">SQRT(48)*E73/SQRT(1-E73*E73)</f>
        <v>9.7262159260823076</v>
      </c>
      <c r="F81" s="4">
        <f t="shared" si="36"/>
        <v>7.0043796193610044</v>
      </c>
      <c r="G81" s="4">
        <f t="shared" si="36"/>
        <v>10.257208892070377</v>
      </c>
    </row>
    <row r="82" spans="1:22">
      <c r="B82" s="16" t="s">
        <v>62</v>
      </c>
      <c r="C82" s="4">
        <f t="shared" ref="C82:G82" si="37">SQRT(48)*C74/SQRT(1-C74*C74)</f>
        <v>15.344442060776801</v>
      </c>
      <c r="D82" s="4">
        <f t="shared" si="37"/>
        <v>9.7262159260823076</v>
      </c>
      <c r="E82" s="5">
        <v>1</v>
      </c>
      <c r="F82" s="4">
        <f t="shared" si="37"/>
        <v>4.9685736732921848</v>
      </c>
      <c r="G82" s="4">
        <f t="shared" si="37"/>
        <v>10.884107283070703</v>
      </c>
    </row>
    <row r="83" spans="1:22">
      <c r="B83" s="16" t="s">
        <v>63</v>
      </c>
      <c r="C83" s="4">
        <f t="shared" ref="C83:G83" si="38">SQRT(48)*C75/SQRT(1-C75*C75)</f>
        <v>8.1054059187948031</v>
      </c>
      <c r="D83" s="4">
        <f t="shared" si="38"/>
        <v>7.0043796193610044</v>
      </c>
      <c r="E83" s="4">
        <f t="shared" si="38"/>
        <v>4.9685736732921848</v>
      </c>
      <c r="F83" s="5">
        <v>1</v>
      </c>
      <c r="G83" s="4">
        <f t="shared" si="38"/>
        <v>6.4073254391401493</v>
      </c>
    </row>
    <row r="84" spans="1:22">
      <c r="B84" s="16" t="s">
        <v>64</v>
      </c>
      <c r="C84" s="4">
        <f t="shared" ref="C84:F84" si="39">SQRT(48)*C76/SQRT(1-C76*C76)</f>
        <v>19.0471387975143</v>
      </c>
      <c r="D84" s="4">
        <f t="shared" si="39"/>
        <v>10.257208892070377</v>
      </c>
      <c r="E84" s="4">
        <f t="shared" si="39"/>
        <v>10.884107283070703</v>
      </c>
      <c r="F84" s="4">
        <f t="shared" si="39"/>
        <v>6.4073254391401493</v>
      </c>
      <c r="G84" s="5">
        <v>1</v>
      </c>
    </row>
    <row r="86" spans="1:22">
      <c r="B86" t="s">
        <v>147</v>
      </c>
      <c r="C86" s="1">
        <f>_xlfn.T.INV(0.95,48)</f>
        <v>1.6772241961243386</v>
      </c>
    </row>
    <row r="87" spans="1:22">
      <c r="B87" s="1" t="s">
        <v>182</v>
      </c>
      <c r="C87" s="1">
        <f>_xlfn.T.INV(0.95,47)</f>
        <v>1.6779267216418594</v>
      </c>
      <c r="K87" s="40" t="s">
        <v>150</v>
      </c>
      <c r="L87" s="40"/>
      <c r="M87" s="40"/>
    </row>
    <row r="88" spans="1:22" ht="45">
      <c r="A88" s="31" t="s">
        <v>177</v>
      </c>
      <c r="B88" s="31">
        <v>1</v>
      </c>
      <c r="C88" s="31">
        <v>2</v>
      </c>
      <c r="D88" s="31">
        <v>3</v>
      </c>
      <c r="E88" s="31">
        <v>12</v>
      </c>
      <c r="F88" s="31">
        <v>23</v>
      </c>
      <c r="G88" s="31">
        <v>13</v>
      </c>
      <c r="H88" s="32" t="s">
        <v>148</v>
      </c>
      <c r="I88" s="32" t="s">
        <v>150</v>
      </c>
      <c r="J88" s="32" t="s">
        <v>176</v>
      </c>
      <c r="O88" s="18"/>
      <c r="P88" s="18"/>
      <c r="Q88" s="18"/>
      <c r="R88" s="18"/>
      <c r="S88" s="18"/>
      <c r="T88" s="18"/>
      <c r="U88" s="18"/>
      <c r="V88" s="19"/>
    </row>
    <row r="89" spans="1:22">
      <c r="A89" s="27">
        <v>1</v>
      </c>
      <c r="B89" s="28" t="s">
        <v>149</v>
      </c>
      <c r="C89" s="28" t="s">
        <v>61</v>
      </c>
      <c r="D89" s="28" t="s">
        <v>62</v>
      </c>
      <c r="E89" s="29">
        <f>D72</f>
        <v>0.88271595586114304</v>
      </c>
      <c r="F89" s="29">
        <f>E73</f>
        <v>0.81448904287396717</v>
      </c>
      <c r="G89" s="29">
        <f>E72</f>
        <v>0.91140501467170809</v>
      </c>
      <c r="H89" s="30">
        <f>(E89-G89*F89)/SQRT((1-G89*G89)*(1-F89*F89))</f>
        <v>0.58800719008876146</v>
      </c>
      <c r="I89" s="30">
        <f>SQRT(47)*H89/SQRT(1-H89*H89)</f>
        <v>4.9837989579319908</v>
      </c>
      <c r="J89" s="27">
        <f>SQRT((E89^2+G89^2-2*E89*F89*G89)/(1-F89^2))</f>
        <v>0.94297886111555762</v>
      </c>
      <c r="P89"/>
      <c r="Q89"/>
      <c r="R89"/>
      <c r="S89" s="20"/>
      <c r="T89" s="20"/>
      <c r="U89" s="20"/>
    </row>
    <row r="90" spans="1:22">
      <c r="A90" s="27">
        <v>2</v>
      </c>
      <c r="B90" s="28" t="s">
        <v>149</v>
      </c>
      <c r="C90" s="28" t="s">
        <v>61</v>
      </c>
      <c r="D90" s="28" t="s">
        <v>63</v>
      </c>
      <c r="E90" s="29">
        <f>D72</f>
        <v>0.88271595586114304</v>
      </c>
      <c r="F90" s="29">
        <f>F73</f>
        <v>0.71096226061107504</v>
      </c>
      <c r="G90" s="29">
        <f>F72</f>
        <v>0.76014966900265202</v>
      </c>
      <c r="H90" s="30">
        <f t="shared" ref="H90:H113" si="40">(E90-G90*F90)/SQRT((1-G90*G90)*(1-F90*F90))</f>
        <v>0.74909487301051925</v>
      </c>
      <c r="I90" s="30">
        <f>SQRT(47)*H90/SQRT(1-H90*H90)</f>
        <v>7.7521881074508956</v>
      </c>
      <c r="J90" s="27">
        <f t="shared" ref="J90:J113" si="41">SQRT((E90^2+G90^2-2*E90*F90*G90)/(1-F90^2))</f>
        <v>0.90262212802158281</v>
      </c>
      <c r="K90" s="23"/>
      <c r="L90"/>
      <c r="M90" s="40" t="s">
        <v>176</v>
      </c>
      <c r="N90" s="40"/>
      <c r="O90" s="40"/>
      <c r="P90" s="40"/>
      <c r="Q90" s="40"/>
      <c r="R90"/>
      <c r="S90" s="20"/>
      <c r="T90" s="20"/>
      <c r="U90" s="20"/>
    </row>
    <row r="91" spans="1:22">
      <c r="A91" s="27">
        <v>3</v>
      </c>
      <c r="B91" s="28" t="s">
        <v>149</v>
      </c>
      <c r="C91" s="28" t="s">
        <v>61</v>
      </c>
      <c r="D91" s="28" t="s">
        <v>64</v>
      </c>
      <c r="E91" s="29">
        <f>D72</f>
        <v>0.88271595586114304</v>
      </c>
      <c r="F91" s="29">
        <f>G73</f>
        <v>0.82867678060459571</v>
      </c>
      <c r="G91" s="29">
        <f>G72</f>
        <v>0.93976218799559319</v>
      </c>
      <c r="H91" s="30">
        <f>(E91-G91*F91)/SQRT((1-G91*G91)*(1-F91*F91))</f>
        <v>0.54333500956462866</v>
      </c>
      <c r="I91" s="30">
        <f t="shared" ref="I91:I113" si="42">SQRT(47)*H91/SQRT(1-H91*H91)</f>
        <v>4.4369818821210254</v>
      </c>
      <c r="J91" s="27">
        <f t="shared" si="41"/>
        <v>0.95793931143073596</v>
      </c>
      <c r="P91"/>
      <c r="Q91"/>
      <c r="R91"/>
      <c r="S91" s="20"/>
      <c r="T91" s="20"/>
      <c r="U91" s="20"/>
    </row>
    <row r="92" spans="1:22">
      <c r="A92" s="27">
        <v>4</v>
      </c>
      <c r="B92" s="28" t="s">
        <v>149</v>
      </c>
      <c r="C92" s="28" t="s">
        <v>62</v>
      </c>
      <c r="D92" s="28" t="s">
        <v>61</v>
      </c>
      <c r="E92" s="29">
        <f>E72</f>
        <v>0.91140501467170809</v>
      </c>
      <c r="F92" s="29">
        <f>D74</f>
        <v>0.81448904287396717</v>
      </c>
      <c r="G92" s="29">
        <f>C73</f>
        <v>0.88271595586114304</v>
      </c>
      <c r="H92" s="30">
        <f t="shared" si="40"/>
        <v>0.70587411437603409</v>
      </c>
      <c r="I92" s="30">
        <f t="shared" si="42"/>
        <v>6.8318145886687205</v>
      </c>
      <c r="J92" s="27">
        <f t="shared" si="41"/>
        <v>0.94297886111555729</v>
      </c>
      <c r="P92"/>
      <c r="Q92"/>
      <c r="R92"/>
      <c r="S92" s="20"/>
      <c r="T92" s="20"/>
      <c r="U92" s="20"/>
    </row>
    <row r="93" spans="1:22">
      <c r="A93" s="27">
        <v>5</v>
      </c>
      <c r="B93" s="28" t="s">
        <v>149</v>
      </c>
      <c r="C93" s="28" t="s">
        <v>62</v>
      </c>
      <c r="D93" s="28" t="s">
        <v>63</v>
      </c>
      <c r="E93" s="29">
        <f>E72</f>
        <v>0.91140501467170809</v>
      </c>
      <c r="F93" s="29">
        <f>F74</f>
        <v>0.5827793906550135</v>
      </c>
      <c r="G93" s="29">
        <f>F72</f>
        <v>0.76014966900265202</v>
      </c>
      <c r="H93" s="30">
        <f t="shared" si="40"/>
        <v>0.88712315080125936</v>
      </c>
      <c r="I93" s="30">
        <f t="shared" si="42"/>
        <v>13.177416762151225</v>
      </c>
      <c r="J93" s="27">
        <f t="shared" si="41"/>
        <v>0.95397692738722384</v>
      </c>
      <c r="P93"/>
      <c r="Q93"/>
      <c r="R93"/>
      <c r="S93" s="20"/>
      <c r="T93" s="20"/>
      <c r="U93" s="20"/>
    </row>
    <row r="94" spans="1:22">
      <c r="A94" s="27">
        <v>6</v>
      </c>
      <c r="B94" s="28" t="s">
        <v>149</v>
      </c>
      <c r="C94" s="28" t="s">
        <v>62</v>
      </c>
      <c r="D94" s="28" t="s">
        <v>64</v>
      </c>
      <c r="E94" s="29">
        <f>E72</f>
        <v>0.91140501467170809</v>
      </c>
      <c r="F94" s="29">
        <f>G74</f>
        <v>0.84359291379281198</v>
      </c>
      <c r="G94" s="29">
        <f>G72</f>
        <v>0.93976218799559319</v>
      </c>
      <c r="H94" s="30">
        <f t="shared" si="40"/>
        <v>0.64627701666479043</v>
      </c>
      <c r="I94" s="30">
        <f t="shared" si="42"/>
        <v>5.8061004248419277</v>
      </c>
      <c r="J94" s="27">
        <f t="shared" si="41"/>
        <v>0.96537916609403973</v>
      </c>
      <c r="P94"/>
      <c r="Q94"/>
      <c r="R94"/>
      <c r="S94" s="20"/>
      <c r="T94" s="20"/>
      <c r="U94" s="20"/>
    </row>
    <row r="95" spans="1:22">
      <c r="A95" s="27">
        <v>7</v>
      </c>
      <c r="B95" s="28" t="s">
        <v>149</v>
      </c>
      <c r="C95" s="28" t="s">
        <v>63</v>
      </c>
      <c r="D95" s="28" t="s">
        <v>61</v>
      </c>
      <c r="E95" s="29">
        <f>F72</f>
        <v>0.76014966900265202</v>
      </c>
      <c r="F95" s="29">
        <f>D75</f>
        <v>0.71096226061107504</v>
      </c>
      <c r="G95" s="29">
        <f>D72</f>
        <v>0.88271595586114304</v>
      </c>
      <c r="H95" s="30">
        <f>(E95-G95*F95)/SQRT((1-G95*G95)*(1-F95*F95))</f>
        <v>0.4011827440102495</v>
      </c>
      <c r="I95" s="30">
        <f t="shared" si="42"/>
        <v>3.0025941213887664</v>
      </c>
      <c r="J95" s="27">
        <f t="shared" si="41"/>
        <v>0.90262212802158293</v>
      </c>
      <c r="P95"/>
      <c r="Q95"/>
      <c r="R95"/>
      <c r="S95" s="20"/>
      <c r="T95" s="20"/>
      <c r="U95" s="20"/>
    </row>
    <row r="96" spans="1:22">
      <c r="A96" s="27">
        <v>8</v>
      </c>
      <c r="B96" s="28" t="s">
        <v>149</v>
      </c>
      <c r="C96" s="28" t="s">
        <v>63</v>
      </c>
      <c r="D96" s="28" t="s">
        <v>62</v>
      </c>
      <c r="E96" s="29">
        <f>F72</f>
        <v>0.76014966900265202</v>
      </c>
      <c r="F96" s="29">
        <f>E75</f>
        <v>0.5827793906550135</v>
      </c>
      <c r="G96" s="29">
        <f>C74</f>
        <v>0.91140501467170809</v>
      </c>
      <c r="H96" s="30">
        <f t="shared" si="40"/>
        <v>0.68480123489849443</v>
      </c>
      <c r="I96" s="30">
        <f t="shared" si="42"/>
        <v>6.4423879542204192</v>
      </c>
      <c r="J96" s="27">
        <f t="shared" si="41"/>
        <v>0.95397692738722395</v>
      </c>
      <c r="P96"/>
      <c r="Q96"/>
      <c r="R96"/>
      <c r="S96" s="20"/>
      <c r="T96" s="20"/>
      <c r="U96" s="20"/>
    </row>
    <row r="97" spans="1:21">
      <c r="A97" s="27">
        <v>9</v>
      </c>
      <c r="B97" s="28" t="s">
        <v>149</v>
      </c>
      <c r="C97" s="28" t="s">
        <v>63</v>
      </c>
      <c r="D97" s="28" t="s">
        <v>64</v>
      </c>
      <c r="E97" s="29">
        <f>F72</f>
        <v>0.76014966900265202</v>
      </c>
      <c r="F97" s="29">
        <f>G75</f>
        <v>0.67896987893319671</v>
      </c>
      <c r="G97" s="29">
        <f>C76</f>
        <v>0.93976218799559319</v>
      </c>
      <c r="H97" s="30">
        <f t="shared" si="40"/>
        <v>0.48645131441989703</v>
      </c>
      <c r="I97" s="30">
        <f t="shared" si="42"/>
        <v>3.8169999521699038</v>
      </c>
      <c r="J97" s="27">
        <f t="shared" si="41"/>
        <v>0.95436002277123955</v>
      </c>
      <c r="P97"/>
      <c r="Q97"/>
      <c r="R97"/>
      <c r="S97" s="20"/>
      <c r="T97" s="20"/>
      <c r="U97" s="20"/>
    </row>
    <row r="98" spans="1:21">
      <c r="A98" s="27">
        <v>10</v>
      </c>
      <c r="B98" s="28" t="s">
        <v>149</v>
      </c>
      <c r="C98" s="28" t="s">
        <v>64</v>
      </c>
      <c r="D98" s="28" t="s">
        <v>61</v>
      </c>
      <c r="E98" s="29">
        <f>G72</f>
        <v>0.93976218799559319</v>
      </c>
      <c r="F98" s="29">
        <f>D76</f>
        <v>0.82867678060459571</v>
      </c>
      <c r="G98" s="29">
        <f>C73</f>
        <v>0.88271595586114304</v>
      </c>
      <c r="H98" s="30">
        <f t="shared" si="40"/>
        <v>0.79186420589593076</v>
      </c>
      <c r="I98" s="30">
        <f t="shared" si="42"/>
        <v>8.8894257548865898</v>
      </c>
      <c r="J98" s="27">
        <f t="shared" si="41"/>
        <v>0.95793931143073596</v>
      </c>
      <c r="P98"/>
      <c r="Q98"/>
      <c r="R98"/>
      <c r="S98" s="20"/>
      <c r="T98" s="20"/>
      <c r="U98" s="20"/>
    </row>
    <row r="99" spans="1:21">
      <c r="A99" s="27">
        <v>11</v>
      </c>
      <c r="B99" s="28" t="s">
        <v>149</v>
      </c>
      <c r="C99" s="28" t="s">
        <v>64</v>
      </c>
      <c r="D99" s="28" t="s">
        <v>62</v>
      </c>
      <c r="E99" s="29">
        <f>G72</f>
        <v>0.93976218799559319</v>
      </c>
      <c r="F99" s="29">
        <f>E76</f>
        <v>0.84359291379281198</v>
      </c>
      <c r="G99" s="29">
        <f>C74</f>
        <v>0.91140501467170809</v>
      </c>
      <c r="H99" s="30">
        <f>(E99-G99*F99)/SQRT((1-G99*G99)*(1-F99*F99))</f>
        <v>0.77342667728898584</v>
      </c>
      <c r="I99" s="30">
        <f t="shared" si="42"/>
        <v>8.3648290799694465</v>
      </c>
      <c r="J99" s="27">
        <f t="shared" si="41"/>
        <v>0.96537916609403973</v>
      </c>
      <c r="P99"/>
      <c r="Q99"/>
      <c r="R99"/>
      <c r="S99" s="20"/>
      <c r="T99" s="20"/>
      <c r="U99" s="20"/>
    </row>
    <row r="100" spans="1:21">
      <c r="A100" s="27">
        <v>12</v>
      </c>
      <c r="B100" s="28" t="s">
        <v>149</v>
      </c>
      <c r="C100" s="28" t="s">
        <v>64</v>
      </c>
      <c r="D100" s="28" t="s">
        <v>63</v>
      </c>
      <c r="E100" s="29">
        <f>G72</f>
        <v>0.93976218799559319</v>
      </c>
      <c r="F100" s="29">
        <f>F76</f>
        <v>0.67896987893319671</v>
      </c>
      <c r="G100" s="29">
        <f>C75</f>
        <v>0.76014966900265202</v>
      </c>
      <c r="H100" s="30">
        <f>(E100-G100*F100)/SQRT((1-G100*G100)*(1-F100*F100))</f>
        <v>0.88809863320447813</v>
      </c>
      <c r="I100" s="30">
        <f t="shared" si="42"/>
        <v>13.245858036124091</v>
      </c>
      <c r="J100" s="27">
        <f t="shared" si="41"/>
        <v>0.95436002277123966</v>
      </c>
      <c r="P100"/>
      <c r="Q100"/>
      <c r="R100"/>
      <c r="S100" s="20"/>
      <c r="T100" s="20"/>
      <c r="U100" s="20"/>
    </row>
    <row r="101" spans="1:21">
      <c r="A101" s="27"/>
      <c r="B101" s="28"/>
      <c r="C101" s="28"/>
      <c r="D101" s="28"/>
      <c r="E101" s="28"/>
      <c r="F101" s="28"/>
      <c r="G101" s="28"/>
      <c r="H101" s="30"/>
      <c r="I101" s="30"/>
      <c r="J101" s="27"/>
      <c r="P101"/>
      <c r="Q101"/>
      <c r="R101"/>
      <c r="S101"/>
      <c r="T101"/>
      <c r="U101"/>
    </row>
    <row r="102" spans="1:21">
      <c r="A102" s="27">
        <v>13</v>
      </c>
      <c r="B102" s="28" t="s">
        <v>61</v>
      </c>
      <c r="C102" s="28" t="s">
        <v>62</v>
      </c>
      <c r="D102" s="28" t="s">
        <v>149</v>
      </c>
      <c r="E102" s="29">
        <f>D74</f>
        <v>0.81448904287396717</v>
      </c>
      <c r="F102" s="29">
        <f>E72</f>
        <v>0.91140501467170809</v>
      </c>
      <c r="G102" s="29">
        <f>D72</f>
        <v>0.88271595586114304</v>
      </c>
      <c r="H102" s="30">
        <f t="shared" ref="H102:H107" si="43">(E102-G102*F102)/SQRT((1-G102*G102)*(1-F102*F102))</f>
        <v>5.1596468603127055E-2</v>
      </c>
      <c r="I102" s="30">
        <f t="shared" si="42"/>
        <v>0.35419935552884285</v>
      </c>
      <c r="J102" s="27">
        <f t="shared" si="41"/>
        <v>0.88304886892035916</v>
      </c>
      <c r="P102"/>
      <c r="Q102"/>
      <c r="R102"/>
      <c r="S102" s="20"/>
      <c r="T102" s="20"/>
      <c r="U102" s="20"/>
    </row>
    <row r="103" spans="1:21">
      <c r="A103" s="27">
        <v>14</v>
      </c>
      <c r="B103" s="28" t="s">
        <v>61</v>
      </c>
      <c r="C103" s="28" t="s">
        <v>63</v>
      </c>
      <c r="D103" s="28" t="s">
        <v>149</v>
      </c>
      <c r="E103" s="29">
        <f>D75</f>
        <v>0.71096226061107504</v>
      </c>
      <c r="F103" s="29">
        <f>F72</f>
        <v>0.76014966900265202</v>
      </c>
      <c r="G103" s="29">
        <f>D72</f>
        <v>0.88271595586114304</v>
      </c>
      <c r="H103" s="30">
        <f>(E103-G103*F103)/SQRT((1-G103*G103)*(1-F103*F103))</f>
        <v>0.13089831667820065</v>
      </c>
      <c r="I103" s="30">
        <f t="shared" si="42"/>
        <v>0.90518201472605087</v>
      </c>
      <c r="J103" s="27">
        <f t="shared" si="41"/>
        <v>0.88485645296965543</v>
      </c>
      <c r="P103"/>
      <c r="Q103"/>
      <c r="R103"/>
      <c r="S103" s="20"/>
      <c r="T103" s="20"/>
      <c r="U103" s="20"/>
    </row>
    <row r="104" spans="1:21">
      <c r="A104" s="27">
        <v>15</v>
      </c>
      <c r="B104" s="28" t="s">
        <v>61</v>
      </c>
      <c r="C104" s="28" t="s">
        <v>64</v>
      </c>
      <c r="D104" s="28" t="s">
        <v>149</v>
      </c>
      <c r="E104" s="29">
        <f>D76</f>
        <v>0.82867678060459571</v>
      </c>
      <c r="F104" s="29">
        <f>G72</f>
        <v>0.93976218799559319</v>
      </c>
      <c r="G104" s="29">
        <f>D72</f>
        <v>0.88271595586114304</v>
      </c>
      <c r="H104" s="30">
        <f t="shared" si="43"/>
        <v>-5.3931975811044378E-3</v>
      </c>
      <c r="I104" s="30">
        <f t="shared" si="42"/>
        <v>-3.697443754165116E-2</v>
      </c>
      <c r="J104" s="27">
        <f t="shared" si="41"/>
        <v>0.88271959387652121</v>
      </c>
      <c r="P104"/>
      <c r="Q104"/>
      <c r="R104"/>
      <c r="S104" s="20"/>
      <c r="T104" s="20"/>
      <c r="U104" s="20"/>
    </row>
    <row r="105" spans="1:21">
      <c r="A105" s="27">
        <v>16</v>
      </c>
      <c r="B105" s="28" t="s">
        <v>62</v>
      </c>
      <c r="C105" s="28" t="s">
        <v>61</v>
      </c>
      <c r="D105" s="28" t="s">
        <v>149</v>
      </c>
      <c r="E105" s="29">
        <f>E73</f>
        <v>0.81448904287396717</v>
      </c>
      <c r="F105" s="29">
        <f>D72</f>
        <v>0.88271595586114304</v>
      </c>
      <c r="G105" s="29">
        <f>E72</f>
        <v>0.91140501467170809</v>
      </c>
      <c r="H105" s="30">
        <f t="shared" si="43"/>
        <v>5.1596468603127055E-2</v>
      </c>
      <c r="I105" s="30">
        <f t="shared" si="42"/>
        <v>0.35419935552884285</v>
      </c>
      <c r="J105" s="27">
        <f t="shared" si="41"/>
        <v>0.91165230179102941</v>
      </c>
      <c r="P105"/>
      <c r="Q105"/>
      <c r="R105"/>
      <c r="S105" s="20"/>
      <c r="T105" s="20"/>
      <c r="U105" s="20"/>
    </row>
    <row r="106" spans="1:21">
      <c r="A106" s="27">
        <v>17</v>
      </c>
      <c r="B106" s="28" t="s">
        <v>62</v>
      </c>
      <c r="C106" s="28" t="s">
        <v>63</v>
      </c>
      <c r="D106" s="28" t="s">
        <v>149</v>
      </c>
      <c r="E106" s="29">
        <f>E75</f>
        <v>0.5827793906550135</v>
      </c>
      <c r="F106" s="29">
        <f>F72</f>
        <v>0.76014966900265202</v>
      </c>
      <c r="G106" s="29">
        <f>E72</f>
        <v>0.91140501467170809</v>
      </c>
      <c r="H106" s="30">
        <f t="shared" si="43"/>
        <v>-0.41149523777362484</v>
      </c>
      <c r="I106" s="30">
        <f t="shared" si="42"/>
        <v>-3.0952735965075027</v>
      </c>
      <c r="J106" s="27">
        <f t="shared" si="41"/>
        <v>0.92700232607936828</v>
      </c>
      <c r="P106"/>
      <c r="Q106"/>
      <c r="R106"/>
      <c r="S106" s="20"/>
      <c r="T106" s="20"/>
      <c r="U106" s="20"/>
    </row>
    <row r="107" spans="1:21">
      <c r="A107" s="27">
        <v>18</v>
      </c>
      <c r="B107" s="28" t="s">
        <v>62</v>
      </c>
      <c r="C107" s="28" t="s">
        <v>64</v>
      </c>
      <c r="D107" s="28" t="s">
        <v>149</v>
      </c>
      <c r="E107" s="29">
        <f>E76</f>
        <v>0.84359291379281198</v>
      </c>
      <c r="F107" s="29">
        <f>G72</f>
        <v>0.93976218799559319</v>
      </c>
      <c r="G107" s="29">
        <f>E72</f>
        <v>0.91140501467170809</v>
      </c>
      <c r="H107" s="30">
        <f t="shared" si="43"/>
        <v>-9.1785066469375079E-2</v>
      </c>
      <c r="I107" s="30">
        <f t="shared" si="42"/>
        <v>-0.63191412273428049</v>
      </c>
      <c r="J107" s="27">
        <f t="shared" si="41"/>
        <v>0.91218732336505337</v>
      </c>
      <c r="P107"/>
      <c r="Q107"/>
      <c r="R107"/>
      <c r="S107" s="20"/>
      <c r="T107" s="20"/>
      <c r="U107" s="20"/>
    </row>
    <row r="108" spans="1:21">
      <c r="A108" s="27">
        <v>19</v>
      </c>
      <c r="B108" s="28" t="s">
        <v>63</v>
      </c>
      <c r="C108" s="28" t="s">
        <v>61</v>
      </c>
      <c r="D108" s="28" t="s">
        <v>149</v>
      </c>
      <c r="E108" s="29">
        <f>F73</f>
        <v>0.71096226061107504</v>
      </c>
      <c r="F108" s="29">
        <f>D72</f>
        <v>0.88271595586114304</v>
      </c>
      <c r="G108" s="29">
        <f>F72</f>
        <v>0.76014966900265202</v>
      </c>
      <c r="H108" s="30">
        <f t="shared" si="40"/>
        <v>0.13089831667820065</v>
      </c>
      <c r="I108" s="30">
        <f t="shared" si="42"/>
        <v>0.90518201472605087</v>
      </c>
      <c r="J108" s="27">
        <f t="shared" si="41"/>
        <v>0.76489291961789663</v>
      </c>
      <c r="P108"/>
      <c r="Q108"/>
      <c r="R108"/>
      <c r="S108" s="20"/>
      <c r="T108" s="20"/>
      <c r="U108" s="20"/>
    </row>
    <row r="109" spans="1:21">
      <c r="A109" s="27">
        <v>20</v>
      </c>
      <c r="B109" s="28" t="s">
        <v>63</v>
      </c>
      <c r="C109" s="28" t="s">
        <v>62</v>
      </c>
      <c r="D109" s="28" t="s">
        <v>149</v>
      </c>
      <c r="E109" s="29">
        <f>F74</f>
        <v>0.5827793906550135</v>
      </c>
      <c r="F109" s="29">
        <f>E72</f>
        <v>0.91140501467170809</v>
      </c>
      <c r="G109" s="29">
        <f>F72</f>
        <v>0.76014966900265202</v>
      </c>
      <c r="H109" s="30">
        <f t="shared" si="40"/>
        <v>-0.41149523777362484</v>
      </c>
      <c r="I109" s="30">
        <f t="shared" si="42"/>
        <v>-3.0952735965075027</v>
      </c>
      <c r="J109" s="27">
        <f t="shared" si="41"/>
        <v>0.80579977706387806</v>
      </c>
      <c r="P109"/>
      <c r="Q109"/>
      <c r="R109"/>
      <c r="S109" s="20"/>
      <c r="T109" s="20"/>
      <c r="U109" s="20"/>
    </row>
    <row r="110" spans="1:21">
      <c r="A110" s="27">
        <v>21</v>
      </c>
      <c r="B110" s="28" t="s">
        <v>63</v>
      </c>
      <c r="C110" s="28" t="s">
        <v>64</v>
      </c>
      <c r="D110" s="28" t="s">
        <v>149</v>
      </c>
      <c r="E110" s="29">
        <f>G75</f>
        <v>0.67896987893319671</v>
      </c>
      <c r="F110" s="29">
        <f>G72</f>
        <v>0.93976218799559319</v>
      </c>
      <c r="G110" s="29">
        <f>F72</f>
        <v>0.76014966900265202</v>
      </c>
      <c r="H110" s="30">
        <f t="shared" si="40"/>
        <v>-0.15934088319263878</v>
      </c>
      <c r="I110" s="30">
        <f t="shared" si="42"/>
        <v>-1.1065234186114898</v>
      </c>
      <c r="J110" s="27">
        <f t="shared" si="41"/>
        <v>0.76716769658581774</v>
      </c>
      <c r="P110"/>
      <c r="Q110"/>
      <c r="R110"/>
      <c r="S110" s="20"/>
      <c r="T110" s="20"/>
      <c r="U110" s="20"/>
    </row>
    <row r="111" spans="1:21">
      <c r="A111" s="27">
        <v>22</v>
      </c>
      <c r="B111" s="28" t="s">
        <v>64</v>
      </c>
      <c r="C111" s="28" t="s">
        <v>61</v>
      </c>
      <c r="D111" s="28" t="s">
        <v>149</v>
      </c>
      <c r="E111" s="29">
        <f>G73</f>
        <v>0.82867678060459571</v>
      </c>
      <c r="F111" s="29">
        <f>D72</f>
        <v>0.88271595586114304</v>
      </c>
      <c r="G111" s="29">
        <f>G$72</f>
        <v>0.93976218799559319</v>
      </c>
      <c r="H111" s="30">
        <f t="shared" si="40"/>
        <v>-5.3931975811044378E-3</v>
      </c>
      <c r="I111" s="30">
        <f t="shared" si="42"/>
        <v>-3.697443754165116E-2</v>
      </c>
      <c r="J111" s="27">
        <f t="shared" si="41"/>
        <v>0.9397639962601082</v>
      </c>
      <c r="P111"/>
      <c r="Q111"/>
      <c r="R111"/>
      <c r="S111" s="20"/>
      <c r="T111" s="20"/>
      <c r="U111" s="20"/>
    </row>
    <row r="112" spans="1:21">
      <c r="A112" s="27">
        <v>23</v>
      </c>
      <c r="B112" s="28" t="s">
        <v>64</v>
      </c>
      <c r="C112" s="28" t="s">
        <v>62</v>
      </c>
      <c r="D112" s="28" t="s">
        <v>149</v>
      </c>
      <c r="E112" s="29">
        <f>G74</f>
        <v>0.84359291379281198</v>
      </c>
      <c r="F112" s="29">
        <f>E72</f>
        <v>0.91140501467170809</v>
      </c>
      <c r="G112" s="29">
        <f t="shared" ref="G112:G113" si="44">G$72</f>
        <v>0.93976218799559319</v>
      </c>
      <c r="H112" s="30">
        <f t="shared" si="40"/>
        <v>-9.1785066469375079E-2</v>
      </c>
      <c r="I112" s="30">
        <f t="shared" si="42"/>
        <v>-0.63191412273428049</v>
      </c>
      <c r="J112" s="27">
        <f t="shared" si="41"/>
        <v>0.94028577975357563</v>
      </c>
      <c r="P112"/>
      <c r="Q112"/>
      <c r="R112"/>
      <c r="S112" s="20"/>
      <c r="T112" s="20"/>
      <c r="U112" s="20"/>
    </row>
    <row r="113" spans="1:21">
      <c r="A113" s="27">
        <v>24</v>
      </c>
      <c r="B113" s="28" t="s">
        <v>64</v>
      </c>
      <c r="C113" s="28" t="s">
        <v>63</v>
      </c>
      <c r="D113" s="28" t="s">
        <v>149</v>
      </c>
      <c r="E113" s="29">
        <f>G75</f>
        <v>0.67896987893319671</v>
      </c>
      <c r="F113" s="29">
        <f>F72</f>
        <v>0.76014966900265202</v>
      </c>
      <c r="G113" s="29">
        <f t="shared" si="44"/>
        <v>0.93976218799559319</v>
      </c>
      <c r="H113" s="30">
        <f t="shared" si="40"/>
        <v>-0.15934088319263878</v>
      </c>
      <c r="I113" s="30">
        <f t="shared" si="42"/>
        <v>-1.1065234186114898</v>
      </c>
      <c r="J113" s="27">
        <f t="shared" si="41"/>
        <v>0.94133929039842612</v>
      </c>
      <c r="P113"/>
      <c r="Q113"/>
      <c r="R113"/>
      <c r="S113" s="20"/>
      <c r="T113" s="20"/>
      <c r="U113" s="20"/>
    </row>
    <row r="116" spans="1:21">
      <c r="B116" s="17" t="s">
        <v>177</v>
      </c>
      <c r="C116" s="17" t="s">
        <v>151</v>
      </c>
      <c r="D116" s="17" t="s">
        <v>152</v>
      </c>
      <c r="E116" s="17" t="s">
        <v>153</v>
      </c>
      <c r="F116" s="17" t="s">
        <v>154</v>
      </c>
      <c r="G116" s="17" t="s">
        <v>155</v>
      </c>
      <c r="H116" s="17" t="s">
        <v>156</v>
      </c>
    </row>
    <row r="117" spans="1:21">
      <c r="B117" s="9">
        <v>1</v>
      </c>
      <c r="C117" s="4">
        <f>1/2*LOG10((1+H89)/(1-H89))</f>
        <v>0.29298141383357995</v>
      </c>
      <c r="D117" s="4">
        <f>C117+H89/98</f>
        <v>0.2989814872018326</v>
      </c>
      <c r="E117" s="4">
        <f>C117-_xlfn.NORM.S.INV(1-0.025)*SQRT(1/47)</f>
        <v>7.0912838924654942E-3</v>
      </c>
      <c r="F117" s="4">
        <f t="shared" ref="F117:F128" si="45">C117+_xlfn.NORM.S.INV(1-0.025)*SQRT(1/47)</f>
        <v>0.57887154377469441</v>
      </c>
      <c r="G117" s="4">
        <f>(10^(E117*2)-1)/(10^(E117*2)+1)</f>
        <v>1.632683362540557E-2</v>
      </c>
      <c r="H117" s="4">
        <f>(10^(F117*2)-1)/(10^(F117*2)+1)</f>
        <v>0.8699565653207556</v>
      </c>
    </row>
    <row r="118" spans="1:21">
      <c r="B118" s="9">
        <v>2</v>
      </c>
      <c r="C118" s="4">
        <f>1/2*LOG10((1+H90)/(1-H90))</f>
        <v>0.4216519155021482</v>
      </c>
      <c r="D118" s="4">
        <f>C118+H90/98</f>
        <v>0.42929574073694943</v>
      </c>
      <c r="E118" s="4">
        <f>C118-_xlfn.NORM.S.INV(1-0.025)*SQRT(1/47)</f>
        <v>0.13576178556103374</v>
      </c>
      <c r="F118" s="4">
        <f t="shared" si="45"/>
        <v>0.7075420454432626</v>
      </c>
      <c r="G118" s="4">
        <f t="shared" ref="G118:H141" si="46">(10^(E118*2)-1)/(10^(E118*2)+1)</f>
        <v>0.3028033459938978</v>
      </c>
      <c r="H118" s="4">
        <f t="shared" si="46"/>
        <v>0.92594411272163879</v>
      </c>
    </row>
    <row r="119" spans="1:21">
      <c r="B119" s="9">
        <v>3</v>
      </c>
      <c r="C119" s="4">
        <f t="shared" ref="C119:C140" si="47">1/2*LOG10((1+H91)/(1-H91))</f>
        <v>0.2644312448343194</v>
      </c>
      <c r="D119" s="4">
        <f t="shared" ref="D119:D141" si="48">C119+H91/98</f>
        <v>0.26997547962579521</v>
      </c>
      <c r="E119" s="4">
        <f t="shared" ref="E119:E128" si="49">C119-_xlfn.NORM.S.INV(1-0.025)*SQRT(1/47)</f>
        <v>-2.1458885106795056E-2</v>
      </c>
      <c r="F119" s="4">
        <f t="shared" si="45"/>
        <v>0.55032137477543386</v>
      </c>
      <c r="G119" s="4">
        <f t="shared" si="46"/>
        <v>-4.9370736967358296E-2</v>
      </c>
      <c r="H119" s="4">
        <f t="shared" si="46"/>
        <v>0.85302654887657514</v>
      </c>
    </row>
    <row r="120" spans="1:21">
      <c r="B120" s="9">
        <v>4</v>
      </c>
      <c r="C120" s="4">
        <f t="shared" si="47"/>
        <v>0.38170686561297323</v>
      </c>
      <c r="D120" s="4">
        <f t="shared" si="48"/>
        <v>0.38890966269844296</v>
      </c>
      <c r="E120" s="4">
        <f t="shared" si="49"/>
        <v>9.5816735671858777E-2</v>
      </c>
      <c r="F120" s="4">
        <f t="shared" si="45"/>
        <v>0.66759699555408769</v>
      </c>
      <c r="G120" s="4">
        <f t="shared" si="46"/>
        <v>0.21711481202328459</v>
      </c>
      <c r="H120" s="4">
        <f t="shared" si="46"/>
        <v>0.91164847626425927</v>
      </c>
    </row>
    <row r="121" spans="1:21">
      <c r="B121" s="9">
        <v>5</v>
      </c>
      <c r="C121" s="4">
        <f t="shared" si="47"/>
        <v>0.6115976821526371</v>
      </c>
      <c r="D121" s="4">
        <f t="shared" si="48"/>
        <v>0.62064995920162958</v>
      </c>
      <c r="E121" s="4">
        <f t="shared" si="49"/>
        <v>0.32570755221152264</v>
      </c>
      <c r="F121" s="4">
        <f t="shared" si="45"/>
        <v>0.8974878120937515</v>
      </c>
      <c r="G121" s="4">
        <f t="shared" si="46"/>
        <v>0.63513066930008177</v>
      </c>
      <c r="H121" s="4">
        <f>(10^(F121*2)-1)/(10^(F121*2)+1)</f>
        <v>0.9684393160283753</v>
      </c>
    </row>
    <row r="122" spans="1:21">
      <c r="B122" s="9">
        <v>6</v>
      </c>
      <c r="C122" s="4">
        <f t="shared" si="47"/>
        <v>0.3339198179455064</v>
      </c>
      <c r="D122" s="4">
        <f t="shared" si="48"/>
        <v>0.34051448138086143</v>
      </c>
      <c r="E122" s="4">
        <f t="shared" si="49"/>
        <v>4.8029688004391946E-2</v>
      </c>
      <c r="F122" s="4">
        <f t="shared" si="45"/>
        <v>0.6198099478866208</v>
      </c>
      <c r="G122" s="4">
        <f t="shared" si="46"/>
        <v>0.11014376464081997</v>
      </c>
      <c r="H122" s="4">
        <f t="shared" si="46"/>
        <v>0.89108417994526046</v>
      </c>
    </row>
    <row r="123" spans="1:21">
      <c r="B123" s="9">
        <v>7</v>
      </c>
      <c r="C123" s="4">
        <f t="shared" si="47"/>
        <v>0.18460023669365644</v>
      </c>
      <c r="D123" s="4">
        <f t="shared" si="48"/>
        <v>0.18869393816314878</v>
      </c>
      <c r="E123" s="4">
        <f t="shared" si="49"/>
        <v>-0.10128989324745802</v>
      </c>
      <c r="F123" s="4">
        <f t="shared" si="45"/>
        <v>0.4704903666347709</v>
      </c>
      <c r="G123" s="4">
        <f t="shared" si="46"/>
        <v>-0.22908976056410962</v>
      </c>
      <c r="H123" s="4">
        <f t="shared" si="46"/>
        <v>0.79443592341735592</v>
      </c>
    </row>
    <row r="124" spans="1:21">
      <c r="B124" s="9">
        <v>8</v>
      </c>
      <c r="C124" s="4">
        <f t="shared" si="47"/>
        <v>0.36398208241968844</v>
      </c>
      <c r="D124" s="4">
        <f t="shared" si="48"/>
        <v>0.37096985012273431</v>
      </c>
      <c r="E124" s="4">
        <f t="shared" si="49"/>
        <v>7.8091952478573978E-2</v>
      </c>
      <c r="F124" s="4">
        <f t="shared" si="45"/>
        <v>0.64987221236080295</v>
      </c>
      <c r="G124" s="4">
        <f t="shared" si="46"/>
        <v>0.17790014646960231</v>
      </c>
      <c r="H124" s="4">
        <f t="shared" si="46"/>
        <v>0.90449305182926343</v>
      </c>
    </row>
    <row r="125" spans="1:21">
      <c r="B125" s="9">
        <v>9</v>
      </c>
      <c r="C125" s="4">
        <f t="shared" si="47"/>
        <v>0.23078453369327273</v>
      </c>
      <c r="D125" s="4">
        <f t="shared" si="48"/>
        <v>0.23574832261592474</v>
      </c>
      <c r="E125" s="4">
        <f t="shared" si="49"/>
        <v>-5.5105596247841726E-2</v>
      </c>
      <c r="F125" s="4">
        <f t="shared" si="45"/>
        <v>0.51667466363438719</v>
      </c>
      <c r="G125" s="4">
        <f t="shared" si="46"/>
        <v>-0.12620873493144619</v>
      </c>
      <c r="H125" s="4">
        <f t="shared" si="46"/>
        <v>0.83048188729353833</v>
      </c>
    </row>
    <row r="126" spans="1:21">
      <c r="B126" s="9">
        <v>10</v>
      </c>
      <c r="C126" s="4">
        <f t="shared" si="47"/>
        <v>0.46747915990185568</v>
      </c>
      <c r="D126" s="4">
        <f t="shared" si="48"/>
        <v>0.47555940690079374</v>
      </c>
      <c r="E126" s="4">
        <f t="shared" si="49"/>
        <v>0.18158902996074122</v>
      </c>
      <c r="F126" s="4">
        <f t="shared" si="45"/>
        <v>0.75336928984297014</v>
      </c>
      <c r="G126" s="4">
        <f t="shared" si="46"/>
        <v>0.39534899020449232</v>
      </c>
      <c r="H126" s="4">
        <f t="shared" si="46"/>
        <v>0.93960854284923201</v>
      </c>
    </row>
    <row r="127" spans="1:21">
      <c r="B127" s="9">
        <v>11</v>
      </c>
      <c r="C127" s="4">
        <f t="shared" si="47"/>
        <v>0.44680223176039935</v>
      </c>
      <c r="D127" s="4">
        <f t="shared" si="48"/>
        <v>0.45469434071232778</v>
      </c>
      <c r="E127" s="4">
        <f t="shared" si="49"/>
        <v>0.16091210181928489</v>
      </c>
      <c r="F127" s="4">
        <f t="shared" si="45"/>
        <v>0.73269236170151375</v>
      </c>
      <c r="G127" s="4">
        <f t="shared" si="46"/>
        <v>0.35444105242679647</v>
      </c>
      <c r="H127" s="4">
        <f t="shared" si="46"/>
        <v>0.93377511043709105</v>
      </c>
    </row>
    <row r="128" spans="1:21">
      <c r="B128" s="9">
        <v>12</v>
      </c>
      <c r="C128" s="4">
        <f t="shared" si="47"/>
        <v>0.61359464334703984</v>
      </c>
      <c r="D128" s="4">
        <f t="shared" si="48"/>
        <v>0.6226568742981059</v>
      </c>
      <c r="E128" s="4">
        <f t="shared" si="49"/>
        <v>0.32770451340592538</v>
      </c>
      <c r="F128" s="4">
        <f t="shared" si="45"/>
        <v>0.89948477328815435</v>
      </c>
      <c r="G128" s="4">
        <f t="shared" si="46"/>
        <v>0.63786597332205774</v>
      </c>
      <c r="H128" s="4">
        <f t="shared" si="46"/>
        <v>0.96872371044233851</v>
      </c>
    </row>
    <row r="129" spans="2:8">
      <c r="B129" s="9"/>
      <c r="C129" s="4"/>
      <c r="D129" s="4"/>
      <c r="E129" s="4"/>
      <c r="F129" s="4"/>
      <c r="G129" s="4"/>
      <c r="H129" s="4"/>
    </row>
    <row r="130" spans="2:8">
      <c r="B130" s="9">
        <v>13</v>
      </c>
      <c r="C130" s="4">
        <f t="shared" si="47"/>
        <v>2.2427978303813139E-2</v>
      </c>
      <c r="D130" s="4">
        <f t="shared" si="48"/>
        <v>2.2954472881396067E-2</v>
      </c>
      <c r="E130" s="4">
        <f t="shared" ref="E130:E141" si="50">C130-_xlfn.NORM.S.INV(1-0.025)*SQRT(1/47)</f>
        <v>-0.2634621516373013</v>
      </c>
      <c r="F130" s="4">
        <f t="shared" ref="F130:F141" si="51">C130+_xlfn.NORM.S.INV(1-0.025)*SQRT(1/47)</f>
        <v>0.30831810824492761</v>
      </c>
      <c r="G130" s="4">
        <f t="shared" si="46"/>
        <v>-0.54176042750141018</v>
      </c>
      <c r="H130" s="4">
        <f t="shared" si="46"/>
        <v>0.61063210793060552</v>
      </c>
    </row>
    <row r="131" spans="2:8">
      <c r="B131" s="9">
        <v>14</v>
      </c>
      <c r="C131" s="4">
        <f t="shared" si="47"/>
        <v>5.7176483270847372E-2</v>
      </c>
      <c r="D131" s="4">
        <f t="shared" si="48"/>
        <v>5.8512180379808605E-2</v>
      </c>
      <c r="E131" s="4">
        <f t="shared" si="50"/>
        <v>-0.22871364667026708</v>
      </c>
      <c r="F131" s="4">
        <f t="shared" si="51"/>
        <v>0.34306661321196186</v>
      </c>
      <c r="G131" s="4">
        <f t="shared" si="46"/>
        <v>-0.48280285379696647</v>
      </c>
      <c r="H131" s="4">
        <f t="shared" si="46"/>
        <v>0.65837508412665602</v>
      </c>
    </row>
    <row r="132" spans="2:8">
      <c r="B132" s="9">
        <v>15</v>
      </c>
      <c r="C132" s="4">
        <f t="shared" si="47"/>
        <v>-2.3422586588951544E-3</v>
      </c>
      <c r="D132" s="4">
        <f t="shared" si="48"/>
        <v>-2.3972912872737709E-3</v>
      </c>
      <c r="E132" s="4">
        <f t="shared" si="50"/>
        <v>-0.2882323886000096</v>
      </c>
      <c r="F132" s="4">
        <f t="shared" si="51"/>
        <v>0.28354787128221931</v>
      </c>
      <c r="G132" s="4">
        <f>(10^(E132*2)-1)/(10^(E132*2)+1)</f>
        <v>-0.58080696086628114</v>
      </c>
      <c r="H132" s="4">
        <f>(10^(F132*2)-1)/(10^(F132*2)+1)</f>
        <v>0.57361436184862946</v>
      </c>
    </row>
    <row r="133" spans="2:8">
      <c r="B133" s="9">
        <v>16</v>
      </c>
      <c r="C133" s="4">
        <f t="shared" si="47"/>
        <v>2.2427978303813139E-2</v>
      </c>
      <c r="D133" s="4">
        <f t="shared" si="48"/>
        <v>2.2954472881396067E-2</v>
      </c>
      <c r="E133" s="4">
        <f t="shared" si="50"/>
        <v>-0.2634621516373013</v>
      </c>
      <c r="F133" s="4">
        <f t="shared" si="51"/>
        <v>0.30831810824492761</v>
      </c>
      <c r="G133" s="4">
        <f t="shared" si="46"/>
        <v>-0.54176042750141018</v>
      </c>
      <c r="H133" s="4">
        <f>(10^(F133*2)-1)/(10^(F133*2)+1)</f>
        <v>0.61063210793060552</v>
      </c>
    </row>
    <row r="134" spans="2:8">
      <c r="B134" s="9">
        <v>17</v>
      </c>
      <c r="C134" s="4">
        <f t="shared" si="47"/>
        <v>-0.18996471784308278</v>
      </c>
      <c r="D134" s="4">
        <f t="shared" si="48"/>
        <v>-0.19416364884077283</v>
      </c>
      <c r="E134" s="4">
        <f t="shared" si="50"/>
        <v>-0.47585484778419723</v>
      </c>
      <c r="F134" s="4">
        <f t="shared" si="51"/>
        <v>9.5925412098031682E-2</v>
      </c>
      <c r="G134" s="4">
        <f t="shared" si="46"/>
        <v>-0.79894778486344831</v>
      </c>
      <c r="H134" s="4">
        <f t="shared" si="46"/>
        <v>0.21735323991430974</v>
      </c>
    </row>
    <row r="135" spans="2:8">
      <c r="B135" s="9">
        <v>18</v>
      </c>
      <c r="C135" s="4">
        <f t="shared" si="47"/>
        <v>-3.9974255541800216E-2</v>
      </c>
      <c r="D135" s="4">
        <f t="shared" si="48"/>
        <v>-4.0910837852712205E-2</v>
      </c>
      <c r="E135" s="4">
        <f t="shared" si="50"/>
        <v>-0.32586438548291469</v>
      </c>
      <c r="F135" s="4">
        <f t="shared" si="51"/>
        <v>0.24591587439931423</v>
      </c>
      <c r="G135" s="4">
        <f t="shared" si="46"/>
        <v>-0.63534606850585673</v>
      </c>
      <c r="H135" s="4">
        <f t="shared" si="46"/>
        <v>0.51259420924683552</v>
      </c>
    </row>
    <row r="136" spans="2:8">
      <c r="B136" s="9">
        <v>19</v>
      </c>
      <c r="C136" s="4">
        <f t="shared" si="47"/>
        <v>5.7176483270847372E-2</v>
      </c>
      <c r="D136" s="4">
        <f t="shared" si="48"/>
        <v>5.8512180379808605E-2</v>
      </c>
      <c r="E136" s="4">
        <f t="shared" si="50"/>
        <v>-0.22871364667026708</v>
      </c>
      <c r="F136" s="4">
        <f t="shared" si="51"/>
        <v>0.34306661321196186</v>
      </c>
      <c r="G136" s="4">
        <f t="shared" si="46"/>
        <v>-0.48280285379696647</v>
      </c>
      <c r="H136" s="4">
        <f t="shared" si="46"/>
        <v>0.65837508412665602</v>
      </c>
    </row>
    <row r="137" spans="2:8">
      <c r="B137" s="9">
        <v>20</v>
      </c>
      <c r="C137" s="4">
        <f t="shared" si="47"/>
        <v>-0.18996471784308278</v>
      </c>
      <c r="D137" s="4">
        <f t="shared" si="48"/>
        <v>-0.19416364884077283</v>
      </c>
      <c r="E137" s="4">
        <f t="shared" si="50"/>
        <v>-0.47585484778419723</v>
      </c>
      <c r="F137" s="4">
        <f t="shared" si="51"/>
        <v>9.5925412098031682E-2</v>
      </c>
      <c r="G137" s="4">
        <f t="shared" si="46"/>
        <v>-0.79894778486344831</v>
      </c>
      <c r="H137" s="4">
        <f t="shared" si="46"/>
        <v>0.21735323991430974</v>
      </c>
    </row>
    <row r="138" spans="2:8">
      <c r="B138" s="9">
        <v>21</v>
      </c>
      <c r="C138" s="4">
        <f t="shared" si="47"/>
        <v>-6.9795611990334475E-2</v>
      </c>
      <c r="D138" s="4">
        <f t="shared" si="48"/>
        <v>-7.1421539369851197E-2</v>
      </c>
      <c r="E138" s="4">
        <f t="shared" si="50"/>
        <v>-0.35568574193144892</v>
      </c>
      <c r="F138" s="4">
        <f t="shared" si="51"/>
        <v>0.21609451795078</v>
      </c>
      <c r="G138" s="4">
        <f t="shared" si="46"/>
        <v>-0.67452342112762564</v>
      </c>
      <c r="H138" s="4">
        <f t="shared" si="46"/>
        <v>0.46020868624729</v>
      </c>
    </row>
    <row r="139" spans="2:8">
      <c r="B139" s="9">
        <v>22</v>
      </c>
      <c r="C139" s="4">
        <f t="shared" si="47"/>
        <v>-2.3422586588951544E-3</v>
      </c>
      <c r="D139" s="4">
        <f t="shared" si="48"/>
        <v>-2.3972912872737709E-3</v>
      </c>
      <c r="E139" s="4">
        <f t="shared" si="50"/>
        <v>-0.2882323886000096</v>
      </c>
      <c r="F139" s="4">
        <f t="shared" si="51"/>
        <v>0.28354787128221931</v>
      </c>
      <c r="G139" s="4">
        <f t="shared" si="46"/>
        <v>-0.58080696086628114</v>
      </c>
      <c r="H139" s="4">
        <f t="shared" si="46"/>
        <v>0.57361436184862946</v>
      </c>
    </row>
    <row r="140" spans="2:8">
      <c r="B140" s="9">
        <v>23</v>
      </c>
      <c r="C140" s="4">
        <f t="shared" si="47"/>
        <v>-3.9974255541800216E-2</v>
      </c>
      <c r="D140" s="4">
        <f t="shared" si="48"/>
        <v>-4.0910837852712205E-2</v>
      </c>
      <c r="E140" s="4">
        <f t="shared" si="50"/>
        <v>-0.32586438548291469</v>
      </c>
      <c r="F140" s="4">
        <f>C140+_xlfn.NORM.S.INV(1-0.025)*SQRT(1/47)</f>
        <v>0.24591587439931423</v>
      </c>
      <c r="G140" s="4">
        <f t="shared" si="46"/>
        <v>-0.63534606850585673</v>
      </c>
      <c r="H140" s="4">
        <f t="shared" si="46"/>
        <v>0.51259420924683552</v>
      </c>
    </row>
    <row r="141" spans="2:8">
      <c r="B141" s="9">
        <v>24</v>
      </c>
      <c r="C141" s="4">
        <f>1/2*LOG10((1+H113)/(1-H113))</f>
        <v>-6.9795611990334475E-2</v>
      </c>
      <c r="D141" s="4">
        <f t="shared" si="48"/>
        <v>-7.1421539369851197E-2</v>
      </c>
      <c r="E141" s="4">
        <f t="shared" si="50"/>
        <v>-0.35568574193144892</v>
      </c>
      <c r="F141" s="4">
        <f t="shared" si="51"/>
        <v>0.21609451795078</v>
      </c>
      <c r="G141" s="4">
        <f t="shared" si="46"/>
        <v>-0.67452342112762564</v>
      </c>
      <c r="H141" s="4">
        <f t="shared" si="46"/>
        <v>0.46020868624729</v>
      </c>
    </row>
  </sheetData>
  <mergeCells count="11">
    <mergeCell ref="K87:M87"/>
    <mergeCell ref="M90:Q90"/>
    <mergeCell ref="B78:F78"/>
    <mergeCell ref="B70:F70"/>
    <mergeCell ref="B67:F67"/>
    <mergeCell ref="B65:F65"/>
    <mergeCell ref="B54:F54"/>
    <mergeCell ref="B57:F57"/>
    <mergeCell ref="B59:F59"/>
    <mergeCell ref="B61:F61"/>
    <mergeCell ref="B63:F63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W53"/>
  <sheetViews>
    <sheetView workbookViewId="0">
      <pane xSplit="1" topLeftCell="JI1" activePane="topRight" state="frozen"/>
      <selection pane="topRight" activeCell="G65" sqref="G65"/>
    </sheetView>
  </sheetViews>
  <sheetFormatPr defaultColWidth="8.85546875" defaultRowHeight="15"/>
  <cols>
    <col min="1" max="1" width="14.140625" style="1" bestFit="1" customWidth="1"/>
    <col min="2" max="2" width="9.42578125" style="1" bestFit="1" customWidth="1"/>
    <col min="3" max="4" width="8.7109375" style="1" bestFit="1" customWidth="1"/>
    <col min="5" max="5" width="6.7109375" style="1" bestFit="1" customWidth="1"/>
    <col min="6" max="6" width="5.140625" style="1" bestFit="1" customWidth="1"/>
    <col min="7" max="7" width="8.42578125" style="1" bestFit="1" customWidth="1"/>
    <col min="8" max="16384" width="8.85546875" style="1"/>
  </cols>
  <sheetData>
    <row r="1" spans="1:361" s="3" customFormat="1">
      <c r="B1" s="3" t="s">
        <v>0</v>
      </c>
      <c r="H1" s="3" t="s">
        <v>1</v>
      </c>
      <c r="N1" s="3" t="s">
        <v>2</v>
      </c>
      <c r="T1" s="3" t="s">
        <v>3</v>
      </c>
      <c r="Z1" s="3" t="s">
        <v>4</v>
      </c>
      <c r="AF1" s="3" t="s">
        <v>5</v>
      </c>
      <c r="AL1" s="3" t="s">
        <v>6</v>
      </c>
      <c r="AR1" s="3" t="s">
        <v>7</v>
      </c>
      <c r="AX1" s="3" t="s">
        <v>8</v>
      </c>
      <c r="BD1" s="3" t="s">
        <v>9</v>
      </c>
      <c r="BJ1" s="3" t="s">
        <v>10</v>
      </c>
      <c r="BP1" s="3" t="s">
        <v>11</v>
      </c>
      <c r="BV1" s="3" t="s">
        <v>12</v>
      </c>
      <c r="CB1" s="3" t="s">
        <v>13</v>
      </c>
      <c r="CH1" s="3" t="s">
        <v>14</v>
      </c>
      <c r="CN1" s="3" t="s">
        <v>15</v>
      </c>
      <c r="CT1" s="3" t="s">
        <v>16</v>
      </c>
      <c r="CZ1" s="3" t="s">
        <v>17</v>
      </c>
      <c r="DF1" s="3" t="s">
        <v>18</v>
      </c>
      <c r="DL1" s="3" t="s">
        <v>19</v>
      </c>
      <c r="DR1" s="3" t="s">
        <v>20</v>
      </c>
      <c r="DX1" s="3" t="s">
        <v>21</v>
      </c>
      <c r="ED1" s="3" t="s">
        <v>22</v>
      </c>
      <c r="EJ1" s="3" t="s">
        <v>23</v>
      </c>
      <c r="EP1" s="3" t="s">
        <v>24</v>
      </c>
      <c r="EV1" s="3" t="s">
        <v>25</v>
      </c>
      <c r="FB1" s="3" t="s">
        <v>26</v>
      </c>
      <c r="FH1" s="3" t="s">
        <v>27</v>
      </c>
      <c r="FN1" s="3" t="s">
        <v>28</v>
      </c>
      <c r="FT1" s="3" t="s">
        <v>29</v>
      </c>
      <c r="FZ1" s="3" t="s">
        <v>30</v>
      </c>
      <c r="GF1" s="3" t="s">
        <v>31</v>
      </c>
      <c r="GL1" s="3" t="s">
        <v>32</v>
      </c>
      <c r="GR1" s="3" t="s">
        <v>33</v>
      </c>
      <c r="GX1" s="3" t="s">
        <v>34</v>
      </c>
      <c r="HD1" s="3" t="s">
        <v>35</v>
      </c>
      <c r="HJ1" s="3" t="s">
        <v>36</v>
      </c>
      <c r="HP1" s="3" t="s">
        <v>37</v>
      </c>
      <c r="HV1" s="3" t="s">
        <v>38</v>
      </c>
      <c r="IB1" s="3" t="s">
        <v>39</v>
      </c>
      <c r="IH1" s="3" t="s">
        <v>40</v>
      </c>
      <c r="IN1" s="3" t="s">
        <v>41</v>
      </c>
      <c r="IT1" s="3" t="s">
        <v>42</v>
      </c>
      <c r="IZ1" s="3" t="s">
        <v>43</v>
      </c>
      <c r="JF1" s="3" t="s">
        <v>44</v>
      </c>
      <c r="JL1" s="3" t="s">
        <v>45</v>
      </c>
      <c r="JR1" s="3" t="s">
        <v>46</v>
      </c>
      <c r="JX1" s="3" t="s">
        <v>47</v>
      </c>
      <c r="KD1" s="3" t="s">
        <v>48</v>
      </c>
      <c r="KJ1" s="3" t="s">
        <v>49</v>
      </c>
      <c r="KP1" s="3" t="s">
        <v>50</v>
      </c>
      <c r="KV1" s="3" t="s">
        <v>51</v>
      </c>
      <c r="LB1" s="3" t="s">
        <v>52</v>
      </c>
      <c r="LH1" s="3" t="s">
        <v>53</v>
      </c>
      <c r="LN1" s="3" t="s">
        <v>54</v>
      </c>
      <c r="LT1" s="3" t="s">
        <v>55</v>
      </c>
      <c r="LZ1" s="3" t="s">
        <v>56</v>
      </c>
      <c r="MF1" s="3" t="s">
        <v>57</v>
      </c>
      <c r="ML1" s="3" t="s">
        <v>58</v>
      </c>
      <c r="MR1" s="3" t="s">
        <v>59</v>
      </c>
    </row>
    <row r="2" spans="1:361">
      <c r="A2" s="1" t="s">
        <v>71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73</v>
      </c>
      <c r="H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73</v>
      </c>
      <c r="N2" s="1" t="s">
        <v>66</v>
      </c>
      <c r="O2" s="1" t="s">
        <v>67</v>
      </c>
      <c r="P2" s="1" t="s">
        <v>68</v>
      </c>
      <c r="Q2" s="1" t="s">
        <v>69</v>
      </c>
      <c r="R2" s="1" t="s">
        <v>70</v>
      </c>
      <c r="S2" s="1" t="s">
        <v>73</v>
      </c>
      <c r="T2" s="1" t="s">
        <v>66</v>
      </c>
      <c r="U2" s="1" t="s">
        <v>67</v>
      </c>
      <c r="V2" s="1" t="s">
        <v>68</v>
      </c>
      <c r="W2" s="1" t="s">
        <v>69</v>
      </c>
      <c r="X2" s="1" t="s">
        <v>70</v>
      </c>
      <c r="Y2" s="1" t="s">
        <v>73</v>
      </c>
      <c r="Z2" s="1" t="s">
        <v>66</v>
      </c>
      <c r="AA2" s="1" t="s">
        <v>67</v>
      </c>
      <c r="AB2" s="1" t="s">
        <v>68</v>
      </c>
      <c r="AC2" s="1" t="s">
        <v>69</v>
      </c>
      <c r="AD2" s="1" t="s">
        <v>70</v>
      </c>
      <c r="AE2" s="1" t="s">
        <v>73</v>
      </c>
      <c r="AF2" s="1" t="s">
        <v>66</v>
      </c>
      <c r="AG2" s="1" t="s">
        <v>67</v>
      </c>
      <c r="AH2" s="1" t="s">
        <v>68</v>
      </c>
      <c r="AI2" s="1" t="s">
        <v>69</v>
      </c>
      <c r="AJ2" s="1" t="s">
        <v>70</v>
      </c>
      <c r="AK2" s="1" t="s">
        <v>73</v>
      </c>
      <c r="AL2" s="1" t="s">
        <v>66</v>
      </c>
      <c r="AM2" s="1" t="s">
        <v>67</v>
      </c>
      <c r="AN2" s="1" t="s">
        <v>68</v>
      </c>
      <c r="AO2" s="1" t="s">
        <v>69</v>
      </c>
      <c r="AP2" s="1" t="s">
        <v>70</v>
      </c>
      <c r="AQ2" s="1" t="s">
        <v>73</v>
      </c>
      <c r="AR2" s="1" t="s">
        <v>66</v>
      </c>
      <c r="AS2" s="1" t="s">
        <v>67</v>
      </c>
      <c r="AT2" s="1" t="s">
        <v>68</v>
      </c>
      <c r="AU2" s="1" t="s">
        <v>69</v>
      </c>
      <c r="AV2" s="1" t="s">
        <v>70</v>
      </c>
      <c r="AW2" s="1" t="s">
        <v>73</v>
      </c>
      <c r="AX2" s="1" t="s">
        <v>66</v>
      </c>
      <c r="AY2" s="1" t="s">
        <v>67</v>
      </c>
      <c r="AZ2" s="1" t="s">
        <v>68</v>
      </c>
      <c r="BA2" s="1" t="s">
        <v>69</v>
      </c>
      <c r="BB2" s="1" t="s">
        <v>70</v>
      </c>
      <c r="BC2" s="1" t="s">
        <v>73</v>
      </c>
      <c r="BD2" s="1" t="s">
        <v>66</v>
      </c>
      <c r="BE2" s="1" t="s">
        <v>67</v>
      </c>
      <c r="BF2" s="1" t="s">
        <v>68</v>
      </c>
      <c r="BG2" s="1" t="s">
        <v>69</v>
      </c>
      <c r="BH2" s="1" t="s">
        <v>70</v>
      </c>
      <c r="BI2" s="1" t="s">
        <v>73</v>
      </c>
      <c r="BJ2" s="1" t="s">
        <v>66</v>
      </c>
      <c r="BK2" s="1" t="s">
        <v>67</v>
      </c>
      <c r="BL2" s="1" t="s">
        <v>68</v>
      </c>
      <c r="BM2" s="1" t="s">
        <v>69</v>
      </c>
      <c r="BN2" s="1" t="s">
        <v>70</v>
      </c>
      <c r="BO2" s="1" t="s">
        <v>73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73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73</v>
      </c>
      <c r="CB2" s="1" t="s">
        <v>66</v>
      </c>
      <c r="CC2" s="1" t="s">
        <v>67</v>
      </c>
      <c r="CD2" s="1" t="s">
        <v>68</v>
      </c>
      <c r="CE2" s="1" t="s">
        <v>69</v>
      </c>
      <c r="CF2" s="1" t="s">
        <v>70</v>
      </c>
      <c r="CG2" s="1" t="s">
        <v>73</v>
      </c>
      <c r="CH2" s="1" t="s">
        <v>66</v>
      </c>
      <c r="CI2" s="1" t="s">
        <v>67</v>
      </c>
      <c r="CJ2" s="1" t="s">
        <v>68</v>
      </c>
      <c r="CK2" s="1" t="s">
        <v>69</v>
      </c>
      <c r="CL2" s="1" t="s">
        <v>70</v>
      </c>
      <c r="CM2" s="1" t="s">
        <v>73</v>
      </c>
      <c r="CN2" s="1" t="s">
        <v>66</v>
      </c>
      <c r="CO2" s="1" t="s">
        <v>67</v>
      </c>
      <c r="CP2" s="1" t="s">
        <v>68</v>
      </c>
      <c r="CQ2" s="1" t="s">
        <v>69</v>
      </c>
      <c r="CR2" s="1" t="s">
        <v>70</v>
      </c>
      <c r="CS2" s="1" t="s">
        <v>73</v>
      </c>
      <c r="CT2" s="1" t="s">
        <v>66</v>
      </c>
      <c r="CU2" s="1" t="s">
        <v>67</v>
      </c>
      <c r="CV2" s="1" t="s">
        <v>68</v>
      </c>
      <c r="CW2" s="1" t="s">
        <v>69</v>
      </c>
      <c r="CX2" s="1" t="s">
        <v>70</v>
      </c>
      <c r="CY2" s="1" t="s">
        <v>73</v>
      </c>
      <c r="CZ2" s="1" t="s">
        <v>66</v>
      </c>
      <c r="DA2" s="1" t="s">
        <v>67</v>
      </c>
      <c r="DB2" s="1" t="s">
        <v>68</v>
      </c>
      <c r="DC2" s="1" t="s">
        <v>69</v>
      </c>
      <c r="DD2" s="1" t="s">
        <v>70</v>
      </c>
      <c r="DE2" s="1" t="s">
        <v>73</v>
      </c>
      <c r="DF2" s="1" t="s">
        <v>66</v>
      </c>
      <c r="DG2" s="1" t="s">
        <v>67</v>
      </c>
      <c r="DH2" s="1" t="s">
        <v>68</v>
      </c>
      <c r="DI2" s="1" t="s">
        <v>69</v>
      </c>
      <c r="DJ2" s="1" t="s">
        <v>70</v>
      </c>
      <c r="DK2" s="1" t="s">
        <v>73</v>
      </c>
      <c r="DL2" s="1" t="s">
        <v>66</v>
      </c>
      <c r="DM2" s="1" t="s">
        <v>67</v>
      </c>
      <c r="DN2" s="1" t="s">
        <v>68</v>
      </c>
      <c r="DO2" s="1" t="s">
        <v>69</v>
      </c>
      <c r="DP2" s="1" t="s">
        <v>70</v>
      </c>
      <c r="DQ2" s="1" t="s">
        <v>73</v>
      </c>
      <c r="DR2" s="1" t="s">
        <v>66</v>
      </c>
      <c r="DS2" s="1" t="s">
        <v>67</v>
      </c>
      <c r="DT2" s="1" t="s">
        <v>68</v>
      </c>
      <c r="DU2" s="1" t="s">
        <v>69</v>
      </c>
      <c r="DV2" s="1" t="s">
        <v>70</v>
      </c>
      <c r="DW2" s="1" t="s">
        <v>73</v>
      </c>
      <c r="DX2" s="1" t="s">
        <v>66</v>
      </c>
      <c r="DY2" s="1" t="s">
        <v>67</v>
      </c>
      <c r="DZ2" s="1" t="s">
        <v>68</v>
      </c>
      <c r="EA2" s="1" t="s">
        <v>69</v>
      </c>
      <c r="EB2" s="1" t="s">
        <v>70</v>
      </c>
      <c r="EC2" s="1" t="s">
        <v>73</v>
      </c>
      <c r="ED2" s="1" t="s">
        <v>66</v>
      </c>
      <c r="EE2" s="1" t="s">
        <v>67</v>
      </c>
      <c r="EF2" s="1" t="s">
        <v>68</v>
      </c>
      <c r="EG2" s="1" t="s">
        <v>69</v>
      </c>
      <c r="EH2" s="1" t="s">
        <v>70</v>
      </c>
      <c r="EI2" s="1" t="s">
        <v>73</v>
      </c>
      <c r="EJ2" s="1" t="s">
        <v>66</v>
      </c>
      <c r="EK2" s="1" t="s">
        <v>67</v>
      </c>
      <c r="EL2" s="1" t="s">
        <v>68</v>
      </c>
      <c r="EM2" s="1" t="s">
        <v>69</v>
      </c>
      <c r="EN2" s="1" t="s">
        <v>70</v>
      </c>
      <c r="EO2" s="1" t="s">
        <v>73</v>
      </c>
      <c r="EP2" s="1" t="s">
        <v>66</v>
      </c>
      <c r="EQ2" s="1" t="s">
        <v>67</v>
      </c>
      <c r="ER2" s="1" t="s">
        <v>68</v>
      </c>
      <c r="ES2" s="1" t="s">
        <v>69</v>
      </c>
      <c r="ET2" s="1" t="s">
        <v>70</v>
      </c>
      <c r="EU2" s="1" t="s">
        <v>73</v>
      </c>
      <c r="EV2" s="1" t="s">
        <v>66</v>
      </c>
      <c r="EW2" s="1" t="s">
        <v>67</v>
      </c>
      <c r="EX2" s="1" t="s">
        <v>68</v>
      </c>
      <c r="EY2" s="1" t="s">
        <v>69</v>
      </c>
      <c r="EZ2" s="1" t="s">
        <v>70</v>
      </c>
      <c r="FA2" s="1" t="s">
        <v>73</v>
      </c>
      <c r="FB2" s="1" t="s">
        <v>66</v>
      </c>
      <c r="FC2" s="1" t="s">
        <v>67</v>
      </c>
      <c r="FD2" s="1" t="s">
        <v>68</v>
      </c>
      <c r="FE2" s="1" t="s">
        <v>69</v>
      </c>
      <c r="FF2" s="1" t="s">
        <v>70</v>
      </c>
      <c r="FG2" s="1" t="s">
        <v>73</v>
      </c>
      <c r="FH2" s="1" t="s">
        <v>66</v>
      </c>
      <c r="FI2" s="1" t="s">
        <v>67</v>
      </c>
      <c r="FJ2" s="1" t="s">
        <v>68</v>
      </c>
      <c r="FK2" s="1" t="s">
        <v>69</v>
      </c>
      <c r="FL2" s="1" t="s">
        <v>70</v>
      </c>
      <c r="FM2" s="1" t="s">
        <v>73</v>
      </c>
      <c r="FN2" s="1" t="s">
        <v>66</v>
      </c>
      <c r="FO2" s="1" t="s">
        <v>67</v>
      </c>
      <c r="FP2" s="1" t="s">
        <v>68</v>
      </c>
      <c r="FQ2" s="1" t="s">
        <v>69</v>
      </c>
      <c r="FR2" s="1" t="s">
        <v>70</v>
      </c>
      <c r="FS2" s="1" t="s">
        <v>73</v>
      </c>
      <c r="FT2" s="1" t="s">
        <v>66</v>
      </c>
      <c r="FU2" s="1" t="s">
        <v>67</v>
      </c>
      <c r="FV2" s="1" t="s">
        <v>68</v>
      </c>
      <c r="FW2" s="1" t="s">
        <v>69</v>
      </c>
      <c r="FX2" s="1" t="s">
        <v>70</v>
      </c>
      <c r="FY2" s="1" t="s">
        <v>73</v>
      </c>
      <c r="FZ2" s="1" t="s">
        <v>66</v>
      </c>
      <c r="GA2" s="1" t="s">
        <v>67</v>
      </c>
      <c r="GB2" s="1" t="s">
        <v>68</v>
      </c>
      <c r="GC2" s="1" t="s">
        <v>69</v>
      </c>
      <c r="GD2" s="1" t="s">
        <v>70</v>
      </c>
      <c r="GE2" s="1" t="s">
        <v>73</v>
      </c>
      <c r="GF2" s="1" t="s">
        <v>66</v>
      </c>
      <c r="GG2" s="1" t="s">
        <v>67</v>
      </c>
      <c r="GH2" s="1" t="s">
        <v>68</v>
      </c>
      <c r="GI2" s="1" t="s">
        <v>69</v>
      </c>
      <c r="GJ2" s="1" t="s">
        <v>70</v>
      </c>
      <c r="GK2" s="1" t="s">
        <v>73</v>
      </c>
      <c r="GL2" s="1" t="s">
        <v>66</v>
      </c>
      <c r="GM2" s="1" t="s">
        <v>67</v>
      </c>
      <c r="GN2" s="1" t="s">
        <v>68</v>
      </c>
      <c r="GO2" s="1" t="s">
        <v>69</v>
      </c>
      <c r="GP2" s="1" t="s">
        <v>70</v>
      </c>
      <c r="GQ2" s="1" t="s">
        <v>73</v>
      </c>
      <c r="GR2" s="1" t="s">
        <v>66</v>
      </c>
      <c r="GS2" s="1" t="s">
        <v>67</v>
      </c>
      <c r="GT2" s="1" t="s">
        <v>68</v>
      </c>
      <c r="GU2" s="1" t="s">
        <v>69</v>
      </c>
      <c r="GV2" s="1" t="s">
        <v>70</v>
      </c>
      <c r="GW2" s="1" t="s">
        <v>73</v>
      </c>
      <c r="GX2" s="1" t="s">
        <v>66</v>
      </c>
      <c r="GY2" s="1" t="s">
        <v>67</v>
      </c>
      <c r="GZ2" s="1" t="s">
        <v>68</v>
      </c>
      <c r="HA2" s="1" t="s">
        <v>69</v>
      </c>
      <c r="HB2" s="1" t="s">
        <v>70</v>
      </c>
      <c r="HC2" s="1" t="s">
        <v>73</v>
      </c>
      <c r="HD2" s="1" t="s">
        <v>66</v>
      </c>
      <c r="HE2" s="1" t="s">
        <v>67</v>
      </c>
      <c r="HF2" s="1" t="s">
        <v>68</v>
      </c>
      <c r="HG2" s="1" t="s">
        <v>69</v>
      </c>
      <c r="HH2" s="1" t="s">
        <v>70</v>
      </c>
      <c r="HI2" s="1" t="s">
        <v>73</v>
      </c>
      <c r="HJ2" s="1" t="s">
        <v>66</v>
      </c>
      <c r="HK2" s="1" t="s">
        <v>67</v>
      </c>
      <c r="HL2" s="1" t="s">
        <v>68</v>
      </c>
      <c r="HM2" s="1" t="s">
        <v>69</v>
      </c>
      <c r="HN2" s="1" t="s">
        <v>70</v>
      </c>
      <c r="HO2" s="1" t="s">
        <v>73</v>
      </c>
      <c r="HP2" s="1" t="s">
        <v>66</v>
      </c>
      <c r="HQ2" s="1" t="s">
        <v>67</v>
      </c>
      <c r="HR2" s="1" t="s">
        <v>68</v>
      </c>
      <c r="HS2" s="1" t="s">
        <v>69</v>
      </c>
      <c r="HT2" s="1" t="s">
        <v>70</v>
      </c>
      <c r="HU2" s="1" t="s">
        <v>73</v>
      </c>
      <c r="HV2" s="1" t="s">
        <v>66</v>
      </c>
      <c r="HW2" s="1" t="s">
        <v>67</v>
      </c>
      <c r="HX2" s="1" t="s">
        <v>68</v>
      </c>
      <c r="HY2" s="1" t="s">
        <v>69</v>
      </c>
      <c r="HZ2" s="1" t="s">
        <v>70</v>
      </c>
      <c r="IA2" s="1" t="s">
        <v>73</v>
      </c>
      <c r="IB2" s="1" t="s">
        <v>66</v>
      </c>
      <c r="IC2" s="1" t="s">
        <v>67</v>
      </c>
      <c r="ID2" s="1" t="s">
        <v>68</v>
      </c>
      <c r="IE2" s="1" t="s">
        <v>69</v>
      </c>
      <c r="IF2" s="1" t="s">
        <v>70</v>
      </c>
      <c r="IG2" s="1" t="s">
        <v>73</v>
      </c>
      <c r="IH2" s="1" t="s">
        <v>66</v>
      </c>
      <c r="II2" s="1" t="s">
        <v>67</v>
      </c>
      <c r="IJ2" s="1" t="s">
        <v>68</v>
      </c>
      <c r="IK2" s="1" t="s">
        <v>69</v>
      </c>
      <c r="IL2" s="1" t="s">
        <v>70</v>
      </c>
      <c r="IM2" s="1" t="s">
        <v>73</v>
      </c>
      <c r="IN2" s="1" t="s">
        <v>66</v>
      </c>
      <c r="IO2" s="1" t="s">
        <v>67</v>
      </c>
      <c r="IP2" s="1" t="s">
        <v>68</v>
      </c>
      <c r="IQ2" s="1" t="s">
        <v>69</v>
      </c>
      <c r="IR2" s="1" t="s">
        <v>70</v>
      </c>
      <c r="IS2" s="1" t="s">
        <v>73</v>
      </c>
      <c r="IT2" s="1" t="s">
        <v>66</v>
      </c>
      <c r="IU2" s="1" t="s">
        <v>67</v>
      </c>
      <c r="IV2" s="1" t="s">
        <v>68</v>
      </c>
      <c r="IW2" s="1" t="s">
        <v>69</v>
      </c>
      <c r="IX2" s="1" t="s">
        <v>70</v>
      </c>
      <c r="IY2" s="1" t="s">
        <v>73</v>
      </c>
      <c r="IZ2" s="1" t="s">
        <v>66</v>
      </c>
      <c r="JA2" s="1" t="s">
        <v>67</v>
      </c>
      <c r="JB2" s="1" t="s">
        <v>68</v>
      </c>
      <c r="JC2" s="1" t="s">
        <v>69</v>
      </c>
      <c r="JD2" s="1" t="s">
        <v>70</v>
      </c>
      <c r="JE2" s="1" t="s">
        <v>73</v>
      </c>
      <c r="JF2" s="1" t="s">
        <v>66</v>
      </c>
      <c r="JG2" s="1" t="s">
        <v>67</v>
      </c>
      <c r="JH2" s="1" t="s">
        <v>68</v>
      </c>
      <c r="JI2" s="1" t="s">
        <v>69</v>
      </c>
      <c r="JJ2" s="1" t="s">
        <v>70</v>
      </c>
      <c r="JK2" s="1" t="s">
        <v>73</v>
      </c>
      <c r="JL2" s="1" t="s">
        <v>66</v>
      </c>
      <c r="JM2" s="1" t="s">
        <v>67</v>
      </c>
      <c r="JN2" s="1" t="s">
        <v>68</v>
      </c>
      <c r="JO2" s="1" t="s">
        <v>69</v>
      </c>
      <c r="JP2" s="1" t="s">
        <v>70</v>
      </c>
      <c r="JQ2" s="1" t="s">
        <v>73</v>
      </c>
      <c r="JR2" s="1" t="s">
        <v>66</v>
      </c>
      <c r="JS2" s="1" t="s">
        <v>67</v>
      </c>
      <c r="JT2" s="1" t="s">
        <v>68</v>
      </c>
      <c r="JU2" s="1" t="s">
        <v>69</v>
      </c>
      <c r="JV2" s="1" t="s">
        <v>70</v>
      </c>
      <c r="JW2" s="1" t="s">
        <v>73</v>
      </c>
      <c r="JX2" s="1" t="s">
        <v>66</v>
      </c>
      <c r="JY2" s="1" t="s">
        <v>67</v>
      </c>
      <c r="JZ2" s="1" t="s">
        <v>68</v>
      </c>
      <c r="KA2" s="1" t="s">
        <v>69</v>
      </c>
      <c r="KB2" s="1" t="s">
        <v>70</v>
      </c>
      <c r="KC2" s="1" t="s">
        <v>73</v>
      </c>
      <c r="KD2" s="1" t="s">
        <v>66</v>
      </c>
      <c r="KE2" s="1" t="s">
        <v>67</v>
      </c>
      <c r="KF2" s="1" t="s">
        <v>68</v>
      </c>
      <c r="KG2" s="1" t="s">
        <v>69</v>
      </c>
      <c r="KH2" s="1" t="s">
        <v>70</v>
      </c>
      <c r="KI2" s="1" t="s">
        <v>73</v>
      </c>
      <c r="KJ2" s="1" t="s">
        <v>66</v>
      </c>
      <c r="KK2" s="1" t="s">
        <v>67</v>
      </c>
      <c r="KL2" s="1" t="s">
        <v>68</v>
      </c>
      <c r="KM2" s="1" t="s">
        <v>69</v>
      </c>
      <c r="KN2" s="1" t="s">
        <v>70</v>
      </c>
      <c r="KO2" s="1" t="s">
        <v>73</v>
      </c>
      <c r="KP2" s="1" t="s">
        <v>66</v>
      </c>
      <c r="KQ2" s="1" t="s">
        <v>67</v>
      </c>
      <c r="KR2" s="1" t="s">
        <v>68</v>
      </c>
      <c r="KS2" s="1" t="s">
        <v>69</v>
      </c>
      <c r="KT2" s="1" t="s">
        <v>70</v>
      </c>
      <c r="KU2" s="1" t="s">
        <v>73</v>
      </c>
      <c r="KV2" s="1" t="s">
        <v>66</v>
      </c>
      <c r="KW2" s="1" t="s">
        <v>67</v>
      </c>
      <c r="KX2" s="1" t="s">
        <v>68</v>
      </c>
      <c r="KY2" s="1" t="s">
        <v>69</v>
      </c>
      <c r="KZ2" s="1" t="s">
        <v>70</v>
      </c>
      <c r="LA2" s="1" t="s">
        <v>73</v>
      </c>
      <c r="LB2" s="1" t="s">
        <v>66</v>
      </c>
      <c r="LC2" s="1" t="s">
        <v>67</v>
      </c>
      <c r="LD2" s="1" t="s">
        <v>68</v>
      </c>
      <c r="LE2" s="1" t="s">
        <v>69</v>
      </c>
      <c r="LF2" s="1" t="s">
        <v>70</v>
      </c>
      <c r="LG2" s="1" t="s">
        <v>73</v>
      </c>
      <c r="LH2" s="1" t="s">
        <v>66</v>
      </c>
      <c r="LI2" s="1" t="s">
        <v>67</v>
      </c>
      <c r="LJ2" s="1" t="s">
        <v>68</v>
      </c>
      <c r="LK2" s="1" t="s">
        <v>69</v>
      </c>
      <c r="LL2" s="1" t="s">
        <v>70</v>
      </c>
      <c r="LM2" s="1" t="s">
        <v>73</v>
      </c>
      <c r="LN2" s="1" t="s">
        <v>66</v>
      </c>
      <c r="LO2" s="1" t="s">
        <v>67</v>
      </c>
      <c r="LP2" s="1" t="s">
        <v>68</v>
      </c>
      <c r="LQ2" s="1" t="s">
        <v>69</v>
      </c>
      <c r="LR2" s="1" t="s">
        <v>70</v>
      </c>
      <c r="LS2" s="1" t="s">
        <v>73</v>
      </c>
      <c r="LT2" s="1" t="s">
        <v>66</v>
      </c>
      <c r="LU2" s="1" t="s">
        <v>67</v>
      </c>
      <c r="LV2" s="1" t="s">
        <v>68</v>
      </c>
      <c r="LW2" s="1" t="s">
        <v>69</v>
      </c>
      <c r="LX2" s="1" t="s">
        <v>70</v>
      </c>
      <c r="LY2" s="1" t="s">
        <v>73</v>
      </c>
      <c r="LZ2" s="1" t="s">
        <v>66</v>
      </c>
      <c r="MA2" s="1" t="s">
        <v>67</v>
      </c>
      <c r="MB2" s="1" t="s">
        <v>68</v>
      </c>
      <c r="MC2" s="1" t="s">
        <v>69</v>
      </c>
      <c r="MD2" s="1" t="s">
        <v>70</v>
      </c>
      <c r="ME2" s="1" t="s">
        <v>73</v>
      </c>
      <c r="MF2" s="1" t="s">
        <v>66</v>
      </c>
      <c r="MG2" s="1" t="s">
        <v>67</v>
      </c>
      <c r="MH2" s="1" t="s">
        <v>68</v>
      </c>
      <c r="MI2" s="1" t="s">
        <v>69</v>
      </c>
      <c r="MJ2" s="1" t="s">
        <v>70</v>
      </c>
      <c r="MK2" s="1" t="s">
        <v>73</v>
      </c>
      <c r="ML2" s="1" t="s">
        <v>66</v>
      </c>
      <c r="MM2" s="1" t="s">
        <v>67</v>
      </c>
      <c r="MN2" s="1" t="s">
        <v>68</v>
      </c>
      <c r="MO2" s="1" t="s">
        <v>69</v>
      </c>
      <c r="MP2" s="1" t="s">
        <v>70</v>
      </c>
      <c r="MQ2" s="1" t="s">
        <v>73</v>
      </c>
      <c r="MR2" s="1" t="s">
        <v>66</v>
      </c>
      <c r="MS2" s="1" t="s">
        <v>67</v>
      </c>
      <c r="MT2" s="1" t="s">
        <v>68</v>
      </c>
      <c r="MU2" s="1" t="s">
        <v>69</v>
      </c>
      <c r="MV2" s="1" t="s">
        <v>70</v>
      </c>
      <c r="MW2" s="1" t="s">
        <v>73</v>
      </c>
    </row>
    <row r="3" spans="1:361">
      <c r="B3" s="1" t="s">
        <v>72</v>
      </c>
      <c r="C3" s="1" t="s">
        <v>72</v>
      </c>
      <c r="D3" s="1" t="s">
        <v>72</v>
      </c>
      <c r="E3" s="1" t="s">
        <v>72</v>
      </c>
      <c r="F3" s="1" t="s">
        <v>72</v>
      </c>
      <c r="G3" s="1" t="s">
        <v>65</v>
      </c>
      <c r="H3" s="1" t="s">
        <v>72</v>
      </c>
      <c r="I3" s="1" t="s">
        <v>72</v>
      </c>
      <c r="J3" s="1" t="s">
        <v>72</v>
      </c>
      <c r="K3" s="1" t="s">
        <v>72</v>
      </c>
      <c r="L3" s="1" t="s">
        <v>72</v>
      </c>
      <c r="M3" s="1" t="s">
        <v>65</v>
      </c>
      <c r="N3" s="1" t="s">
        <v>72</v>
      </c>
      <c r="O3" s="1" t="s">
        <v>72</v>
      </c>
      <c r="P3" s="1" t="s">
        <v>72</v>
      </c>
      <c r="Q3" s="1" t="s">
        <v>72</v>
      </c>
      <c r="R3" s="1" t="s">
        <v>72</v>
      </c>
      <c r="S3" s="1" t="s">
        <v>65</v>
      </c>
      <c r="T3" s="1" t="s">
        <v>72</v>
      </c>
      <c r="U3" s="1" t="s">
        <v>72</v>
      </c>
      <c r="V3" s="1" t="s">
        <v>72</v>
      </c>
      <c r="W3" s="1" t="s">
        <v>72</v>
      </c>
      <c r="X3" s="1" t="s">
        <v>72</v>
      </c>
      <c r="Y3" s="1" t="s">
        <v>65</v>
      </c>
      <c r="Z3" s="1" t="s">
        <v>72</v>
      </c>
      <c r="AA3" s="1" t="s">
        <v>72</v>
      </c>
      <c r="AB3" s="1" t="s">
        <v>72</v>
      </c>
      <c r="AC3" s="1" t="s">
        <v>72</v>
      </c>
      <c r="AD3" s="1" t="s">
        <v>72</v>
      </c>
      <c r="AE3" s="1" t="s">
        <v>65</v>
      </c>
      <c r="AF3" s="1" t="s">
        <v>72</v>
      </c>
      <c r="AG3" s="1" t="s">
        <v>72</v>
      </c>
      <c r="AH3" s="1" t="s">
        <v>72</v>
      </c>
      <c r="AI3" s="1" t="s">
        <v>72</v>
      </c>
      <c r="AJ3" s="1" t="s">
        <v>72</v>
      </c>
      <c r="AK3" s="1" t="s">
        <v>65</v>
      </c>
      <c r="AL3" s="1" t="s">
        <v>72</v>
      </c>
      <c r="AM3" s="1" t="s">
        <v>72</v>
      </c>
      <c r="AN3" s="1" t="s">
        <v>72</v>
      </c>
      <c r="AO3" s="1" t="s">
        <v>72</v>
      </c>
      <c r="AP3" s="1" t="s">
        <v>72</v>
      </c>
      <c r="AQ3" s="1" t="s">
        <v>65</v>
      </c>
      <c r="AR3" s="1" t="s">
        <v>72</v>
      </c>
      <c r="AS3" s="1" t="s">
        <v>72</v>
      </c>
      <c r="AT3" s="1" t="s">
        <v>72</v>
      </c>
      <c r="AU3" s="1" t="s">
        <v>72</v>
      </c>
      <c r="AV3" s="1" t="s">
        <v>72</v>
      </c>
      <c r="AW3" s="1" t="s">
        <v>65</v>
      </c>
      <c r="AX3" s="1" t="s">
        <v>72</v>
      </c>
      <c r="AY3" s="1" t="s">
        <v>72</v>
      </c>
      <c r="AZ3" s="1" t="s">
        <v>72</v>
      </c>
      <c r="BA3" s="1" t="s">
        <v>72</v>
      </c>
      <c r="BB3" s="1" t="s">
        <v>72</v>
      </c>
      <c r="BC3" s="1" t="s">
        <v>65</v>
      </c>
      <c r="BD3" s="1" t="s">
        <v>72</v>
      </c>
      <c r="BE3" s="1" t="s">
        <v>72</v>
      </c>
      <c r="BF3" s="1" t="s">
        <v>72</v>
      </c>
      <c r="BG3" s="1" t="s">
        <v>72</v>
      </c>
      <c r="BH3" s="1" t="s">
        <v>72</v>
      </c>
      <c r="BI3" s="1" t="s">
        <v>65</v>
      </c>
      <c r="BJ3" s="1" t="s">
        <v>72</v>
      </c>
      <c r="BK3" s="1" t="s">
        <v>72</v>
      </c>
      <c r="BL3" s="1" t="s">
        <v>72</v>
      </c>
      <c r="BM3" s="1" t="s">
        <v>72</v>
      </c>
      <c r="BN3" s="1" t="s">
        <v>72</v>
      </c>
      <c r="BO3" s="1" t="s">
        <v>65</v>
      </c>
      <c r="BP3" s="1" t="s">
        <v>72</v>
      </c>
      <c r="BQ3" s="1" t="s">
        <v>72</v>
      </c>
      <c r="BR3" s="1" t="s">
        <v>72</v>
      </c>
      <c r="BS3" s="1" t="s">
        <v>72</v>
      </c>
      <c r="BT3" s="1" t="s">
        <v>72</v>
      </c>
      <c r="BU3" s="1" t="s">
        <v>65</v>
      </c>
      <c r="BV3" s="1" t="s">
        <v>72</v>
      </c>
      <c r="BW3" s="1" t="s">
        <v>72</v>
      </c>
      <c r="BX3" s="1" t="s">
        <v>72</v>
      </c>
      <c r="BY3" s="1" t="s">
        <v>72</v>
      </c>
      <c r="BZ3" s="1" t="s">
        <v>72</v>
      </c>
      <c r="CA3" s="1" t="s">
        <v>65</v>
      </c>
      <c r="CB3" s="1" t="s">
        <v>72</v>
      </c>
      <c r="CC3" s="1" t="s">
        <v>72</v>
      </c>
      <c r="CD3" s="1" t="s">
        <v>72</v>
      </c>
      <c r="CE3" s="1" t="s">
        <v>72</v>
      </c>
      <c r="CF3" s="1" t="s">
        <v>72</v>
      </c>
      <c r="CG3" s="1" t="s">
        <v>65</v>
      </c>
      <c r="CH3" s="1" t="s">
        <v>72</v>
      </c>
      <c r="CI3" s="1" t="s">
        <v>72</v>
      </c>
      <c r="CJ3" s="1" t="s">
        <v>72</v>
      </c>
      <c r="CK3" s="1" t="s">
        <v>72</v>
      </c>
      <c r="CL3" s="1" t="s">
        <v>72</v>
      </c>
      <c r="CM3" s="1" t="s">
        <v>65</v>
      </c>
      <c r="CN3" s="1" t="s">
        <v>72</v>
      </c>
      <c r="CO3" s="1" t="s">
        <v>72</v>
      </c>
      <c r="CP3" s="1" t="s">
        <v>72</v>
      </c>
      <c r="CQ3" s="1" t="s">
        <v>72</v>
      </c>
      <c r="CR3" s="1" t="s">
        <v>72</v>
      </c>
      <c r="CS3" s="1" t="s">
        <v>65</v>
      </c>
      <c r="CT3" s="1" t="s">
        <v>72</v>
      </c>
      <c r="CU3" s="1" t="s">
        <v>72</v>
      </c>
      <c r="CV3" s="1" t="s">
        <v>72</v>
      </c>
      <c r="CW3" s="1" t="s">
        <v>72</v>
      </c>
      <c r="CX3" s="1" t="s">
        <v>72</v>
      </c>
      <c r="CY3" s="1" t="s">
        <v>65</v>
      </c>
      <c r="CZ3" s="1" t="s">
        <v>72</v>
      </c>
      <c r="DA3" s="1" t="s">
        <v>72</v>
      </c>
      <c r="DB3" s="1" t="s">
        <v>72</v>
      </c>
      <c r="DC3" s="1" t="s">
        <v>72</v>
      </c>
      <c r="DD3" s="1" t="s">
        <v>72</v>
      </c>
      <c r="DE3" s="1" t="s">
        <v>65</v>
      </c>
      <c r="DF3" s="1" t="s">
        <v>72</v>
      </c>
      <c r="DG3" s="1" t="s">
        <v>72</v>
      </c>
      <c r="DH3" s="1" t="s">
        <v>72</v>
      </c>
      <c r="DI3" s="1" t="s">
        <v>72</v>
      </c>
      <c r="DJ3" s="1" t="s">
        <v>72</v>
      </c>
      <c r="DK3" s="1" t="s">
        <v>65</v>
      </c>
      <c r="DL3" s="1" t="s">
        <v>72</v>
      </c>
      <c r="DM3" s="1" t="s">
        <v>72</v>
      </c>
      <c r="DN3" s="1" t="s">
        <v>72</v>
      </c>
      <c r="DO3" s="1" t="s">
        <v>72</v>
      </c>
      <c r="DP3" s="1" t="s">
        <v>72</v>
      </c>
      <c r="DQ3" s="1" t="s">
        <v>65</v>
      </c>
      <c r="DR3" s="1" t="s">
        <v>72</v>
      </c>
      <c r="DS3" s="1" t="s">
        <v>72</v>
      </c>
      <c r="DT3" s="1" t="s">
        <v>72</v>
      </c>
      <c r="DU3" s="1" t="s">
        <v>72</v>
      </c>
      <c r="DV3" s="1" t="s">
        <v>72</v>
      </c>
      <c r="DW3" s="1" t="s">
        <v>65</v>
      </c>
      <c r="DX3" s="1" t="s">
        <v>72</v>
      </c>
      <c r="DY3" s="1" t="s">
        <v>72</v>
      </c>
      <c r="DZ3" s="1" t="s">
        <v>72</v>
      </c>
      <c r="EA3" s="1" t="s">
        <v>72</v>
      </c>
      <c r="EB3" s="1" t="s">
        <v>72</v>
      </c>
      <c r="EC3" s="1" t="s">
        <v>65</v>
      </c>
      <c r="ED3" s="1" t="s">
        <v>72</v>
      </c>
      <c r="EE3" s="1" t="s">
        <v>72</v>
      </c>
      <c r="EF3" s="1" t="s">
        <v>72</v>
      </c>
      <c r="EG3" s="1" t="s">
        <v>72</v>
      </c>
      <c r="EH3" s="1" t="s">
        <v>72</v>
      </c>
      <c r="EI3" s="1" t="s">
        <v>65</v>
      </c>
      <c r="EJ3" s="1" t="s">
        <v>72</v>
      </c>
      <c r="EK3" s="1" t="s">
        <v>72</v>
      </c>
      <c r="EL3" s="1" t="s">
        <v>72</v>
      </c>
      <c r="EM3" s="1" t="s">
        <v>72</v>
      </c>
      <c r="EN3" s="1" t="s">
        <v>72</v>
      </c>
      <c r="EO3" s="1" t="s">
        <v>65</v>
      </c>
      <c r="EP3" s="1" t="s">
        <v>72</v>
      </c>
      <c r="EQ3" s="1" t="s">
        <v>72</v>
      </c>
      <c r="ER3" s="1" t="s">
        <v>72</v>
      </c>
      <c r="ES3" s="1" t="s">
        <v>72</v>
      </c>
      <c r="ET3" s="1" t="s">
        <v>72</v>
      </c>
      <c r="EU3" s="1" t="s">
        <v>65</v>
      </c>
      <c r="EV3" s="1" t="s">
        <v>72</v>
      </c>
      <c r="EW3" s="1" t="s">
        <v>72</v>
      </c>
      <c r="EX3" s="1" t="s">
        <v>72</v>
      </c>
      <c r="EY3" s="1" t="s">
        <v>72</v>
      </c>
      <c r="EZ3" s="1" t="s">
        <v>72</v>
      </c>
      <c r="FA3" s="1" t="s">
        <v>65</v>
      </c>
      <c r="FB3" s="1" t="s">
        <v>72</v>
      </c>
      <c r="FC3" s="1" t="s">
        <v>72</v>
      </c>
      <c r="FD3" s="1" t="s">
        <v>72</v>
      </c>
      <c r="FE3" s="1" t="s">
        <v>72</v>
      </c>
      <c r="FF3" s="1" t="s">
        <v>72</v>
      </c>
      <c r="FG3" s="1" t="s">
        <v>65</v>
      </c>
      <c r="FH3" s="1" t="s">
        <v>72</v>
      </c>
      <c r="FI3" s="1" t="s">
        <v>72</v>
      </c>
      <c r="FJ3" s="1" t="s">
        <v>72</v>
      </c>
      <c r="FK3" s="1" t="s">
        <v>72</v>
      </c>
      <c r="FL3" s="1" t="s">
        <v>72</v>
      </c>
      <c r="FM3" s="1" t="s">
        <v>65</v>
      </c>
      <c r="FN3" s="1" t="s">
        <v>72</v>
      </c>
      <c r="FO3" s="1" t="s">
        <v>72</v>
      </c>
      <c r="FP3" s="1" t="s">
        <v>72</v>
      </c>
      <c r="FQ3" s="1" t="s">
        <v>72</v>
      </c>
      <c r="FR3" s="1" t="s">
        <v>72</v>
      </c>
      <c r="FS3" s="1" t="s">
        <v>65</v>
      </c>
      <c r="FT3" s="1" t="s">
        <v>72</v>
      </c>
      <c r="FU3" s="1" t="s">
        <v>72</v>
      </c>
      <c r="FV3" s="1" t="s">
        <v>72</v>
      </c>
      <c r="FW3" s="1" t="s">
        <v>72</v>
      </c>
      <c r="FX3" s="1" t="s">
        <v>72</v>
      </c>
      <c r="FY3" s="1" t="s">
        <v>65</v>
      </c>
      <c r="FZ3" s="1" t="s">
        <v>72</v>
      </c>
      <c r="GA3" s="1" t="s">
        <v>72</v>
      </c>
      <c r="GB3" s="1" t="s">
        <v>72</v>
      </c>
      <c r="GC3" s="1" t="s">
        <v>72</v>
      </c>
      <c r="GD3" s="1" t="s">
        <v>72</v>
      </c>
      <c r="GE3" s="1" t="s">
        <v>65</v>
      </c>
      <c r="GF3" s="1" t="s">
        <v>72</v>
      </c>
      <c r="GG3" s="1" t="s">
        <v>72</v>
      </c>
      <c r="GH3" s="1" t="s">
        <v>72</v>
      </c>
      <c r="GI3" s="1" t="s">
        <v>72</v>
      </c>
      <c r="GJ3" s="1" t="s">
        <v>72</v>
      </c>
      <c r="GK3" s="1" t="s">
        <v>65</v>
      </c>
      <c r="GL3" s="1" t="s">
        <v>72</v>
      </c>
      <c r="GM3" s="1" t="s">
        <v>72</v>
      </c>
      <c r="GN3" s="1" t="s">
        <v>72</v>
      </c>
      <c r="GO3" s="1" t="s">
        <v>72</v>
      </c>
      <c r="GP3" s="1" t="s">
        <v>72</v>
      </c>
      <c r="GQ3" s="1" t="s">
        <v>65</v>
      </c>
      <c r="GR3" s="1" t="s">
        <v>72</v>
      </c>
      <c r="GS3" s="1" t="s">
        <v>72</v>
      </c>
      <c r="GT3" s="1" t="s">
        <v>72</v>
      </c>
      <c r="GU3" s="1" t="s">
        <v>72</v>
      </c>
      <c r="GV3" s="1" t="s">
        <v>72</v>
      </c>
      <c r="GW3" s="1" t="s">
        <v>65</v>
      </c>
      <c r="GX3" s="1" t="s">
        <v>72</v>
      </c>
      <c r="GY3" s="1" t="s">
        <v>72</v>
      </c>
      <c r="GZ3" s="1" t="s">
        <v>72</v>
      </c>
      <c r="HA3" s="1" t="s">
        <v>72</v>
      </c>
      <c r="HB3" s="1" t="s">
        <v>72</v>
      </c>
      <c r="HC3" s="1" t="s">
        <v>65</v>
      </c>
      <c r="HD3" s="1" t="s">
        <v>72</v>
      </c>
      <c r="HE3" s="1" t="s">
        <v>72</v>
      </c>
      <c r="HF3" s="1" t="s">
        <v>72</v>
      </c>
      <c r="HG3" s="1" t="s">
        <v>72</v>
      </c>
      <c r="HH3" s="1" t="s">
        <v>72</v>
      </c>
      <c r="HI3" s="1" t="s">
        <v>65</v>
      </c>
      <c r="HJ3" s="1" t="s">
        <v>72</v>
      </c>
      <c r="HK3" s="1" t="s">
        <v>72</v>
      </c>
      <c r="HL3" s="1" t="s">
        <v>72</v>
      </c>
      <c r="HM3" s="1" t="s">
        <v>72</v>
      </c>
      <c r="HN3" s="1" t="s">
        <v>72</v>
      </c>
      <c r="HO3" s="1" t="s">
        <v>65</v>
      </c>
      <c r="HP3" s="1" t="s">
        <v>72</v>
      </c>
      <c r="HQ3" s="1" t="s">
        <v>72</v>
      </c>
      <c r="HR3" s="1" t="s">
        <v>72</v>
      </c>
      <c r="HS3" s="1" t="s">
        <v>72</v>
      </c>
      <c r="HT3" s="1" t="s">
        <v>72</v>
      </c>
      <c r="HU3" s="1" t="s">
        <v>65</v>
      </c>
      <c r="HV3" s="1" t="s">
        <v>72</v>
      </c>
      <c r="HW3" s="1" t="s">
        <v>72</v>
      </c>
      <c r="HX3" s="1" t="s">
        <v>72</v>
      </c>
      <c r="HY3" s="1" t="s">
        <v>72</v>
      </c>
      <c r="HZ3" s="1" t="s">
        <v>72</v>
      </c>
      <c r="IA3" s="1" t="s">
        <v>65</v>
      </c>
      <c r="IB3" s="1" t="s">
        <v>72</v>
      </c>
      <c r="IC3" s="1" t="s">
        <v>72</v>
      </c>
      <c r="ID3" s="1" t="s">
        <v>72</v>
      </c>
      <c r="IE3" s="1" t="s">
        <v>72</v>
      </c>
      <c r="IF3" s="1" t="s">
        <v>72</v>
      </c>
      <c r="IG3" s="1" t="s">
        <v>65</v>
      </c>
      <c r="IH3" s="1" t="s">
        <v>72</v>
      </c>
      <c r="II3" s="1" t="s">
        <v>72</v>
      </c>
      <c r="IJ3" s="1" t="s">
        <v>72</v>
      </c>
      <c r="IK3" s="1" t="s">
        <v>72</v>
      </c>
      <c r="IL3" s="1" t="s">
        <v>72</v>
      </c>
      <c r="IM3" s="1" t="s">
        <v>65</v>
      </c>
      <c r="IN3" s="1" t="s">
        <v>72</v>
      </c>
      <c r="IO3" s="1" t="s">
        <v>72</v>
      </c>
      <c r="IP3" s="1" t="s">
        <v>72</v>
      </c>
      <c r="IQ3" s="1" t="s">
        <v>72</v>
      </c>
      <c r="IR3" s="1" t="s">
        <v>72</v>
      </c>
      <c r="IS3" s="1" t="s">
        <v>65</v>
      </c>
      <c r="IT3" s="1" t="s">
        <v>72</v>
      </c>
      <c r="IU3" s="1" t="s">
        <v>72</v>
      </c>
      <c r="IV3" s="1" t="s">
        <v>72</v>
      </c>
      <c r="IW3" s="1" t="s">
        <v>72</v>
      </c>
      <c r="IX3" s="1" t="s">
        <v>72</v>
      </c>
      <c r="IY3" s="1" t="s">
        <v>65</v>
      </c>
      <c r="IZ3" s="1" t="s">
        <v>72</v>
      </c>
      <c r="JA3" s="1" t="s">
        <v>72</v>
      </c>
      <c r="JB3" s="1" t="s">
        <v>72</v>
      </c>
      <c r="JC3" s="1" t="s">
        <v>72</v>
      </c>
      <c r="JD3" s="1" t="s">
        <v>72</v>
      </c>
      <c r="JE3" s="1" t="s">
        <v>65</v>
      </c>
      <c r="JF3" s="1" t="s">
        <v>72</v>
      </c>
      <c r="JG3" s="1" t="s">
        <v>72</v>
      </c>
      <c r="JH3" s="1" t="s">
        <v>72</v>
      </c>
      <c r="JI3" s="1" t="s">
        <v>72</v>
      </c>
      <c r="JJ3" s="1" t="s">
        <v>72</v>
      </c>
      <c r="JK3" s="1" t="s">
        <v>65</v>
      </c>
      <c r="JL3" s="1" t="s">
        <v>72</v>
      </c>
      <c r="JM3" s="1" t="s">
        <v>72</v>
      </c>
      <c r="JN3" s="1" t="s">
        <v>72</v>
      </c>
      <c r="JO3" s="1" t="s">
        <v>72</v>
      </c>
      <c r="JP3" s="1" t="s">
        <v>72</v>
      </c>
      <c r="JQ3" s="1" t="s">
        <v>65</v>
      </c>
      <c r="JR3" s="1" t="s">
        <v>72</v>
      </c>
      <c r="JS3" s="1" t="s">
        <v>72</v>
      </c>
      <c r="JT3" s="1" t="s">
        <v>72</v>
      </c>
      <c r="JU3" s="1" t="s">
        <v>72</v>
      </c>
      <c r="JV3" s="1" t="s">
        <v>72</v>
      </c>
      <c r="JW3" s="1" t="s">
        <v>65</v>
      </c>
      <c r="JX3" s="1" t="s">
        <v>72</v>
      </c>
      <c r="JY3" s="1" t="s">
        <v>72</v>
      </c>
      <c r="JZ3" s="1" t="s">
        <v>72</v>
      </c>
      <c r="KA3" s="1" t="s">
        <v>72</v>
      </c>
      <c r="KB3" s="1" t="s">
        <v>72</v>
      </c>
      <c r="KC3" s="1" t="s">
        <v>65</v>
      </c>
      <c r="KD3" s="1" t="s">
        <v>72</v>
      </c>
      <c r="KE3" s="1" t="s">
        <v>72</v>
      </c>
      <c r="KF3" s="1" t="s">
        <v>72</v>
      </c>
      <c r="KG3" s="1" t="s">
        <v>72</v>
      </c>
      <c r="KH3" s="1" t="s">
        <v>72</v>
      </c>
      <c r="KI3" s="1" t="s">
        <v>65</v>
      </c>
      <c r="KJ3" s="1" t="s">
        <v>72</v>
      </c>
      <c r="KK3" s="1" t="s">
        <v>72</v>
      </c>
      <c r="KL3" s="1" t="s">
        <v>72</v>
      </c>
      <c r="KM3" s="1" t="s">
        <v>72</v>
      </c>
      <c r="KN3" s="1" t="s">
        <v>72</v>
      </c>
      <c r="KO3" s="1" t="s">
        <v>65</v>
      </c>
      <c r="KP3" s="1" t="s">
        <v>72</v>
      </c>
      <c r="KQ3" s="1" t="s">
        <v>72</v>
      </c>
      <c r="KR3" s="1" t="s">
        <v>72</v>
      </c>
      <c r="KS3" s="1" t="s">
        <v>72</v>
      </c>
      <c r="KT3" s="1" t="s">
        <v>72</v>
      </c>
      <c r="KU3" s="1" t="s">
        <v>65</v>
      </c>
      <c r="KV3" s="1" t="s">
        <v>72</v>
      </c>
      <c r="KW3" s="1" t="s">
        <v>72</v>
      </c>
      <c r="KX3" s="1" t="s">
        <v>72</v>
      </c>
      <c r="KY3" s="1" t="s">
        <v>72</v>
      </c>
      <c r="KZ3" s="1" t="s">
        <v>72</v>
      </c>
      <c r="LA3" s="1" t="s">
        <v>65</v>
      </c>
      <c r="LB3" s="1" t="s">
        <v>72</v>
      </c>
      <c r="LC3" s="1" t="s">
        <v>72</v>
      </c>
      <c r="LD3" s="1" t="s">
        <v>72</v>
      </c>
      <c r="LE3" s="1" t="s">
        <v>72</v>
      </c>
      <c r="LF3" s="1" t="s">
        <v>72</v>
      </c>
      <c r="LG3" s="1" t="s">
        <v>65</v>
      </c>
      <c r="LH3" s="1" t="s">
        <v>72</v>
      </c>
      <c r="LI3" s="1" t="s">
        <v>72</v>
      </c>
      <c r="LJ3" s="1" t="s">
        <v>72</v>
      </c>
      <c r="LK3" s="1" t="s">
        <v>72</v>
      </c>
      <c r="LL3" s="1" t="s">
        <v>72</v>
      </c>
      <c r="LM3" s="1" t="s">
        <v>65</v>
      </c>
      <c r="LN3" s="1" t="s">
        <v>72</v>
      </c>
      <c r="LO3" s="1" t="s">
        <v>72</v>
      </c>
      <c r="LP3" s="1" t="s">
        <v>72</v>
      </c>
      <c r="LQ3" s="1" t="s">
        <v>72</v>
      </c>
      <c r="LR3" s="1" t="s">
        <v>72</v>
      </c>
      <c r="LS3" s="1" t="s">
        <v>65</v>
      </c>
      <c r="LT3" s="1" t="s">
        <v>72</v>
      </c>
      <c r="LU3" s="1" t="s">
        <v>72</v>
      </c>
      <c r="LV3" s="1" t="s">
        <v>72</v>
      </c>
      <c r="LW3" s="1" t="s">
        <v>72</v>
      </c>
      <c r="LX3" s="1" t="s">
        <v>72</v>
      </c>
      <c r="LY3" s="1" t="s">
        <v>65</v>
      </c>
      <c r="LZ3" s="1" t="s">
        <v>72</v>
      </c>
      <c r="MA3" s="1" t="s">
        <v>72</v>
      </c>
      <c r="MB3" s="1" t="s">
        <v>72</v>
      </c>
      <c r="MC3" s="1" t="s">
        <v>72</v>
      </c>
      <c r="MD3" s="1" t="s">
        <v>72</v>
      </c>
      <c r="ME3" s="1" t="s">
        <v>65</v>
      </c>
      <c r="MF3" s="1" t="s">
        <v>72</v>
      </c>
      <c r="MG3" s="1" t="s">
        <v>72</v>
      </c>
      <c r="MH3" s="1" t="s">
        <v>72</v>
      </c>
      <c r="MI3" s="1" t="s">
        <v>72</v>
      </c>
      <c r="MJ3" s="1" t="s">
        <v>72</v>
      </c>
      <c r="MK3" s="1" t="s">
        <v>65</v>
      </c>
      <c r="ML3" s="1" t="s">
        <v>72</v>
      </c>
      <c r="MM3" s="1" t="s">
        <v>72</v>
      </c>
      <c r="MN3" s="1" t="s">
        <v>72</v>
      </c>
      <c r="MO3" s="1" t="s">
        <v>72</v>
      </c>
      <c r="MP3" s="1" t="s">
        <v>72</v>
      </c>
      <c r="MQ3" s="1" t="s">
        <v>65</v>
      </c>
      <c r="MR3" s="1" t="s">
        <v>72</v>
      </c>
      <c r="MS3" s="1" t="s">
        <v>72</v>
      </c>
      <c r="MT3" s="1" t="s">
        <v>72</v>
      </c>
      <c r="MU3" s="1" t="s">
        <v>72</v>
      </c>
      <c r="MV3" s="1" t="s">
        <v>72</v>
      </c>
      <c r="MW3" s="1" t="s">
        <v>65</v>
      </c>
    </row>
    <row r="4" spans="1:361">
      <c r="A4" s="1">
        <v>1</v>
      </c>
      <c r="B4" s="1">
        <v>87</v>
      </c>
      <c r="C4" s="1">
        <v>25</v>
      </c>
      <c r="D4" s="1">
        <v>22</v>
      </c>
      <c r="E4" s="1">
        <v>42</v>
      </c>
      <c r="F4" s="1">
        <v>22</v>
      </c>
      <c r="G4" s="1">
        <v>26.867000000000001</v>
      </c>
      <c r="H4" s="1">
        <v>119</v>
      </c>
      <c r="I4" s="1">
        <v>17</v>
      </c>
      <c r="J4" s="1">
        <v>22</v>
      </c>
      <c r="K4" s="1">
        <v>46</v>
      </c>
      <c r="L4" s="1">
        <v>18</v>
      </c>
      <c r="M4" s="1">
        <v>28.298999999999999</v>
      </c>
      <c r="N4" s="1">
        <v>82</v>
      </c>
      <c r="O4" s="1">
        <v>17</v>
      </c>
      <c r="P4" s="1">
        <v>20</v>
      </c>
      <c r="Q4" s="1">
        <v>41</v>
      </c>
      <c r="R4" s="1">
        <v>19</v>
      </c>
      <c r="S4" s="1">
        <v>26.247</v>
      </c>
      <c r="T4" s="1">
        <v>76</v>
      </c>
      <c r="U4" s="1">
        <v>17</v>
      </c>
      <c r="V4" s="1">
        <v>21</v>
      </c>
      <c r="W4" s="1">
        <v>42</v>
      </c>
      <c r="X4" s="1">
        <v>22</v>
      </c>
      <c r="Y4" s="1">
        <v>25.259</v>
      </c>
      <c r="Z4" s="1">
        <v>86</v>
      </c>
      <c r="AA4" s="1">
        <v>20</v>
      </c>
      <c r="AB4" s="1">
        <v>20</v>
      </c>
      <c r="AC4" s="1">
        <v>45</v>
      </c>
      <c r="AD4" s="1">
        <v>20</v>
      </c>
      <c r="AE4" s="1">
        <v>25.064</v>
      </c>
      <c r="AF4" s="1">
        <v>121</v>
      </c>
      <c r="AG4" s="1">
        <v>24</v>
      </c>
      <c r="AH4" s="1">
        <v>31</v>
      </c>
      <c r="AI4" s="1">
        <v>41</v>
      </c>
      <c r="AJ4" s="1">
        <v>22</v>
      </c>
      <c r="AK4" s="1">
        <v>28.435000000000002</v>
      </c>
      <c r="AL4" s="1">
        <v>96</v>
      </c>
      <c r="AM4" s="1">
        <v>21</v>
      </c>
      <c r="AN4" s="1">
        <v>16</v>
      </c>
      <c r="AO4" s="1">
        <v>42</v>
      </c>
      <c r="AP4" s="1">
        <v>19</v>
      </c>
      <c r="AQ4" s="1">
        <v>24.557000000000002</v>
      </c>
      <c r="AR4" s="1">
        <v>78</v>
      </c>
      <c r="AS4" s="1">
        <v>20</v>
      </c>
      <c r="AT4" s="1">
        <v>23</v>
      </c>
      <c r="AU4" s="1">
        <v>44</v>
      </c>
      <c r="AV4" s="1">
        <v>19</v>
      </c>
      <c r="AW4" s="1">
        <v>24.943000000000001</v>
      </c>
      <c r="AX4" s="1">
        <v>86</v>
      </c>
      <c r="AY4" s="1">
        <v>22</v>
      </c>
      <c r="AZ4" s="1">
        <v>14</v>
      </c>
      <c r="BA4" s="1">
        <v>42</v>
      </c>
      <c r="BB4" s="1">
        <v>23</v>
      </c>
      <c r="BC4" s="1">
        <v>27.845000000000002</v>
      </c>
      <c r="BD4" s="1">
        <v>90</v>
      </c>
      <c r="BE4" s="1">
        <v>17</v>
      </c>
      <c r="BF4" s="1">
        <v>20</v>
      </c>
      <c r="BG4" s="1">
        <v>47</v>
      </c>
      <c r="BH4" s="1">
        <v>23</v>
      </c>
      <c r="BI4" s="1">
        <v>27.362000000000002</v>
      </c>
      <c r="BJ4" s="1">
        <v>75</v>
      </c>
      <c r="BK4" s="1">
        <v>15</v>
      </c>
      <c r="BL4" s="1">
        <v>16</v>
      </c>
      <c r="BM4" s="1">
        <v>42</v>
      </c>
      <c r="BN4" s="1">
        <v>18</v>
      </c>
      <c r="BO4" s="1">
        <v>26.413</v>
      </c>
      <c r="BP4" s="1">
        <v>78</v>
      </c>
      <c r="BQ4" s="1">
        <v>20</v>
      </c>
      <c r="BR4" s="1">
        <v>21</v>
      </c>
      <c r="BS4" s="1">
        <v>44</v>
      </c>
      <c r="BT4" s="1">
        <v>22</v>
      </c>
      <c r="BU4" s="1">
        <v>24.494</v>
      </c>
      <c r="BV4" s="1">
        <v>91</v>
      </c>
      <c r="BW4" s="1">
        <v>22</v>
      </c>
      <c r="BX4" s="1">
        <v>21</v>
      </c>
      <c r="BY4" s="1">
        <v>42</v>
      </c>
      <c r="BZ4" s="1">
        <v>19</v>
      </c>
      <c r="CA4" s="1">
        <v>24.662000000000003</v>
      </c>
      <c r="CB4" s="1">
        <v>75</v>
      </c>
      <c r="CC4" s="1">
        <v>10</v>
      </c>
      <c r="CD4" s="1">
        <v>23</v>
      </c>
      <c r="CE4" s="1">
        <v>43</v>
      </c>
      <c r="CF4" s="1">
        <v>22</v>
      </c>
      <c r="CG4" s="1">
        <v>26.904</v>
      </c>
      <c r="CH4" s="1">
        <v>77</v>
      </c>
      <c r="CI4" s="1">
        <v>14</v>
      </c>
      <c r="CJ4" s="1">
        <v>15</v>
      </c>
      <c r="CK4" s="1">
        <v>44</v>
      </c>
      <c r="CL4" s="1">
        <v>22</v>
      </c>
      <c r="CM4" s="1">
        <v>25.621000000000002</v>
      </c>
      <c r="CN4" s="1">
        <v>82</v>
      </c>
      <c r="CO4" s="1">
        <v>17</v>
      </c>
      <c r="CP4" s="1">
        <v>15</v>
      </c>
      <c r="CQ4" s="1">
        <v>46</v>
      </c>
      <c r="CR4" s="1">
        <v>23</v>
      </c>
      <c r="CS4" s="1">
        <v>27.284000000000002</v>
      </c>
      <c r="CT4" s="1">
        <v>79</v>
      </c>
      <c r="CU4" s="1">
        <v>14</v>
      </c>
      <c r="CV4" s="1">
        <v>18</v>
      </c>
      <c r="CW4" s="1">
        <v>44</v>
      </c>
      <c r="CX4" s="1">
        <v>21</v>
      </c>
      <c r="CY4" s="1">
        <v>26.621000000000002</v>
      </c>
      <c r="CZ4" s="1">
        <v>94</v>
      </c>
      <c r="DA4" s="1">
        <v>20</v>
      </c>
      <c r="DB4" s="1">
        <v>23</v>
      </c>
      <c r="DC4" s="1">
        <v>42</v>
      </c>
      <c r="DD4" s="1">
        <v>19</v>
      </c>
      <c r="DE4" s="1">
        <v>28.342000000000002</v>
      </c>
      <c r="DF4" s="1">
        <v>94</v>
      </c>
      <c r="DG4" s="1">
        <v>20</v>
      </c>
      <c r="DH4" s="1">
        <v>21</v>
      </c>
      <c r="DI4" s="1">
        <v>43</v>
      </c>
      <c r="DJ4" s="1">
        <v>21</v>
      </c>
      <c r="DK4" s="1">
        <v>26.857000000000003</v>
      </c>
      <c r="DL4" s="1">
        <v>99</v>
      </c>
      <c r="DM4" s="1">
        <v>19</v>
      </c>
      <c r="DN4" s="1">
        <v>25</v>
      </c>
      <c r="DO4" s="1">
        <v>44</v>
      </c>
      <c r="DP4" s="1">
        <v>22</v>
      </c>
      <c r="DQ4" s="1">
        <v>28.193000000000001</v>
      </c>
      <c r="DR4" s="1">
        <v>71</v>
      </c>
      <c r="DS4" s="1">
        <v>20</v>
      </c>
      <c r="DT4" s="1">
        <v>19</v>
      </c>
      <c r="DU4" s="1">
        <v>44</v>
      </c>
      <c r="DV4" s="1">
        <v>19</v>
      </c>
      <c r="DW4" s="1">
        <v>26.418000000000003</v>
      </c>
      <c r="DX4" s="1">
        <v>90</v>
      </c>
      <c r="DY4" s="1">
        <v>18</v>
      </c>
      <c r="DZ4" s="1">
        <v>18</v>
      </c>
      <c r="EA4" s="1">
        <v>38</v>
      </c>
      <c r="EB4" s="1">
        <v>20</v>
      </c>
      <c r="EC4" s="1">
        <v>25.653000000000002</v>
      </c>
      <c r="ED4" s="1">
        <v>120</v>
      </c>
      <c r="EE4" s="1">
        <v>19</v>
      </c>
      <c r="EF4" s="1">
        <v>17</v>
      </c>
      <c r="EG4" s="1">
        <v>41</v>
      </c>
      <c r="EH4" s="1">
        <v>19</v>
      </c>
      <c r="EI4" s="1">
        <v>27.429000000000002</v>
      </c>
      <c r="EJ4" s="1">
        <v>70</v>
      </c>
      <c r="EK4" s="1">
        <v>26</v>
      </c>
      <c r="EL4" s="1">
        <v>19</v>
      </c>
      <c r="EM4" s="1">
        <v>40</v>
      </c>
      <c r="EN4" s="1">
        <v>18</v>
      </c>
      <c r="EO4" s="1">
        <v>24.397000000000002</v>
      </c>
      <c r="EP4" s="1">
        <v>126</v>
      </c>
      <c r="EQ4" s="1">
        <v>19</v>
      </c>
      <c r="ER4" s="1">
        <v>25</v>
      </c>
      <c r="ES4" s="1">
        <v>42</v>
      </c>
      <c r="ET4" s="1">
        <v>18</v>
      </c>
      <c r="EU4" s="1">
        <v>30.943000000000001</v>
      </c>
      <c r="EV4" s="1">
        <v>126</v>
      </c>
      <c r="EW4" s="1">
        <v>20</v>
      </c>
      <c r="EX4" s="1">
        <v>26</v>
      </c>
      <c r="EY4" s="1">
        <v>45</v>
      </c>
      <c r="EZ4" s="1">
        <v>22</v>
      </c>
      <c r="FA4" s="1">
        <v>31.502000000000002</v>
      </c>
      <c r="FB4" s="1">
        <v>126</v>
      </c>
      <c r="FC4" s="1">
        <v>13</v>
      </c>
      <c r="FD4" s="1">
        <v>23</v>
      </c>
      <c r="FE4" s="1">
        <v>45</v>
      </c>
      <c r="FF4" s="1">
        <v>19</v>
      </c>
      <c r="FG4" s="1">
        <v>28.926000000000002</v>
      </c>
      <c r="FH4" s="1">
        <v>71</v>
      </c>
      <c r="FI4" s="1">
        <v>22</v>
      </c>
      <c r="FJ4" s="1">
        <v>17</v>
      </c>
      <c r="FK4" s="1">
        <v>43</v>
      </c>
      <c r="FL4" s="1">
        <v>23</v>
      </c>
      <c r="FM4" s="1">
        <v>27.792000000000002</v>
      </c>
      <c r="FN4" s="1">
        <v>68</v>
      </c>
      <c r="FO4" s="1">
        <v>17</v>
      </c>
      <c r="FP4" s="1">
        <v>19</v>
      </c>
      <c r="FQ4" s="1">
        <v>45</v>
      </c>
      <c r="FR4" s="1">
        <v>21</v>
      </c>
      <c r="FS4" s="1">
        <v>25.303000000000001</v>
      </c>
      <c r="FT4" s="1">
        <v>118</v>
      </c>
      <c r="FU4" s="1">
        <v>18</v>
      </c>
      <c r="FV4" s="1">
        <v>24</v>
      </c>
      <c r="FW4" s="1">
        <v>42</v>
      </c>
      <c r="FX4" s="1">
        <v>21</v>
      </c>
      <c r="FY4" s="1">
        <v>28.385000000000002</v>
      </c>
      <c r="FZ4" s="1">
        <v>75</v>
      </c>
      <c r="GA4" s="1">
        <v>19</v>
      </c>
      <c r="GB4" s="1">
        <v>21</v>
      </c>
      <c r="GC4" s="1">
        <v>46</v>
      </c>
      <c r="GD4" s="1">
        <v>19</v>
      </c>
      <c r="GE4" s="1">
        <v>26.369</v>
      </c>
      <c r="GF4" s="1">
        <v>84</v>
      </c>
      <c r="GG4" s="1">
        <v>21</v>
      </c>
      <c r="GH4" s="1">
        <v>21</v>
      </c>
      <c r="GI4" s="1">
        <v>42</v>
      </c>
      <c r="GJ4" s="1">
        <v>20</v>
      </c>
      <c r="GK4" s="1">
        <v>25.173999999999999</v>
      </c>
      <c r="GL4" s="1">
        <v>123</v>
      </c>
      <c r="GM4" s="1">
        <v>22</v>
      </c>
      <c r="GN4" s="1">
        <v>20</v>
      </c>
      <c r="GO4" s="1">
        <v>43</v>
      </c>
      <c r="GP4" s="1">
        <v>21</v>
      </c>
      <c r="GQ4" s="1">
        <v>27.73</v>
      </c>
      <c r="GR4" s="1">
        <v>87</v>
      </c>
      <c r="GS4" s="1">
        <v>16</v>
      </c>
      <c r="GT4" s="1">
        <v>19</v>
      </c>
      <c r="GU4" s="1">
        <v>40</v>
      </c>
      <c r="GV4" s="1">
        <v>21</v>
      </c>
      <c r="GW4" s="1">
        <v>26.481000000000002</v>
      </c>
      <c r="GX4" s="1">
        <v>117</v>
      </c>
      <c r="GY4" s="1">
        <v>23</v>
      </c>
      <c r="GZ4" s="1">
        <v>21</v>
      </c>
      <c r="HA4" s="1">
        <v>41</v>
      </c>
      <c r="HB4" s="1">
        <v>22</v>
      </c>
      <c r="HC4" s="1">
        <v>27.68</v>
      </c>
      <c r="HD4" s="1">
        <v>117</v>
      </c>
      <c r="HE4" s="1">
        <v>21</v>
      </c>
      <c r="HF4" s="1">
        <v>23</v>
      </c>
      <c r="HG4" s="1">
        <v>42</v>
      </c>
      <c r="HH4" s="1">
        <v>17</v>
      </c>
      <c r="HI4" s="1">
        <v>30.532</v>
      </c>
      <c r="HJ4" s="1">
        <v>84</v>
      </c>
      <c r="HK4" s="1">
        <v>12</v>
      </c>
      <c r="HL4" s="1">
        <v>21</v>
      </c>
      <c r="HM4" s="1">
        <v>44</v>
      </c>
      <c r="HN4" s="1">
        <v>23</v>
      </c>
      <c r="HO4" s="1">
        <v>27.246000000000002</v>
      </c>
      <c r="HP4" s="1">
        <v>97</v>
      </c>
      <c r="HQ4" s="1">
        <v>22</v>
      </c>
      <c r="HR4" s="1">
        <v>24</v>
      </c>
      <c r="HS4" s="1">
        <v>45</v>
      </c>
      <c r="HT4" s="1">
        <v>23</v>
      </c>
      <c r="HU4" s="1">
        <v>30.001000000000001</v>
      </c>
      <c r="HV4" s="1">
        <v>128</v>
      </c>
      <c r="HW4" s="1">
        <v>24</v>
      </c>
      <c r="HX4" s="1">
        <v>23</v>
      </c>
      <c r="HY4" s="1">
        <v>43</v>
      </c>
      <c r="HZ4" s="1">
        <v>22</v>
      </c>
      <c r="IA4" s="1">
        <v>29.538</v>
      </c>
      <c r="IB4" s="1">
        <v>109</v>
      </c>
      <c r="IC4" s="1">
        <v>20</v>
      </c>
      <c r="ID4" s="1">
        <v>21</v>
      </c>
      <c r="IE4" s="1">
        <v>45</v>
      </c>
      <c r="IF4" s="1">
        <v>19</v>
      </c>
      <c r="IG4" s="1">
        <v>27.346</v>
      </c>
      <c r="IH4" s="1">
        <v>118</v>
      </c>
      <c r="II4" s="1">
        <v>16</v>
      </c>
      <c r="IJ4" s="1">
        <v>25</v>
      </c>
      <c r="IK4" s="1">
        <v>42</v>
      </c>
      <c r="IL4" s="1">
        <v>19</v>
      </c>
      <c r="IM4" s="1">
        <v>27.664000000000001</v>
      </c>
      <c r="IN4" s="1">
        <v>83</v>
      </c>
      <c r="IO4" s="1">
        <v>20</v>
      </c>
      <c r="IP4" s="1">
        <v>21</v>
      </c>
      <c r="IQ4" s="1">
        <v>47</v>
      </c>
      <c r="IR4" s="1">
        <v>17</v>
      </c>
      <c r="IS4" s="1">
        <v>27.483000000000001</v>
      </c>
      <c r="IT4" s="1">
        <v>80</v>
      </c>
      <c r="IU4" s="1">
        <v>16</v>
      </c>
      <c r="IV4" s="1">
        <v>21</v>
      </c>
      <c r="IW4" s="1">
        <v>40</v>
      </c>
      <c r="IX4" s="1">
        <v>19</v>
      </c>
      <c r="IY4" s="1">
        <v>25.601000000000003</v>
      </c>
      <c r="IZ4" s="1">
        <v>113</v>
      </c>
      <c r="JA4" s="1">
        <v>25</v>
      </c>
      <c r="JB4" s="1">
        <v>23</v>
      </c>
      <c r="JC4" s="1">
        <v>45</v>
      </c>
      <c r="JD4" s="1">
        <v>20</v>
      </c>
      <c r="JE4" s="1">
        <v>29.068000000000001</v>
      </c>
      <c r="JF4" s="1">
        <v>90</v>
      </c>
      <c r="JG4" s="1">
        <v>15</v>
      </c>
      <c r="JH4" s="1">
        <v>24</v>
      </c>
      <c r="JI4" s="1">
        <v>43</v>
      </c>
      <c r="JJ4" s="1">
        <v>18</v>
      </c>
      <c r="JK4" s="1">
        <v>25.716000000000001</v>
      </c>
      <c r="JL4" s="1">
        <v>85</v>
      </c>
      <c r="JM4" s="1">
        <v>18</v>
      </c>
      <c r="JN4" s="1">
        <v>19</v>
      </c>
      <c r="JO4" s="1">
        <v>42</v>
      </c>
      <c r="JP4" s="1">
        <v>21</v>
      </c>
      <c r="JQ4" s="1">
        <v>26.481000000000002</v>
      </c>
      <c r="JR4" s="1">
        <v>75</v>
      </c>
      <c r="JS4" s="1">
        <v>17</v>
      </c>
      <c r="JT4" s="1">
        <v>20</v>
      </c>
      <c r="JU4" s="1">
        <v>43</v>
      </c>
      <c r="JV4" s="1">
        <v>18</v>
      </c>
      <c r="JW4" s="1">
        <v>25.806000000000001</v>
      </c>
      <c r="JX4" s="1">
        <v>103</v>
      </c>
      <c r="JY4" s="1">
        <v>19</v>
      </c>
      <c r="JZ4" s="1">
        <v>20</v>
      </c>
      <c r="KA4" s="1">
        <v>43</v>
      </c>
      <c r="KB4" s="1">
        <v>15</v>
      </c>
      <c r="KC4" s="1">
        <v>27.173999999999999</v>
      </c>
      <c r="KD4" s="1">
        <v>103</v>
      </c>
      <c r="KE4" s="1">
        <v>16</v>
      </c>
      <c r="KF4" s="1">
        <v>19</v>
      </c>
      <c r="KG4" s="1">
        <v>42</v>
      </c>
      <c r="KH4" s="1">
        <v>18</v>
      </c>
      <c r="KI4" s="1">
        <v>27.288</v>
      </c>
      <c r="KJ4" s="1">
        <v>100</v>
      </c>
      <c r="KK4" s="1">
        <v>20</v>
      </c>
      <c r="KL4" s="1">
        <v>20</v>
      </c>
      <c r="KM4" s="1">
        <v>41</v>
      </c>
      <c r="KN4" s="1">
        <v>15</v>
      </c>
      <c r="KO4" s="1">
        <v>27.144000000000002</v>
      </c>
      <c r="KP4" s="1">
        <v>84</v>
      </c>
      <c r="KQ4" s="1">
        <v>12</v>
      </c>
      <c r="KR4" s="1">
        <v>21</v>
      </c>
      <c r="KS4" s="1">
        <v>41</v>
      </c>
      <c r="KT4" s="1">
        <v>22</v>
      </c>
      <c r="KU4" s="1">
        <v>25.882000000000001</v>
      </c>
      <c r="KV4" s="1">
        <v>68</v>
      </c>
      <c r="KW4" s="1">
        <v>7</v>
      </c>
      <c r="KX4" s="1">
        <v>18</v>
      </c>
      <c r="KY4" s="1">
        <v>42</v>
      </c>
      <c r="KZ4" s="1">
        <v>18</v>
      </c>
      <c r="LA4" s="1">
        <v>25.28</v>
      </c>
      <c r="LB4" s="1">
        <v>119</v>
      </c>
      <c r="LC4" s="1">
        <v>16</v>
      </c>
      <c r="LD4" s="1">
        <v>20</v>
      </c>
      <c r="LE4" s="1">
        <v>45</v>
      </c>
      <c r="LF4" s="1">
        <v>23</v>
      </c>
      <c r="LG4" s="1">
        <v>29.866</v>
      </c>
      <c r="LH4" s="1">
        <v>121</v>
      </c>
      <c r="LI4" s="1">
        <v>18</v>
      </c>
      <c r="LJ4" s="1">
        <v>20</v>
      </c>
      <c r="LK4" s="1">
        <v>43</v>
      </c>
      <c r="LL4" s="1">
        <v>21</v>
      </c>
      <c r="LM4" s="1">
        <v>30.208000000000002</v>
      </c>
      <c r="LN4" s="1">
        <v>109</v>
      </c>
      <c r="LO4" s="1">
        <v>8</v>
      </c>
      <c r="LP4" s="1">
        <v>18</v>
      </c>
      <c r="LQ4" s="1">
        <v>41</v>
      </c>
      <c r="LR4" s="1">
        <v>17</v>
      </c>
      <c r="LS4" s="1">
        <v>28.867000000000001</v>
      </c>
      <c r="LT4" s="1">
        <v>119</v>
      </c>
      <c r="LU4" s="1">
        <v>27</v>
      </c>
      <c r="LV4" s="1">
        <v>21</v>
      </c>
      <c r="LW4" s="1">
        <v>44</v>
      </c>
      <c r="LX4" s="1">
        <v>20</v>
      </c>
      <c r="LY4" s="1">
        <v>28.639000000000003</v>
      </c>
      <c r="LZ4" s="1">
        <v>78</v>
      </c>
      <c r="MA4" s="1">
        <v>18</v>
      </c>
      <c r="MB4" s="1">
        <v>22</v>
      </c>
      <c r="MC4" s="1">
        <v>43</v>
      </c>
      <c r="MD4" s="1">
        <v>18</v>
      </c>
      <c r="ME4" s="1">
        <v>26.249000000000002</v>
      </c>
      <c r="MF4" s="1">
        <v>66</v>
      </c>
      <c r="MG4" s="1">
        <v>24</v>
      </c>
      <c r="MH4" s="1">
        <v>18</v>
      </c>
      <c r="MI4" s="1">
        <v>40</v>
      </c>
      <c r="MJ4" s="1">
        <v>20</v>
      </c>
      <c r="MK4" s="1">
        <v>25.046000000000003</v>
      </c>
      <c r="ML4" s="1">
        <v>103</v>
      </c>
      <c r="MM4" s="1">
        <v>19</v>
      </c>
      <c r="MN4" s="1">
        <v>18</v>
      </c>
      <c r="MO4" s="1">
        <v>43</v>
      </c>
      <c r="MP4" s="1">
        <v>19</v>
      </c>
      <c r="MQ4" s="1">
        <v>26.926000000000002</v>
      </c>
      <c r="MR4" s="1">
        <v>103</v>
      </c>
      <c r="MS4" s="1">
        <v>26</v>
      </c>
      <c r="MT4" s="1">
        <v>18</v>
      </c>
      <c r="MU4" s="1">
        <v>41</v>
      </c>
      <c r="MV4" s="1">
        <v>21</v>
      </c>
      <c r="MW4" s="1">
        <v>28.787000000000003</v>
      </c>
    </row>
    <row r="5" spans="1:361">
      <c r="A5" s="1">
        <v>2</v>
      </c>
      <c r="B5" s="1">
        <v>101</v>
      </c>
      <c r="C5" s="1">
        <v>14</v>
      </c>
      <c r="D5" s="1">
        <v>20</v>
      </c>
      <c r="E5" s="1">
        <v>41</v>
      </c>
      <c r="F5" s="1">
        <v>20</v>
      </c>
      <c r="G5" s="1">
        <v>28.413</v>
      </c>
      <c r="H5" s="1">
        <v>82</v>
      </c>
      <c r="I5" s="1">
        <v>19</v>
      </c>
      <c r="J5" s="1">
        <v>20</v>
      </c>
      <c r="K5" s="1">
        <v>45</v>
      </c>
      <c r="L5" s="1">
        <v>22</v>
      </c>
      <c r="M5" s="1">
        <v>24.462</v>
      </c>
      <c r="N5" s="1">
        <v>103</v>
      </c>
      <c r="O5" s="1">
        <v>15</v>
      </c>
      <c r="P5" s="1">
        <v>22</v>
      </c>
      <c r="Q5" s="1">
        <v>40</v>
      </c>
      <c r="R5" s="1">
        <v>18</v>
      </c>
      <c r="S5" s="1">
        <v>27.129000000000001</v>
      </c>
      <c r="T5" s="1">
        <v>74</v>
      </c>
      <c r="U5" s="1">
        <v>18</v>
      </c>
      <c r="V5" s="1">
        <v>16</v>
      </c>
      <c r="W5" s="1">
        <v>43</v>
      </c>
      <c r="X5" s="1">
        <v>21</v>
      </c>
      <c r="Y5" s="1">
        <v>25.274000000000001</v>
      </c>
      <c r="Z5" s="1">
        <v>115</v>
      </c>
      <c r="AA5" s="1">
        <v>31</v>
      </c>
      <c r="AB5" s="1">
        <v>21</v>
      </c>
      <c r="AC5" s="1">
        <v>44</v>
      </c>
      <c r="AD5" s="1">
        <v>24</v>
      </c>
      <c r="AE5" s="1">
        <v>26.989000000000001</v>
      </c>
      <c r="AF5" s="1">
        <v>76</v>
      </c>
      <c r="AG5" s="1">
        <v>17</v>
      </c>
      <c r="AH5" s="1">
        <v>16</v>
      </c>
      <c r="AI5" s="1">
        <v>45</v>
      </c>
      <c r="AJ5" s="1">
        <v>24</v>
      </c>
      <c r="AK5" s="1">
        <v>26.258000000000003</v>
      </c>
      <c r="AL5" s="1">
        <v>107</v>
      </c>
      <c r="AM5" s="1">
        <v>15</v>
      </c>
      <c r="AN5" s="1">
        <v>29</v>
      </c>
      <c r="AO5" s="1">
        <v>45</v>
      </c>
      <c r="AP5" s="1">
        <v>21</v>
      </c>
      <c r="AQ5" s="1">
        <v>27.662000000000003</v>
      </c>
      <c r="AR5" s="1">
        <v>78</v>
      </c>
      <c r="AS5" s="1">
        <v>16</v>
      </c>
      <c r="AT5" s="1">
        <v>22</v>
      </c>
      <c r="AU5" s="1">
        <v>44</v>
      </c>
      <c r="AV5" s="1">
        <v>23</v>
      </c>
      <c r="AW5" s="1">
        <v>25.433</v>
      </c>
      <c r="AX5" s="1">
        <v>79</v>
      </c>
      <c r="AY5" s="1">
        <v>21</v>
      </c>
      <c r="AZ5" s="1">
        <v>18</v>
      </c>
      <c r="BA5" s="1">
        <v>40</v>
      </c>
      <c r="BB5" s="1">
        <v>19</v>
      </c>
      <c r="BC5" s="1">
        <v>26.119</v>
      </c>
      <c r="BD5" s="1">
        <v>110</v>
      </c>
      <c r="BE5" s="1">
        <v>20</v>
      </c>
      <c r="BF5" s="1">
        <v>23</v>
      </c>
      <c r="BG5" s="1">
        <v>46</v>
      </c>
      <c r="BH5" s="1">
        <v>20</v>
      </c>
      <c r="BI5" s="1">
        <v>27.498000000000001</v>
      </c>
      <c r="BJ5" s="1">
        <v>121</v>
      </c>
      <c r="BK5" s="1">
        <v>29</v>
      </c>
      <c r="BL5" s="1">
        <v>22</v>
      </c>
      <c r="BM5" s="1">
        <v>44</v>
      </c>
      <c r="BN5" s="1">
        <v>18</v>
      </c>
      <c r="BO5" s="1">
        <v>28.649000000000001</v>
      </c>
      <c r="BP5" s="1">
        <v>72</v>
      </c>
      <c r="BQ5" s="1">
        <v>10</v>
      </c>
      <c r="BR5" s="1">
        <v>16</v>
      </c>
      <c r="BS5" s="1">
        <v>43</v>
      </c>
      <c r="BT5" s="1">
        <v>19</v>
      </c>
      <c r="BU5" s="1">
        <v>24.989000000000001</v>
      </c>
      <c r="BV5" s="1">
        <v>73</v>
      </c>
      <c r="BW5" s="1">
        <v>12</v>
      </c>
      <c r="BX5" s="1">
        <v>15</v>
      </c>
      <c r="BY5" s="1">
        <v>43</v>
      </c>
      <c r="BZ5" s="1">
        <v>22</v>
      </c>
      <c r="CA5" s="1">
        <v>25.985000000000003</v>
      </c>
      <c r="CB5" s="1">
        <v>114</v>
      </c>
      <c r="CC5" s="1">
        <v>21</v>
      </c>
      <c r="CD5" s="1">
        <v>19</v>
      </c>
      <c r="CE5" s="1">
        <v>43</v>
      </c>
      <c r="CF5" s="1">
        <v>24</v>
      </c>
      <c r="CG5" s="1">
        <v>29.723000000000003</v>
      </c>
      <c r="CH5" s="1">
        <v>115</v>
      </c>
      <c r="CI5" s="1">
        <v>16</v>
      </c>
      <c r="CJ5" s="1">
        <v>25</v>
      </c>
      <c r="CK5" s="1">
        <v>44</v>
      </c>
      <c r="CL5" s="1">
        <v>19</v>
      </c>
      <c r="CM5" s="1">
        <v>27.891999999999999</v>
      </c>
      <c r="CN5" s="1">
        <v>126</v>
      </c>
      <c r="CO5" s="1">
        <v>19</v>
      </c>
      <c r="CP5" s="1">
        <v>22</v>
      </c>
      <c r="CQ5" s="1">
        <v>42</v>
      </c>
      <c r="CR5" s="1">
        <v>14</v>
      </c>
      <c r="CS5" s="1">
        <v>29.16</v>
      </c>
      <c r="CT5" s="1">
        <v>87</v>
      </c>
      <c r="CU5" s="1">
        <v>18</v>
      </c>
      <c r="CV5" s="1">
        <v>23</v>
      </c>
      <c r="CW5" s="1">
        <v>44</v>
      </c>
      <c r="CX5" s="1">
        <v>18</v>
      </c>
      <c r="CY5" s="1">
        <v>26.724</v>
      </c>
      <c r="CZ5" s="1">
        <v>118</v>
      </c>
      <c r="DA5" s="1">
        <v>20</v>
      </c>
      <c r="DB5" s="1">
        <v>23</v>
      </c>
      <c r="DC5" s="1">
        <v>45</v>
      </c>
      <c r="DD5" s="1">
        <v>21</v>
      </c>
      <c r="DE5" s="1">
        <v>29.456</v>
      </c>
      <c r="DF5" s="1">
        <v>109</v>
      </c>
      <c r="DG5" s="1">
        <v>17</v>
      </c>
      <c r="DH5" s="1">
        <v>21</v>
      </c>
      <c r="DI5" s="1">
        <v>40</v>
      </c>
      <c r="DJ5" s="1">
        <v>21</v>
      </c>
      <c r="DK5" s="1">
        <v>28.48</v>
      </c>
      <c r="DL5" s="1">
        <v>80</v>
      </c>
      <c r="DM5" s="1">
        <v>17</v>
      </c>
      <c r="DN5" s="1">
        <v>18</v>
      </c>
      <c r="DO5" s="1">
        <v>42</v>
      </c>
      <c r="DP5" s="1">
        <v>19</v>
      </c>
      <c r="DQ5" s="1">
        <v>26.637</v>
      </c>
      <c r="DR5" s="1">
        <v>101</v>
      </c>
      <c r="DS5" s="1">
        <v>16</v>
      </c>
      <c r="DT5" s="1">
        <v>20</v>
      </c>
      <c r="DU5" s="1">
        <v>46</v>
      </c>
      <c r="DV5" s="1">
        <v>19</v>
      </c>
      <c r="DW5" s="1">
        <v>29.583000000000002</v>
      </c>
      <c r="DX5" s="1">
        <v>82</v>
      </c>
      <c r="DY5" s="1">
        <v>21</v>
      </c>
      <c r="DZ5" s="1">
        <v>19</v>
      </c>
      <c r="EA5" s="1">
        <v>41</v>
      </c>
      <c r="EB5" s="1">
        <v>18</v>
      </c>
      <c r="EC5" s="1">
        <v>26.235000000000003</v>
      </c>
      <c r="ED5" s="1">
        <v>73</v>
      </c>
      <c r="EE5" s="1">
        <v>21</v>
      </c>
      <c r="EF5" s="1">
        <v>18</v>
      </c>
      <c r="EG5" s="1">
        <v>41</v>
      </c>
      <c r="EH5" s="1">
        <v>23</v>
      </c>
      <c r="EI5" s="1">
        <v>24.801000000000002</v>
      </c>
      <c r="EJ5" s="1">
        <v>114</v>
      </c>
      <c r="EK5" s="1">
        <v>19</v>
      </c>
      <c r="EL5" s="1">
        <v>21</v>
      </c>
      <c r="EM5" s="1">
        <v>42</v>
      </c>
      <c r="EN5" s="1">
        <v>23</v>
      </c>
      <c r="EO5" s="1">
        <v>27.735000000000003</v>
      </c>
      <c r="EP5" s="1">
        <v>75</v>
      </c>
      <c r="EQ5" s="1">
        <v>16</v>
      </c>
      <c r="ER5" s="1">
        <v>17</v>
      </c>
      <c r="ES5" s="1">
        <v>46</v>
      </c>
      <c r="ET5" s="1">
        <v>21</v>
      </c>
      <c r="EU5" s="1">
        <v>28.941000000000003</v>
      </c>
      <c r="EV5" s="1">
        <v>86</v>
      </c>
      <c r="EW5" s="1">
        <v>25</v>
      </c>
      <c r="EX5" s="1">
        <v>20</v>
      </c>
      <c r="EY5" s="1">
        <v>41</v>
      </c>
      <c r="EZ5" s="1">
        <v>19</v>
      </c>
      <c r="FA5" s="1">
        <v>25.215</v>
      </c>
      <c r="FB5" s="1">
        <v>117</v>
      </c>
      <c r="FC5" s="1">
        <v>17</v>
      </c>
      <c r="FD5" s="1">
        <v>28</v>
      </c>
      <c r="FE5" s="1">
        <v>41</v>
      </c>
      <c r="FF5" s="1">
        <v>24</v>
      </c>
      <c r="FG5" s="1">
        <v>28.619</v>
      </c>
      <c r="FH5" s="1">
        <v>108</v>
      </c>
      <c r="FI5" s="1">
        <v>25</v>
      </c>
      <c r="FJ5" s="1">
        <v>23</v>
      </c>
      <c r="FK5" s="1">
        <v>43</v>
      </c>
      <c r="FL5" s="1">
        <v>20</v>
      </c>
      <c r="FM5" s="1">
        <v>27.970000000000002</v>
      </c>
      <c r="FN5" s="1">
        <v>89</v>
      </c>
      <c r="FO5" s="1">
        <v>19</v>
      </c>
      <c r="FP5" s="1">
        <v>19</v>
      </c>
      <c r="FQ5" s="1">
        <v>41</v>
      </c>
      <c r="FR5" s="1">
        <v>20</v>
      </c>
      <c r="FS5" s="1">
        <v>27.301000000000002</v>
      </c>
      <c r="FT5" s="1">
        <v>70</v>
      </c>
      <c r="FU5" s="1">
        <v>20</v>
      </c>
      <c r="FV5" s="1">
        <v>14</v>
      </c>
      <c r="FW5" s="1">
        <v>46</v>
      </c>
      <c r="FX5" s="1">
        <v>23</v>
      </c>
      <c r="FY5" s="1">
        <v>28.278000000000002</v>
      </c>
      <c r="FZ5" s="1">
        <v>101</v>
      </c>
      <c r="GA5" s="1">
        <v>17</v>
      </c>
      <c r="GB5" s="1">
        <v>22</v>
      </c>
      <c r="GC5" s="1">
        <v>45</v>
      </c>
      <c r="GD5" s="1">
        <v>19</v>
      </c>
      <c r="GE5" s="1">
        <v>27.364000000000001</v>
      </c>
      <c r="GF5" s="1">
        <v>112</v>
      </c>
      <c r="GG5" s="1">
        <v>19</v>
      </c>
      <c r="GH5" s="1">
        <v>25</v>
      </c>
      <c r="GI5" s="1">
        <v>41</v>
      </c>
      <c r="GJ5" s="1">
        <v>15</v>
      </c>
      <c r="GK5" s="1">
        <v>27.257000000000001</v>
      </c>
      <c r="GL5" s="1">
        <v>93</v>
      </c>
      <c r="GM5" s="1">
        <v>17</v>
      </c>
      <c r="GN5" s="1">
        <v>23</v>
      </c>
      <c r="GO5" s="1">
        <v>44</v>
      </c>
      <c r="GP5" s="1">
        <v>23</v>
      </c>
      <c r="GQ5" s="1">
        <v>26.740000000000002</v>
      </c>
      <c r="GR5" s="1">
        <v>64</v>
      </c>
      <c r="GS5" s="1">
        <v>11</v>
      </c>
      <c r="GT5" s="1">
        <v>12</v>
      </c>
      <c r="GU5" s="1">
        <v>40</v>
      </c>
      <c r="GV5" s="1">
        <v>21</v>
      </c>
      <c r="GW5" s="1">
        <v>24.76</v>
      </c>
      <c r="GX5" s="1">
        <v>85</v>
      </c>
      <c r="GY5" s="1">
        <v>14</v>
      </c>
      <c r="GZ5" s="1">
        <v>20</v>
      </c>
      <c r="HA5" s="1">
        <v>42</v>
      </c>
      <c r="HB5" s="1">
        <v>22</v>
      </c>
      <c r="HC5" s="1">
        <v>25.743000000000002</v>
      </c>
      <c r="HD5" s="1">
        <v>106</v>
      </c>
      <c r="HE5" s="1">
        <v>16</v>
      </c>
      <c r="HF5" s="1">
        <v>21</v>
      </c>
      <c r="HG5" s="1">
        <v>42</v>
      </c>
      <c r="HH5" s="1">
        <v>17</v>
      </c>
      <c r="HI5" s="1">
        <v>27.205000000000002</v>
      </c>
      <c r="HJ5" s="1">
        <v>107</v>
      </c>
      <c r="HK5" s="1">
        <v>20</v>
      </c>
      <c r="HL5" s="1">
        <v>27</v>
      </c>
      <c r="HM5" s="1">
        <v>42</v>
      </c>
      <c r="HN5" s="1">
        <v>24</v>
      </c>
      <c r="HO5" s="1">
        <v>27.05</v>
      </c>
      <c r="HP5" s="1">
        <v>88</v>
      </c>
      <c r="HQ5" s="1">
        <v>15</v>
      </c>
      <c r="HR5" s="1">
        <v>18</v>
      </c>
      <c r="HS5" s="1">
        <v>43</v>
      </c>
      <c r="HT5" s="1">
        <v>18</v>
      </c>
      <c r="HU5" s="1">
        <v>25.93</v>
      </c>
      <c r="HV5" s="1">
        <v>79</v>
      </c>
      <c r="HW5" s="1">
        <v>18</v>
      </c>
      <c r="HX5" s="1">
        <v>18</v>
      </c>
      <c r="HY5" s="1">
        <v>43</v>
      </c>
      <c r="HZ5" s="1">
        <v>18</v>
      </c>
      <c r="IA5" s="1">
        <v>27.435000000000002</v>
      </c>
      <c r="IB5" s="1">
        <v>70</v>
      </c>
      <c r="IC5" s="1">
        <v>18</v>
      </c>
      <c r="ID5" s="1">
        <v>24</v>
      </c>
      <c r="IE5" s="1">
        <v>43</v>
      </c>
      <c r="IF5" s="1">
        <v>20</v>
      </c>
      <c r="IG5" s="1">
        <v>25.641000000000002</v>
      </c>
      <c r="IH5" s="1">
        <v>91</v>
      </c>
      <c r="II5" s="1">
        <v>20</v>
      </c>
      <c r="IJ5" s="1">
        <v>23</v>
      </c>
      <c r="IK5" s="1">
        <v>41</v>
      </c>
      <c r="IL5" s="1">
        <v>21</v>
      </c>
      <c r="IM5" s="1">
        <v>26.395</v>
      </c>
      <c r="IN5" s="1">
        <v>122</v>
      </c>
      <c r="IO5" s="1">
        <v>8</v>
      </c>
      <c r="IP5" s="1">
        <v>26</v>
      </c>
      <c r="IQ5" s="1">
        <v>40</v>
      </c>
      <c r="IR5" s="1">
        <v>22</v>
      </c>
      <c r="IS5" s="1">
        <v>28.844000000000001</v>
      </c>
      <c r="IT5" s="1">
        <v>123</v>
      </c>
      <c r="IU5" s="1">
        <v>11</v>
      </c>
      <c r="IV5" s="1">
        <v>27</v>
      </c>
      <c r="IW5" s="1">
        <v>44</v>
      </c>
      <c r="IX5" s="1">
        <v>15</v>
      </c>
      <c r="IY5" s="1">
        <v>28.847000000000001</v>
      </c>
      <c r="IZ5" s="1">
        <v>84</v>
      </c>
      <c r="JA5" s="1">
        <v>18</v>
      </c>
      <c r="JB5" s="1">
        <v>20</v>
      </c>
      <c r="JC5" s="1">
        <v>44</v>
      </c>
      <c r="JD5" s="1">
        <v>22</v>
      </c>
      <c r="JE5" s="1">
        <v>26.902000000000001</v>
      </c>
      <c r="JF5" s="1">
        <v>125</v>
      </c>
      <c r="JG5" s="1">
        <v>27</v>
      </c>
      <c r="JH5" s="1">
        <v>23</v>
      </c>
      <c r="JI5" s="1">
        <v>46</v>
      </c>
      <c r="JJ5" s="1">
        <v>22</v>
      </c>
      <c r="JK5" s="1">
        <v>29.721</v>
      </c>
      <c r="JL5" s="1">
        <v>116</v>
      </c>
      <c r="JM5" s="1">
        <v>26</v>
      </c>
      <c r="JN5" s="1">
        <v>24</v>
      </c>
      <c r="JO5" s="1">
        <v>39</v>
      </c>
      <c r="JP5" s="1">
        <v>20</v>
      </c>
      <c r="JQ5" s="1">
        <v>28.32</v>
      </c>
      <c r="JR5" s="1">
        <v>67</v>
      </c>
      <c r="JS5" s="1">
        <v>19</v>
      </c>
      <c r="JT5" s="1">
        <v>17</v>
      </c>
      <c r="JU5" s="1">
        <v>39</v>
      </c>
      <c r="JV5" s="1">
        <v>18</v>
      </c>
      <c r="JW5" s="1">
        <v>24.046000000000003</v>
      </c>
      <c r="JX5" s="1">
        <v>68</v>
      </c>
      <c r="JY5" s="1">
        <v>17</v>
      </c>
      <c r="JZ5" s="1">
        <v>19</v>
      </c>
      <c r="KA5" s="1">
        <v>43</v>
      </c>
      <c r="KB5" s="1">
        <v>19</v>
      </c>
      <c r="KC5" s="1">
        <v>24.14</v>
      </c>
      <c r="KD5" s="1">
        <v>89</v>
      </c>
      <c r="KE5" s="1">
        <v>16</v>
      </c>
      <c r="KF5" s="1">
        <v>22</v>
      </c>
      <c r="KG5" s="1">
        <v>41</v>
      </c>
      <c r="KH5" s="1">
        <v>21</v>
      </c>
      <c r="KI5" s="1">
        <v>25.546000000000003</v>
      </c>
      <c r="KJ5" s="1">
        <v>90</v>
      </c>
      <c r="KK5" s="1">
        <v>17</v>
      </c>
      <c r="KL5" s="1">
        <v>22</v>
      </c>
      <c r="KM5" s="1">
        <v>45</v>
      </c>
      <c r="KN5" s="1">
        <v>18</v>
      </c>
      <c r="KO5" s="1">
        <v>27.022000000000002</v>
      </c>
      <c r="KP5" s="1">
        <v>81</v>
      </c>
      <c r="KQ5" s="1">
        <v>24</v>
      </c>
      <c r="KR5" s="1">
        <v>18</v>
      </c>
      <c r="KS5" s="1">
        <v>40</v>
      </c>
      <c r="KT5" s="1">
        <v>17</v>
      </c>
      <c r="KU5" s="1">
        <v>26.006</v>
      </c>
      <c r="KV5" s="1">
        <v>102</v>
      </c>
      <c r="KW5" s="1">
        <v>23</v>
      </c>
      <c r="KX5" s="1">
        <v>28</v>
      </c>
      <c r="KY5" s="1">
        <v>43</v>
      </c>
      <c r="KZ5" s="1">
        <v>17</v>
      </c>
      <c r="LA5" s="1">
        <v>27.143000000000001</v>
      </c>
      <c r="LB5" s="1">
        <v>63</v>
      </c>
      <c r="LC5" s="1">
        <v>18</v>
      </c>
      <c r="LD5" s="1">
        <v>16</v>
      </c>
      <c r="LE5" s="1">
        <v>42</v>
      </c>
      <c r="LF5" s="1">
        <v>22</v>
      </c>
      <c r="LG5" s="1">
        <v>25.812000000000001</v>
      </c>
      <c r="LH5" s="1">
        <v>64</v>
      </c>
      <c r="LI5" s="1">
        <v>22</v>
      </c>
      <c r="LJ5" s="1">
        <v>17</v>
      </c>
      <c r="LK5" s="1">
        <v>43</v>
      </c>
      <c r="LL5" s="1">
        <v>25</v>
      </c>
      <c r="LM5" s="1">
        <v>24.788</v>
      </c>
      <c r="LN5" s="1">
        <v>95</v>
      </c>
      <c r="LO5" s="1">
        <v>12</v>
      </c>
      <c r="LP5" s="1">
        <v>21</v>
      </c>
      <c r="LQ5" s="1">
        <v>41</v>
      </c>
      <c r="LR5" s="1">
        <v>18</v>
      </c>
      <c r="LS5" s="1">
        <v>26.018000000000001</v>
      </c>
      <c r="LT5" s="1">
        <v>116</v>
      </c>
      <c r="LU5" s="1">
        <v>23</v>
      </c>
      <c r="LV5" s="1">
        <v>20</v>
      </c>
      <c r="LW5" s="1">
        <v>41</v>
      </c>
      <c r="LX5" s="1">
        <v>22</v>
      </c>
      <c r="LY5" s="1">
        <v>27.645</v>
      </c>
      <c r="LZ5" s="1">
        <v>107</v>
      </c>
      <c r="MA5" s="1">
        <v>19</v>
      </c>
      <c r="MB5" s="1">
        <v>22</v>
      </c>
      <c r="MC5" s="1">
        <v>43</v>
      </c>
      <c r="MD5" s="1">
        <v>18</v>
      </c>
      <c r="ME5" s="1">
        <v>26.702000000000002</v>
      </c>
      <c r="MF5" s="1">
        <v>128</v>
      </c>
      <c r="MG5" s="1">
        <v>23</v>
      </c>
      <c r="MH5" s="1">
        <v>24</v>
      </c>
      <c r="MI5" s="1">
        <v>47</v>
      </c>
      <c r="MJ5" s="1">
        <v>18</v>
      </c>
      <c r="MK5" s="1">
        <v>29.465</v>
      </c>
      <c r="ML5" s="1">
        <v>109</v>
      </c>
      <c r="MM5" s="1">
        <v>24</v>
      </c>
      <c r="MN5" s="1">
        <v>25</v>
      </c>
      <c r="MO5" s="1">
        <v>43</v>
      </c>
      <c r="MP5" s="1">
        <v>22</v>
      </c>
      <c r="MQ5" s="1">
        <v>29.673999999999999</v>
      </c>
      <c r="MR5" s="1">
        <v>90</v>
      </c>
      <c r="MS5" s="1">
        <v>27</v>
      </c>
      <c r="MT5" s="1">
        <v>21</v>
      </c>
      <c r="MU5" s="1">
        <v>42</v>
      </c>
      <c r="MV5" s="1">
        <v>18</v>
      </c>
      <c r="MW5" s="1">
        <v>26.369</v>
      </c>
    </row>
    <row r="6" spans="1:361">
      <c r="A6" s="1">
        <v>3</v>
      </c>
      <c r="B6" s="1">
        <v>108</v>
      </c>
      <c r="C6" s="1">
        <v>20</v>
      </c>
      <c r="D6" s="1">
        <v>24</v>
      </c>
      <c r="E6" s="1">
        <v>43</v>
      </c>
      <c r="F6" s="1">
        <v>18</v>
      </c>
      <c r="G6" s="1">
        <v>27.782</v>
      </c>
      <c r="H6" s="1">
        <v>110</v>
      </c>
      <c r="I6" s="1">
        <v>21</v>
      </c>
      <c r="J6" s="1">
        <v>26</v>
      </c>
      <c r="K6" s="1">
        <v>42</v>
      </c>
      <c r="L6" s="1">
        <v>17</v>
      </c>
      <c r="M6" s="1">
        <v>27.014000000000003</v>
      </c>
      <c r="N6" s="1">
        <v>118</v>
      </c>
      <c r="O6" s="1">
        <v>6</v>
      </c>
      <c r="P6" s="1">
        <v>22</v>
      </c>
      <c r="Q6" s="1">
        <v>43</v>
      </c>
      <c r="R6" s="1">
        <v>20</v>
      </c>
      <c r="S6" s="1">
        <v>28.154</v>
      </c>
      <c r="T6" s="1">
        <v>75</v>
      </c>
      <c r="U6" s="1">
        <v>18</v>
      </c>
      <c r="V6" s="1">
        <v>20</v>
      </c>
      <c r="W6" s="1">
        <v>44</v>
      </c>
      <c r="X6" s="1">
        <v>19</v>
      </c>
      <c r="Y6" s="1">
        <v>24.838000000000001</v>
      </c>
      <c r="Z6" s="1">
        <v>93</v>
      </c>
      <c r="AA6" s="1">
        <v>18</v>
      </c>
      <c r="AB6" s="1">
        <v>22</v>
      </c>
      <c r="AC6" s="1">
        <v>41</v>
      </c>
      <c r="AD6" s="1">
        <v>22</v>
      </c>
      <c r="AE6" s="1">
        <v>26.344000000000001</v>
      </c>
      <c r="AF6" s="1">
        <v>81</v>
      </c>
      <c r="AG6" s="1">
        <v>12</v>
      </c>
      <c r="AH6" s="1">
        <v>19</v>
      </c>
      <c r="AI6" s="1">
        <v>40</v>
      </c>
      <c r="AJ6" s="1">
        <v>18</v>
      </c>
      <c r="AK6" s="1">
        <v>23.524000000000001</v>
      </c>
      <c r="AL6" s="1">
        <v>105</v>
      </c>
      <c r="AM6" s="1">
        <v>17</v>
      </c>
      <c r="AN6" s="1">
        <v>19</v>
      </c>
      <c r="AO6" s="1">
        <v>44</v>
      </c>
      <c r="AP6" s="1">
        <v>21</v>
      </c>
      <c r="AQ6" s="1">
        <v>29.817</v>
      </c>
      <c r="AR6" s="1">
        <v>72</v>
      </c>
      <c r="AS6" s="1">
        <v>22</v>
      </c>
      <c r="AT6" s="1">
        <v>22</v>
      </c>
      <c r="AU6" s="1">
        <v>46</v>
      </c>
      <c r="AV6" s="1">
        <v>16</v>
      </c>
      <c r="AW6" s="1">
        <v>25.708000000000002</v>
      </c>
      <c r="AX6" s="1">
        <v>88</v>
      </c>
      <c r="AY6" s="1">
        <v>16</v>
      </c>
      <c r="AZ6" s="1">
        <v>18</v>
      </c>
      <c r="BA6" s="1">
        <v>42</v>
      </c>
      <c r="BB6" s="1">
        <v>22</v>
      </c>
      <c r="BC6" s="1">
        <v>24.659000000000002</v>
      </c>
      <c r="BD6" s="1">
        <v>111</v>
      </c>
      <c r="BE6" s="1">
        <v>20</v>
      </c>
      <c r="BF6" s="1">
        <v>20</v>
      </c>
      <c r="BG6" s="1">
        <v>43</v>
      </c>
      <c r="BH6" s="1">
        <v>21</v>
      </c>
      <c r="BI6" s="1">
        <v>26.988</v>
      </c>
      <c r="BJ6" s="1">
        <v>105</v>
      </c>
      <c r="BK6" s="1">
        <v>30</v>
      </c>
      <c r="BL6" s="1">
        <v>22</v>
      </c>
      <c r="BM6" s="1">
        <v>44</v>
      </c>
      <c r="BN6" s="1">
        <v>23</v>
      </c>
      <c r="BO6" s="1">
        <v>27.285</v>
      </c>
      <c r="BP6" s="1">
        <v>125</v>
      </c>
      <c r="BQ6" s="1">
        <v>16</v>
      </c>
      <c r="BR6" s="1">
        <v>23</v>
      </c>
      <c r="BS6" s="1">
        <v>42</v>
      </c>
      <c r="BT6" s="1">
        <v>21</v>
      </c>
      <c r="BU6" s="1">
        <v>28.168000000000003</v>
      </c>
      <c r="BV6" s="1">
        <v>72</v>
      </c>
      <c r="BW6" s="1">
        <v>15</v>
      </c>
      <c r="BX6" s="1">
        <v>15</v>
      </c>
      <c r="BY6" s="1">
        <v>43</v>
      </c>
      <c r="BZ6" s="1">
        <v>19</v>
      </c>
      <c r="CA6" s="1">
        <v>26.28</v>
      </c>
      <c r="CB6" s="1">
        <v>68</v>
      </c>
      <c r="CC6" s="1">
        <v>17</v>
      </c>
      <c r="CD6" s="1">
        <v>23</v>
      </c>
      <c r="CE6" s="1">
        <v>43</v>
      </c>
      <c r="CF6" s="1">
        <v>22</v>
      </c>
      <c r="CG6" s="1">
        <v>25.532</v>
      </c>
      <c r="CH6" s="1">
        <v>123</v>
      </c>
      <c r="CI6" s="1">
        <v>19</v>
      </c>
      <c r="CJ6" s="1">
        <v>21</v>
      </c>
      <c r="CK6" s="1">
        <v>42</v>
      </c>
      <c r="CL6" s="1">
        <v>21</v>
      </c>
      <c r="CM6" s="1">
        <v>29.102</v>
      </c>
      <c r="CN6" s="1">
        <v>102</v>
      </c>
      <c r="CO6" s="1">
        <v>11</v>
      </c>
      <c r="CP6" s="1">
        <v>18</v>
      </c>
      <c r="CQ6" s="1">
        <v>42</v>
      </c>
      <c r="CR6" s="1">
        <v>21</v>
      </c>
      <c r="CS6" s="1">
        <v>28.534000000000002</v>
      </c>
      <c r="CT6" s="1">
        <v>118</v>
      </c>
      <c r="CU6" s="1">
        <v>19</v>
      </c>
      <c r="CV6" s="1">
        <v>22</v>
      </c>
      <c r="CW6" s="1">
        <v>42</v>
      </c>
      <c r="CX6" s="1">
        <v>18</v>
      </c>
      <c r="CY6" s="1">
        <v>28.633000000000003</v>
      </c>
      <c r="CZ6" s="1">
        <v>97</v>
      </c>
      <c r="DA6" s="1">
        <v>14</v>
      </c>
      <c r="DB6" s="1">
        <v>20</v>
      </c>
      <c r="DC6" s="1">
        <v>42</v>
      </c>
      <c r="DD6" s="1">
        <v>19</v>
      </c>
      <c r="DE6" s="1">
        <v>27.955000000000002</v>
      </c>
      <c r="DF6" s="1">
        <v>92</v>
      </c>
      <c r="DG6" s="1">
        <v>20</v>
      </c>
      <c r="DH6" s="1">
        <v>24</v>
      </c>
      <c r="DI6" s="1">
        <v>47</v>
      </c>
      <c r="DJ6" s="1">
        <v>21</v>
      </c>
      <c r="DK6" s="1">
        <v>28.183</v>
      </c>
      <c r="DL6" s="1">
        <v>94</v>
      </c>
      <c r="DM6" s="1">
        <v>19</v>
      </c>
      <c r="DN6" s="1">
        <v>22</v>
      </c>
      <c r="DO6" s="1">
        <v>42</v>
      </c>
      <c r="DP6" s="1">
        <v>19</v>
      </c>
      <c r="DQ6" s="1">
        <v>26.063000000000002</v>
      </c>
      <c r="DR6" s="1">
        <v>87</v>
      </c>
      <c r="DS6" s="1">
        <v>27</v>
      </c>
      <c r="DT6" s="1">
        <v>19</v>
      </c>
      <c r="DU6" s="1">
        <v>44</v>
      </c>
      <c r="DV6" s="1">
        <v>18</v>
      </c>
      <c r="DW6" s="1">
        <v>25.868000000000002</v>
      </c>
      <c r="DX6" s="1">
        <v>99</v>
      </c>
      <c r="DY6" s="1">
        <v>23</v>
      </c>
      <c r="DZ6" s="1">
        <v>16</v>
      </c>
      <c r="EA6" s="1">
        <v>45</v>
      </c>
      <c r="EB6" s="1">
        <v>17</v>
      </c>
      <c r="EC6" s="1">
        <v>27.339000000000002</v>
      </c>
      <c r="ED6" s="1">
        <v>77</v>
      </c>
      <c r="EE6" s="1">
        <v>14</v>
      </c>
      <c r="EF6" s="1">
        <v>17</v>
      </c>
      <c r="EG6" s="1">
        <v>41</v>
      </c>
      <c r="EH6" s="1">
        <v>21</v>
      </c>
      <c r="EI6" s="1">
        <v>26.081</v>
      </c>
      <c r="EJ6" s="1">
        <v>97</v>
      </c>
      <c r="EK6" s="1">
        <v>25</v>
      </c>
      <c r="EL6" s="1">
        <v>18</v>
      </c>
      <c r="EM6" s="1">
        <v>46</v>
      </c>
      <c r="EN6" s="1">
        <v>20</v>
      </c>
      <c r="EO6" s="1">
        <v>28.046000000000003</v>
      </c>
      <c r="EP6" s="1">
        <v>127</v>
      </c>
      <c r="EQ6" s="1">
        <v>23</v>
      </c>
      <c r="ER6" s="1">
        <v>26</v>
      </c>
      <c r="ES6" s="1">
        <v>43</v>
      </c>
      <c r="ET6" s="1">
        <v>24</v>
      </c>
      <c r="EU6" s="1">
        <v>31.571000000000002</v>
      </c>
      <c r="EV6" s="1">
        <v>107</v>
      </c>
      <c r="EW6" s="1">
        <v>15</v>
      </c>
      <c r="EX6" s="1">
        <v>17</v>
      </c>
      <c r="EY6" s="1">
        <v>46</v>
      </c>
      <c r="EZ6" s="1">
        <v>22</v>
      </c>
      <c r="FA6" s="1">
        <v>28.422000000000001</v>
      </c>
      <c r="FB6" s="1">
        <v>90</v>
      </c>
      <c r="FC6" s="1">
        <v>20</v>
      </c>
      <c r="FD6" s="1">
        <v>19</v>
      </c>
      <c r="FE6" s="1">
        <v>40</v>
      </c>
      <c r="FF6" s="1">
        <v>19</v>
      </c>
      <c r="FG6" s="1">
        <v>25.973000000000003</v>
      </c>
      <c r="FH6" s="1">
        <v>75</v>
      </c>
      <c r="FI6" s="1">
        <v>21</v>
      </c>
      <c r="FJ6" s="1">
        <v>21</v>
      </c>
      <c r="FK6" s="1">
        <v>43</v>
      </c>
      <c r="FL6" s="1">
        <v>20</v>
      </c>
      <c r="FM6" s="1">
        <v>27.718</v>
      </c>
      <c r="FN6" s="1">
        <v>69</v>
      </c>
      <c r="FO6" s="1">
        <v>24</v>
      </c>
      <c r="FP6" s="1">
        <v>17</v>
      </c>
      <c r="FQ6" s="1">
        <v>41</v>
      </c>
      <c r="FR6" s="1">
        <v>22</v>
      </c>
      <c r="FS6" s="1">
        <v>24.98</v>
      </c>
      <c r="FT6" s="1">
        <v>92</v>
      </c>
      <c r="FU6" s="1">
        <v>20</v>
      </c>
      <c r="FV6" s="1">
        <v>21</v>
      </c>
      <c r="FW6" s="1">
        <v>44</v>
      </c>
      <c r="FX6" s="1">
        <v>19</v>
      </c>
      <c r="FY6" s="1">
        <v>26.606000000000002</v>
      </c>
      <c r="FZ6" s="1">
        <v>104</v>
      </c>
      <c r="GA6" s="1">
        <v>24</v>
      </c>
      <c r="GB6" s="1">
        <v>19</v>
      </c>
      <c r="GC6" s="1">
        <v>42</v>
      </c>
      <c r="GD6" s="1">
        <v>18</v>
      </c>
      <c r="GE6" s="1">
        <v>28.224</v>
      </c>
      <c r="GF6" s="1">
        <v>127</v>
      </c>
      <c r="GG6" s="1">
        <v>20</v>
      </c>
      <c r="GH6" s="1">
        <v>26</v>
      </c>
      <c r="GI6" s="1">
        <v>42</v>
      </c>
      <c r="GJ6" s="1">
        <v>18</v>
      </c>
      <c r="GK6" s="1">
        <v>29.577000000000002</v>
      </c>
      <c r="GL6" s="1">
        <v>100</v>
      </c>
      <c r="GM6" s="1">
        <v>22</v>
      </c>
      <c r="GN6" s="1">
        <v>26</v>
      </c>
      <c r="GO6" s="1">
        <v>43</v>
      </c>
      <c r="GP6" s="1">
        <v>19</v>
      </c>
      <c r="GQ6" s="1">
        <v>27.496000000000002</v>
      </c>
      <c r="GR6" s="1">
        <v>82</v>
      </c>
      <c r="GS6" s="1">
        <v>20</v>
      </c>
      <c r="GT6" s="1">
        <v>19</v>
      </c>
      <c r="GU6" s="1">
        <v>45</v>
      </c>
      <c r="GV6" s="1">
        <v>20</v>
      </c>
      <c r="GW6" s="1">
        <v>26.52</v>
      </c>
      <c r="GX6" s="1">
        <v>112</v>
      </c>
      <c r="GY6" s="1">
        <v>22</v>
      </c>
      <c r="GZ6" s="1">
        <v>22</v>
      </c>
      <c r="HA6" s="1">
        <v>41</v>
      </c>
      <c r="HB6" s="1">
        <v>18</v>
      </c>
      <c r="HC6" s="1">
        <v>25.673000000000002</v>
      </c>
      <c r="HD6" s="1">
        <v>101</v>
      </c>
      <c r="HE6" s="1">
        <v>19</v>
      </c>
      <c r="HF6" s="1">
        <v>21</v>
      </c>
      <c r="HG6" s="1">
        <v>43</v>
      </c>
      <c r="HH6" s="1">
        <v>21</v>
      </c>
      <c r="HI6" s="1">
        <v>27.816000000000003</v>
      </c>
      <c r="HJ6" s="1">
        <v>77</v>
      </c>
      <c r="HK6" s="1">
        <v>18</v>
      </c>
      <c r="HL6" s="1">
        <v>20</v>
      </c>
      <c r="HM6" s="1">
        <v>46</v>
      </c>
      <c r="HN6" s="1">
        <v>21</v>
      </c>
      <c r="HO6" s="1">
        <v>27.504000000000001</v>
      </c>
      <c r="HP6" s="1">
        <v>74</v>
      </c>
      <c r="HQ6" s="1">
        <v>18</v>
      </c>
      <c r="HR6" s="1">
        <v>15</v>
      </c>
      <c r="HS6" s="1">
        <v>40</v>
      </c>
      <c r="HT6" s="1">
        <v>19</v>
      </c>
      <c r="HU6" s="1">
        <v>25.255000000000003</v>
      </c>
      <c r="HV6" s="1">
        <v>93</v>
      </c>
      <c r="HW6" s="1">
        <v>15</v>
      </c>
      <c r="HX6" s="1">
        <v>24</v>
      </c>
      <c r="HY6" s="1">
        <v>48</v>
      </c>
      <c r="HZ6" s="1">
        <v>17</v>
      </c>
      <c r="IA6" s="1">
        <v>27.766000000000002</v>
      </c>
      <c r="IB6" s="1">
        <v>86</v>
      </c>
      <c r="IC6" s="1">
        <v>16</v>
      </c>
      <c r="ID6" s="1">
        <v>17</v>
      </c>
      <c r="IE6" s="1">
        <v>46</v>
      </c>
      <c r="IF6" s="1">
        <v>23</v>
      </c>
      <c r="IG6" s="1">
        <v>27.227</v>
      </c>
      <c r="IH6" s="1">
        <v>67</v>
      </c>
      <c r="II6" s="1">
        <v>20</v>
      </c>
      <c r="IJ6" s="1">
        <v>20</v>
      </c>
      <c r="IK6" s="1">
        <v>42</v>
      </c>
      <c r="IL6" s="1">
        <v>23</v>
      </c>
      <c r="IM6" s="1">
        <v>23.826000000000001</v>
      </c>
      <c r="IN6" s="1">
        <v>68</v>
      </c>
      <c r="IO6" s="1">
        <v>17</v>
      </c>
      <c r="IP6" s="1">
        <v>16</v>
      </c>
      <c r="IQ6" s="1">
        <v>41</v>
      </c>
      <c r="IR6" s="1">
        <v>24</v>
      </c>
      <c r="IS6" s="1">
        <v>22.712</v>
      </c>
      <c r="IT6" s="1">
        <v>128</v>
      </c>
      <c r="IU6" s="1">
        <v>13</v>
      </c>
      <c r="IV6" s="1">
        <v>24</v>
      </c>
      <c r="IW6" s="1">
        <v>45</v>
      </c>
      <c r="IX6" s="1">
        <v>20</v>
      </c>
      <c r="IY6" s="1">
        <v>29.997</v>
      </c>
      <c r="IZ6" s="1">
        <v>70</v>
      </c>
      <c r="JA6" s="1">
        <v>15</v>
      </c>
      <c r="JB6" s="1">
        <v>21</v>
      </c>
      <c r="JC6" s="1">
        <v>47</v>
      </c>
      <c r="JD6" s="1">
        <v>18</v>
      </c>
      <c r="JE6" s="1">
        <v>25.731000000000002</v>
      </c>
      <c r="JF6" s="1">
        <v>115</v>
      </c>
      <c r="JG6" s="1">
        <v>13</v>
      </c>
      <c r="JH6" s="1">
        <v>22</v>
      </c>
      <c r="JI6" s="1">
        <v>44</v>
      </c>
      <c r="JJ6" s="1">
        <v>22</v>
      </c>
      <c r="JK6" s="1">
        <v>29.339000000000002</v>
      </c>
      <c r="JL6" s="1">
        <v>115</v>
      </c>
      <c r="JM6" s="1">
        <v>24</v>
      </c>
      <c r="JN6" s="1">
        <v>22</v>
      </c>
      <c r="JO6" s="1">
        <v>42</v>
      </c>
      <c r="JP6" s="1">
        <v>21</v>
      </c>
      <c r="JQ6" s="1">
        <v>27.408000000000001</v>
      </c>
      <c r="JR6" s="1">
        <v>92</v>
      </c>
      <c r="JS6" s="1">
        <v>24</v>
      </c>
      <c r="JT6" s="1">
        <v>16</v>
      </c>
      <c r="JU6" s="1">
        <v>46</v>
      </c>
      <c r="JV6" s="1">
        <v>19</v>
      </c>
      <c r="JW6" s="1">
        <v>27.078000000000003</v>
      </c>
      <c r="JX6" s="1">
        <v>114</v>
      </c>
      <c r="JY6" s="1">
        <v>20</v>
      </c>
      <c r="JZ6" s="1">
        <v>28</v>
      </c>
      <c r="KA6" s="1">
        <v>41</v>
      </c>
      <c r="KB6" s="1">
        <v>18</v>
      </c>
      <c r="KC6" s="1">
        <v>27.189</v>
      </c>
      <c r="KD6" s="1">
        <v>82</v>
      </c>
      <c r="KE6" s="1">
        <v>19</v>
      </c>
      <c r="KF6" s="1">
        <v>21</v>
      </c>
      <c r="KG6" s="1">
        <v>41</v>
      </c>
      <c r="KH6" s="1">
        <v>17</v>
      </c>
      <c r="KI6" s="1">
        <v>24.82</v>
      </c>
      <c r="KJ6" s="1">
        <v>83</v>
      </c>
      <c r="KK6" s="1">
        <v>19</v>
      </c>
      <c r="KL6" s="1">
        <v>17</v>
      </c>
      <c r="KM6" s="1">
        <v>42</v>
      </c>
      <c r="KN6" s="1">
        <v>20</v>
      </c>
      <c r="KO6" s="1">
        <v>26.561</v>
      </c>
      <c r="KP6" s="1">
        <v>97</v>
      </c>
      <c r="KQ6" s="1">
        <v>18</v>
      </c>
      <c r="KR6" s="1">
        <v>23</v>
      </c>
      <c r="KS6" s="1">
        <v>42</v>
      </c>
      <c r="KT6" s="1">
        <v>21</v>
      </c>
      <c r="KU6" s="1">
        <v>26.187000000000001</v>
      </c>
      <c r="KV6" s="1">
        <v>77</v>
      </c>
      <c r="KW6" s="1">
        <v>17</v>
      </c>
      <c r="KX6" s="1">
        <v>20</v>
      </c>
      <c r="KY6" s="1">
        <v>45</v>
      </c>
      <c r="KZ6" s="1">
        <v>20</v>
      </c>
      <c r="LA6" s="1">
        <v>25.292000000000002</v>
      </c>
      <c r="LB6" s="1">
        <v>74</v>
      </c>
      <c r="LC6" s="1">
        <v>25</v>
      </c>
      <c r="LD6" s="1">
        <v>21</v>
      </c>
      <c r="LE6" s="1">
        <v>40</v>
      </c>
      <c r="LF6" s="1">
        <v>18</v>
      </c>
      <c r="LG6" s="1">
        <v>25.699000000000002</v>
      </c>
      <c r="LH6" s="1">
        <v>68</v>
      </c>
      <c r="LI6" s="1">
        <v>17</v>
      </c>
      <c r="LJ6" s="1">
        <v>15</v>
      </c>
      <c r="LK6" s="1">
        <v>43</v>
      </c>
      <c r="LL6" s="1">
        <v>20</v>
      </c>
      <c r="LM6" s="1">
        <v>23.311</v>
      </c>
      <c r="LN6" s="1">
        <v>120</v>
      </c>
      <c r="LO6" s="1">
        <v>15</v>
      </c>
      <c r="LP6" s="1">
        <v>25</v>
      </c>
      <c r="LQ6" s="1">
        <v>42</v>
      </c>
      <c r="LR6" s="1">
        <v>22</v>
      </c>
      <c r="LS6" s="1">
        <v>30.238</v>
      </c>
      <c r="LT6" s="1">
        <v>124</v>
      </c>
      <c r="LU6" s="1">
        <v>17</v>
      </c>
      <c r="LV6" s="1">
        <v>23</v>
      </c>
      <c r="LW6" s="1">
        <v>43</v>
      </c>
      <c r="LX6" s="1">
        <v>22</v>
      </c>
      <c r="LY6" s="1">
        <v>28.059000000000001</v>
      </c>
      <c r="LZ6" s="1">
        <v>103</v>
      </c>
      <c r="MA6" s="1">
        <v>20</v>
      </c>
      <c r="MB6" s="1">
        <v>21</v>
      </c>
      <c r="MC6" s="1">
        <v>40</v>
      </c>
      <c r="MD6" s="1">
        <v>19</v>
      </c>
      <c r="ME6" s="1">
        <v>27.594000000000001</v>
      </c>
      <c r="MF6" s="1">
        <v>85</v>
      </c>
      <c r="MG6" s="1">
        <v>12</v>
      </c>
      <c r="MH6" s="1">
        <v>19</v>
      </c>
      <c r="MI6" s="1">
        <v>44</v>
      </c>
      <c r="MJ6" s="1">
        <v>23</v>
      </c>
      <c r="MK6" s="1">
        <v>25.486000000000001</v>
      </c>
      <c r="ML6" s="1">
        <v>67</v>
      </c>
      <c r="MM6" s="1">
        <v>14</v>
      </c>
      <c r="MN6" s="1">
        <v>15</v>
      </c>
      <c r="MO6" s="1">
        <v>44</v>
      </c>
      <c r="MP6" s="1">
        <v>25</v>
      </c>
      <c r="MQ6" s="1">
        <v>25.526</v>
      </c>
      <c r="MR6" s="1">
        <v>117</v>
      </c>
      <c r="MS6" s="1">
        <v>28</v>
      </c>
      <c r="MT6" s="1">
        <v>21</v>
      </c>
      <c r="MU6" s="1">
        <v>45</v>
      </c>
      <c r="MV6" s="1">
        <v>20</v>
      </c>
      <c r="MW6" s="1">
        <v>29.841000000000001</v>
      </c>
    </row>
    <row r="7" spans="1:361">
      <c r="A7" s="1">
        <v>4</v>
      </c>
      <c r="B7" s="1">
        <v>79</v>
      </c>
      <c r="C7" s="1">
        <v>17</v>
      </c>
      <c r="D7" s="1">
        <v>18</v>
      </c>
      <c r="E7" s="1">
        <v>42</v>
      </c>
      <c r="F7" s="1">
        <v>22</v>
      </c>
      <c r="G7" s="1">
        <v>25.538</v>
      </c>
      <c r="H7" s="1">
        <v>123</v>
      </c>
      <c r="I7" s="1">
        <v>23</v>
      </c>
      <c r="J7" s="1">
        <v>25</v>
      </c>
      <c r="K7" s="1">
        <v>46</v>
      </c>
      <c r="L7" s="1">
        <v>19</v>
      </c>
      <c r="M7" s="1">
        <v>28.819000000000003</v>
      </c>
      <c r="N7" s="1">
        <v>75</v>
      </c>
      <c r="O7" s="1">
        <v>21</v>
      </c>
      <c r="P7" s="1">
        <v>22</v>
      </c>
      <c r="Q7" s="1">
        <v>42</v>
      </c>
      <c r="R7" s="1">
        <v>19</v>
      </c>
      <c r="S7" s="1">
        <v>26.001000000000001</v>
      </c>
      <c r="T7" s="1">
        <v>110</v>
      </c>
      <c r="U7" s="1">
        <v>18</v>
      </c>
      <c r="V7" s="1">
        <v>24</v>
      </c>
      <c r="W7" s="1">
        <v>40</v>
      </c>
      <c r="X7" s="1">
        <v>16</v>
      </c>
      <c r="Y7" s="1">
        <v>25.91</v>
      </c>
      <c r="Z7" s="1">
        <v>117</v>
      </c>
      <c r="AA7" s="1">
        <v>28</v>
      </c>
      <c r="AB7" s="1">
        <v>24</v>
      </c>
      <c r="AC7" s="1">
        <v>43</v>
      </c>
      <c r="AD7" s="1">
        <v>19</v>
      </c>
      <c r="AE7" s="1">
        <v>28.748000000000001</v>
      </c>
      <c r="AF7" s="1">
        <v>106</v>
      </c>
      <c r="AG7" s="1">
        <v>17</v>
      </c>
      <c r="AH7" s="1">
        <v>20</v>
      </c>
      <c r="AI7" s="1">
        <v>41</v>
      </c>
      <c r="AJ7" s="1">
        <v>18</v>
      </c>
      <c r="AK7" s="1">
        <v>27.559000000000001</v>
      </c>
      <c r="AL7" s="1">
        <v>97</v>
      </c>
      <c r="AM7" s="1">
        <v>16</v>
      </c>
      <c r="AN7" s="1">
        <v>19</v>
      </c>
      <c r="AO7" s="1">
        <v>45</v>
      </c>
      <c r="AP7" s="1">
        <v>26</v>
      </c>
      <c r="AQ7" s="1">
        <v>27.355</v>
      </c>
      <c r="AR7" s="1">
        <v>98</v>
      </c>
      <c r="AS7" s="1">
        <v>20</v>
      </c>
      <c r="AT7" s="1">
        <v>22</v>
      </c>
      <c r="AU7" s="1">
        <v>40</v>
      </c>
      <c r="AV7" s="1">
        <v>18</v>
      </c>
      <c r="AW7" s="1">
        <v>26.809000000000001</v>
      </c>
      <c r="AX7" s="1">
        <v>94</v>
      </c>
      <c r="AY7" s="1">
        <v>22</v>
      </c>
      <c r="AZ7" s="1">
        <v>14</v>
      </c>
      <c r="BA7" s="1">
        <v>42</v>
      </c>
      <c r="BB7" s="1">
        <v>16</v>
      </c>
      <c r="BC7" s="1">
        <v>24.666</v>
      </c>
      <c r="BD7" s="1">
        <v>83</v>
      </c>
      <c r="BE7" s="1">
        <v>19</v>
      </c>
      <c r="BF7" s="1">
        <v>19</v>
      </c>
      <c r="BG7" s="1">
        <v>42</v>
      </c>
      <c r="BH7" s="1">
        <v>17</v>
      </c>
      <c r="BI7" s="1">
        <v>27.27</v>
      </c>
      <c r="BJ7" s="1">
        <v>102</v>
      </c>
      <c r="BK7" s="1">
        <v>24</v>
      </c>
      <c r="BL7" s="1">
        <v>20</v>
      </c>
      <c r="BM7" s="1">
        <v>42</v>
      </c>
      <c r="BN7" s="1">
        <v>17</v>
      </c>
      <c r="BO7" s="1">
        <v>28.455000000000002</v>
      </c>
      <c r="BP7" s="1">
        <v>126</v>
      </c>
      <c r="BQ7" s="1">
        <v>28</v>
      </c>
      <c r="BR7" s="1">
        <v>25</v>
      </c>
      <c r="BS7" s="1">
        <v>42</v>
      </c>
      <c r="BT7" s="1">
        <v>20</v>
      </c>
      <c r="BU7" s="1">
        <v>27.343</v>
      </c>
      <c r="BV7" s="1">
        <v>86</v>
      </c>
      <c r="BW7" s="1">
        <v>18</v>
      </c>
      <c r="BX7" s="1">
        <v>21</v>
      </c>
      <c r="BY7" s="1">
        <v>42</v>
      </c>
      <c r="BZ7" s="1">
        <v>21</v>
      </c>
      <c r="CA7" s="1">
        <v>26.455000000000002</v>
      </c>
      <c r="CB7" s="1">
        <v>95</v>
      </c>
      <c r="CC7" s="1">
        <v>14</v>
      </c>
      <c r="CD7" s="1">
        <v>20</v>
      </c>
      <c r="CE7" s="1">
        <v>41</v>
      </c>
      <c r="CF7" s="1">
        <v>16</v>
      </c>
      <c r="CG7" s="1">
        <v>25.806000000000001</v>
      </c>
      <c r="CH7" s="1">
        <v>86</v>
      </c>
      <c r="CI7" s="1">
        <v>13</v>
      </c>
      <c r="CJ7" s="1">
        <v>21</v>
      </c>
      <c r="CK7" s="1">
        <v>42</v>
      </c>
      <c r="CL7" s="1">
        <v>16</v>
      </c>
      <c r="CM7" s="1">
        <v>26.462</v>
      </c>
      <c r="CN7" s="1">
        <v>84</v>
      </c>
      <c r="CO7" s="1">
        <v>21</v>
      </c>
      <c r="CP7" s="1">
        <v>23</v>
      </c>
      <c r="CQ7" s="1">
        <v>41</v>
      </c>
      <c r="CR7" s="1">
        <v>19</v>
      </c>
      <c r="CS7" s="1">
        <v>23.373000000000001</v>
      </c>
      <c r="CT7" s="1">
        <v>82</v>
      </c>
      <c r="CU7" s="1">
        <v>14</v>
      </c>
      <c r="CV7" s="1">
        <v>17</v>
      </c>
      <c r="CW7" s="1">
        <v>43</v>
      </c>
      <c r="CX7" s="1">
        <v>19</v>
      </c>
      <c r="CY7" s="1">
        <v>26.64</v>
      </c>
      <c r="CZ7" s="1">
        <v>106</v>
      </c>
      <c r="DA7" s="1">
        <v>23</v>
      </c>
      <c r="DB7" s="1">
        <v>26</v>
      </c>
      <c r="DC7" s="1">
        <v>42</v>
      </c>
      <c r="DD7" s="1">
        <v>20</v>
      </c>
      <c r="DE7" s="1">
        <v>27.374000000000002</v>
      </c>
      <c r="DF7" s="1">
        <v>128</v>
      </c>
      <c r="DG7" s="1">
        <v>29</v>
      </c>
      <c r="DH7" s="1">
        <v>21</v>
      </c>
      <c r="DI7" s="1">
        <v>40</v>
      </c>
      <c r="DJ7" s="1">
        <v>18</v>
      </c>
      <c r="DK7" s="1">
        <v>28.470000000000002</v>
      </c>
      <c r="DL7" s="1">
        <v>130</v>
      </c>
      <c r="DM7" s="1">
        <v>25</v>
      </c>
      <c r="DN7" s="1">
        <v>21</v>
      </c>
      <c r="DO7" s="1">
        <v>43</v>
      </c>
      <c r="DP7" s="1">
        <v>21</v>
      </c>
      <c r="DQ7" s="1">
        <v>28.876000000000001</v>
      </c>
      <c r="DR7" s="1">
        <v>92</v>
      </c>
      <c r="DS7" s="1">
        <v>17</v>
      </c>
      <c r="DT7" s="1">
        <v>20</v>
      </c>
      <c r="DU7" s="1">
        <v>42</v>
      </c>
      <c r="DV7" s="1">
        <v>20</v>
      </c>
      <c r="DW7" s="1">
        <v>28.389000000000003</v>
      </c>
      <c r="DX7" s="1">
        <v>127</v>
      </c>
      <c r="DY7" s="1">
        <v>19</v>
      </c>
      <c r="DZ7" s="1">
        <v>27</v>
      </c>
      <c r="EA7" s="1">
        <v>43</v>
      </c>
      <c r="EB7" s="1">
        <v>22</v>
      </c>
      <c r="EC7" s="1">
        <v>30.065000000000001</v>
      </c>
      <c r="ED7" s="1">
        <v>65</v>
      </c>
      <c r="EE7" s="1">
        <v>15</v>
      </c>
      <c r="EF7" s="1">
        <v>21</v>
      </c>
      <c r="EG7" s="1">
        <v>40</v>
      </c>
      <c r="EH7" s="1">
        <v>18</v>
      </c>
      <c r="EI7" s="1">
        <v>23.333000000000002</v>
      </c>
      <c r="EJ7" s="1">
        <v>106</v>
      </c>
      <c r="EK7" s="1">
        <v>9</v>
      </c>
      <c r="EL7" s="1">
        <v>23</v>
      </c>
      <c r="EM7" s="1">
        <v>42</v>
      </c>
      <c r="EN7" s="1">
        <v>21</v>
      </c>
      <c r="EO7" s="1">
        <v>29.200000000000003</v>
      </c>
      <c r="EP7" s="1">
        <v>88</v>
      </c>
      <c r="EQ7" s="1">
        <v>18</v>
      </c>
      <c r="ER7" s="1">
        <v>23</v>
      </c>
      <c r="ES7" s="1">
        <v>43</v>
      </c>
      <c r="ET7" s="1">
        <v>22</v>
      </c>
      <c r="EU7" s="1">
        <v>26.179000000000002</v>
      </c>
      <c r="EV7" s="1">
        <v>110</v>
      </c>
      <c r="EW7" s="1">
        <v>15</v>
      </c>
      <c r="EX7" s="1">
        <v>22</v>
      </c>
      <c r="EY7" s="1">
        <v>46</v>
      </c>
      <c r="EZ7" s="1">
        <v>23</v>
      </c>
      <c r="FA7" s="1">
        <v>28.117000000000001</v>
      </c>
      <c r="FB7" s="1">
        <v>71</v>
      </c>
      <c r="FC7" s="1">
        <v>15</v>
      </c>
      <c r="FD7" s="1">
        <v>20</v>
      </c>
      <c r="FE7" s="1">
        <v>46</v>
      </c>
      <c r="FF7" s="1">
        <v>19</v>
      </c>
      <c r="FG7" s="1">
        <v>25.705000000000002</v>
      </c>
      <c r="FH7" s="1">
        <v>110</v>
      </c>
      <c r="FI7" s="1">
        <v>20</v>
      </c>
      <c r="FJ7" s="1">
        <v>25</v>
      </c>
      <c r="FK7" s="1">
        <v>44</v>
      </c>
      <c r="FL7" s="1">
        <v>21</v>
      </c>
      <c r="FM7" s="1">
        <v>28.393000000000001</v>
      </c>
      <c r="FN7" s="1">
        <v>122</v>
      </c>
      <c r="FO7" s="1">
        <v>14</v>
      </c>
      <c r="FP7" s="1">
        <v>23</v>
      </c>
      <c r="FQ7" s="1">
        <v>42</v>
      </c>
      <c r="FR7" s="1">
        <v>21</v>
      </c>
      <c r="FS7" s="1">
        <v>28.497</v>
      </c>
      <c r="FT7" s="1">
        <v>78</v>
      </c>
      <c r="FU7" s="1">
        <v>19</v>
      </c>
      <c r="FV7" s="1">
        <v>20</v>
      </c>
      <c r="FW7" s="1">
        <v>39</v>
      </c>
      <c r="FX7" s="1">
        <v>19</v>
      </c>
      <c r="FY7" s="1">
        <v>25.603000000000002</v>
      </c>
      <c r="FZ7" s="1">
        <v>83</v>
      </c>
      <c r="GA7" s="1">
        <v>15</v>
      </c>
      <c r="GB7" s="1">
        <v>19</v>
      </c>
      <c r="GC7" s="1">
        <v>45</v>
      </c>
      <c r="GD7" s="1">
        <v>22</v>
      </c>
      <c r="GE7" s="1">
        <v>25.582000000000001</v>
      </c>
      <c r="GF7" s="1">
        <v>112</v>
      </c>
      <c r="GG7" s="1">
        <v>22</v>
      </c>
      <c r="GH7" s="1">
        <v>21</v>
      </c>
      <c r="GI7" s="1">
        <v>45</v>
      </c>
      <c r="GJ7" s="1">
        <v>20</v>
      </c>
      <c r="GK7" s="1">
        <v>29.933</v>
      </c>
      <c r="GL7" s="1">
        <v>94</v>
      </c>
      <c r="GM7" s="1">
        <v>30</v>
      </c>
      <c r="GN7" s="1">
        <v>19</v>
      </c>
      <c r="GO7" s="1">
        <v>46</v>
      </c>
      <c r="GP7" s="1">
        <v>23</v>
      </c>
      <c r="GQ7" s="1">
        <v>28.220000000000002</v>
      </c>
      <c r="GR7" s="1">
        <v>91</v>
      </c>
      <c r="GS7" s="1">
        <v>13</v>
      </c>
      <c r="GT7" s="1">
        <v>25</v>
      </c>
      <c r="GU7" s="1">
        <v>45</v>
      </c>
      <c r="GV7" s="1">
        <v>26</v>
      </c>
      <c r="GW7" s="1">
        <v>28.412000000000003</v>
      </c>
      <c r="GX7" s="1">
        <v>101</v>
      </c>
      <c r="GY7" s="1">
        <v>18</v>
      </c>
      <c r="GZ7" s="1">
        <v>22</v>
      </c>
      <c r="HA7" s="1">
        <v>47</v>
      </c>
      <c r="HB7" s="1">
        <v>20</v>
      </c>
      <c r="HC7" s="1">
        <v>28.834</v>
      </c>
      <c r="HD7" s="1">
        <v>92</v>
      </c>
      <c r="HE7" s="1">
        <v>19</v>
      </c>
      <c r="HF7" s="1">
        <v>21</v>
      </c>
      <c r="HG7" s="1">
        <v>43</v>
      </c>
      <c r="HH7" s="1">
        <v>22</v>
      </c>
      <c r="HI7" s="1">
        <v>27.193000000000001</v>
      </c>
      <c r="HJ7" s="1">
        <v>129</v>
      </c>
      <c r="HK7" s="1">
        <v>20</v>
      </c>
      <c r="HL7" s="1">
        <v>23</v>
      </c>
      <c r="HM7" s="1">
        <v>46</v>
      </c>
      <c r="HN7" s="1">
        <v>21</v>
      </c>
      <c r="HO7" s="1">
        <v>29.331</v>
      </c>
      <c r="HP7" s="1">
        <v>78</v>
      </c>
      <c r="HQ7" s="1">
        <v>19</v>
      </c>
      <c r="HR7" s="1">
        <v>20</v>
      </c>
      <c r="HS7" s="1">
        <v>44</v>
      </c>
      <c r="HT7" s="1">
        <v>22</v>
      </c>
      <c r="HU7" s="1">
        <v>26.101000000000003</v>
      </c>
      <c r="HV7" s="1">
        <v>74</v>
      </c>
      <c r="HW7" s="1">
        <v>14</v>
      </c>
      <c r="HX7" s="1">
        <v>20</v>
      </c>
      <c r="HY7" s="1">
        <v>43</v>
      </c>
      <c r="HZ7" s="1">
        <v>19</v>
      </c>
      <c r="IA7" s="1">
        <v>25.139000000000003</v>
      </c>
      <c r="IB7" s="1">
        <v>92</v>
      </c>
      <c r="IC7" s="1">
        <v>7</v>
      </c>
      <c r="ID7" s="1">
        <v>20</v>
      </c>
      <c r="IE7" s="1">
        <v>40</v>
      </c>
      <c r="IF7" s="1">
        <v>20</v>
      </c>
      <c r="IG7" s="1">
        <v>23.754000000000001</v>
      </c>
      <c r="IH7" s="1">
        <v>115</v>
      </c>
      <c r="II7" s="1">
        <v>21</v>
      </c>
      <c r="IJ7" s="1">
        <v>23</v>
      </c>
      <c r="IK7" s="1">
        <v>45</v>
      </c>
      <c r="IL7" s="1">
        <v>20</v>
      </c>
      <c r="IM7" s="1">
        <v>31.113</v>
      </c>
      <c r="IN7" s="1">
        <v>83</v>
      </c>
      <c r="IO7" s="1">
        <v>15</v>
      </c>
      <c r="IP7" s="1">
        <v>17</v>
      </c>
      <c r="IQ7" s="1">
        <v>43</v>
      </c>
      <c r="IR7" s="1">
        <v>18</v>
      </c>
      <c r="IS7" s="1">
        <v>27.947000000000003</v>
      </c>
      <c r="IT7" s="1">
        <v>102</v>
      </c>
      <c r="IU7" s="1">
        <v>13</v>
      </c>
      <c r="IV7" s="1">
        <v>16</v>
      </c>
      <c r="IW7" s="1">
        <v>45</v>
      </c>
      <c r="IX7" s="1">
        <v>24</v>
      </c>
      <c r="IY7" s="1">
        <v>26.222000000000001</v>
      </c>
      <c r="IZ7" s="1">
        <v>95</v>
      </c>
      <c r="JA7" s="1">
        <v>20</v>
      </c>
      <c r="JB7" s="1">
        <v>18</v>
      </c>
      <c r="JC7" s="1">
        <v>42</v>
      </c>
      <c r="JD7" s="1">
        <v>20</v>
      </c>
      <c r="JE7" s="1">
        <v>26.309000000000001</v>
      </c>
      <c r="JF7" s="1">
        <v>97</v>
      </c>
      <c r="JG7" s="1">
        <v>25</v>
      </c>
      <c r="JH7" s="1">
        <v>20</v>
      </c>
      <c r="JI7" s="1">
        <v>41</v>
      </c>
      <c r="JJ7" s="1">
        <v>20</v>
      </c>
      <c r="JK7" s="1">
        <v>25.557000000000002</v>
      </c>
      <c r="JL7" s="1">
        <v>86</v>
      </c>
      <c r="JM7" s="1">
        <v>21</v>
      </c>
      <c r="JN7" s="1">
        <v>20</v>
      </c>
      <c r="JO7" s="1">
        <v>45</v>
      </c>
      <c r="JP7" s="1">
        <v>17</v>
      </c>
      <c r="JQ7" s="1">
        <v>24.630000000000003</v>
      </c>
      <c r="JR7" s="1">
        <v>112</v>
      </c>
      <c r="JS7" s="1">
        <v>16</v>
      </c>
      <c r="JT7" s="1">
        <v>19</v>
      </c>
      <c r="JU7" s="1">
        <v>43</v>
      </c>
      <c r="JV7" s="1">
        <v>18</v>
      </c>
      <c r="JW7" s="1">
        <v>26.252000000000002</v>
      </c>
      <c r="JX7" s="1">
        <v>103</v>
      </c>
      <c r="JY7" s="1">
        <v>17</v>
      </c>
      <c r="JZ7" s="1">
        <v>21</v>
      </c>
      <c r="KA7" s="1">
        <v>42</v>
      </c>
      <c r="KB7" s="1">
        <v>20</v>
      </c>
      <c r="KC7" s="1">
        <v>27.487000000000002</v>
      </c>
      <c r="KD7" s="1">
        <v>78</v>
      </c>
      <c r="KE7" s="1">
        <v>27</v>
      </c>
      <c r="KF7" s="1">
        <v>18</v>
      </c>
      <c r="KG7" s="1">
        <v>42</v>
      </c>
      <c r="KH7" s="1">
        <v>20</v>
      </c>
      <c r="KI7" s="1">
        <v>24.522000000000002</v>
      </c>
      <c r="KJ7" s="1">
        <v>103</v>
      </c>
      <c r="KK7" s="1">
        <v>24</v>
      </c>
      <c r="KL7" s="1">
        <v>23</v>
      </c>
      <c r="KM7" s="1">
        <v>42</v>
      </c>
      <c r="KN7" s="1">
        <v>23</v>
      </c>
      <c r="KO7" s="1">
        <v>27.025000000000002</v>
      </c>
      <c r="KP7" s="1">
        <v>93</v>
      </c>
      <c r="KQ7" s="1">
        <v>17</v>
      </c>
      <c r="KR7" s="1">
        <v>19</v>
      </c>
      <c r="KS7" s="1">
        <v>46</v>
      </c>
      <c r="KT7" s="1">
        <v>21</v>
      </c>
      <c r="KU7" s="1">
        <v>27.815000000000001</v>
      </c>
      <c r="KV7" s="1">
        <v>111</v>
      </c>
      <c r="KW7" s="1">
        <v>2</v>
      </c>
      <c r="KX7" s="1">
        <v>24</v>
      </c>
      <c r="KY7" s="1">
        <v>42</v>
      </c>
      <c r="KZ7" s="1">
        <v>19</v>
      </c>
      <c r="LA7" s="1">
        <v>29.233000000000001</v>
      </c>
      <c r="LB7" s="1">
        <v>96</v>
      </c>
      <c r="LC7" s="1">
        <v>17</v>
      </c>
      <c r="LD7" s="1">
        <v>21</v>
      </c>
      <c r="LE7" s="1">
        <v>45</v>
      </c>
      <c r="LF7" s="1">
        <v>22</v>
      </c>
      <c r="LG7" s="1">
        <v>27.116</v>
      </c>
      <c r="LH7" s="1">
        <v>121</v>
      </c>
      <c r="LI7" s="1">
        <v>25</v>
      </c>
      <c r="LJ7" s="1">
        <v>21</v>
      </c>
      <c r="LK7" s="1">
        <v>43</v>
      </c>
      <c r="LL7" s="1">
        <v>20</v>
      </c>
      <c r="LM7" s="1">
        <v>29.006</v>
      </c>
      <c r="LN7" s="1">
        <v>89</v>
      </c>
      <c r="LO7" s="1">
        <v>21</v>
      </c>
      <c r="LP7" s="1">
        <v>19</v>
      </c>
      <c r="LQ7" s="1">
        <v>45</v>
      </c>
      <c r="LR7" s="1">
        <v>19</v>
      </c>
      <c r="LS7" s="1">
        <v>26.559000000000001</v>
      </c>
      <c r="LT7" s="1">
        <v>123</v>
      </c>
      <c r="LU7" s="1">
        <v>16</v>
      </c>
      <c r="LV7" s="1">
        <v>25</v>
      </c>
      <c r="LW7" s="1">
        <v>44</v>
      </c>
      <c r="LX7" s="1">
        <v>22</v>
      </c>
      <c r="LY7" s="1">
        <v>29.931000000000001</v>
      </c>
      <c r="LZ7" s="1">
        <v>81</v>
      </c>
      <c r="MA7" s="1">
        <v>12</v>
      </c>
      <c r="MB7" s="1">
        <v>18</v>
      </c>
      <c r="MC7" s="1">
        <v>40</v>
      </c>
      <c r="MD7" s="1">
        <v>18</v>
      </c>
      <c r="ME7" s="1">
        <v>24.731000000000002</v>
      </c>
      <c r="MF7" s="1">
        <v>70</v>
      </c>
      <c r="MG7" s="1">
        <v>17</v>
      </c>
      <c r="MH7" s="1">
        <v>20</v>
      </c>
      <c r="MI7" s="1">
        <v>43</v>
      </c>
      <c r="MJ7" s="1">
        <v>17</v>
      </c>
      <c r="MK7" s="1">
        <v>24.206</v>
      </c>
      <c r="ML7" s="1">
        <v>93</v>
      </c>
      <c r="MM7" s="1">
        <v>19</v>
      </c>
      <c r="MN7" s="1">
        <v>23</v>
      </c>
      <c r="MO7" s="1">
        <v>46</v>
      </c>
      <c r="MP7" s="1">
        <v>21</v>
      </c>
      <c r="MQ7" s="1">
        <v>26.962</v>
      </c>
      <c r="MR7" s="1">
        <v>109</v>
      </c>
      <c r="MS7" s="1">
        <v>25</v>
      </c>
      <c r="MT7" s="1">
        <v>25</v>
      </c>
      <c r="MU7" s="1">
        <v>44</v>
      </c>
      <c r="MV7" s="1">
        <v>20</v>
      </c>
      <c r="MW7" s="1">
        <v>28.556000000000001</v>
      </c>
    </row>
    <row r="8" spans="1:361">
      <c r="A8" s="1">
        <v>5</v>
      </c>
      <c r="B8" s="1">
        <v>100</v>
      </c>
      <c r="C8" s="1">
        <v>19</v>
      </c>
      <c r="D8" s="1">
        <v>23</v>
      </c>
      <c r="E8" s="1">
        <v>42</v>
      </c>
      <c r="F8" s="1">
        <v>19</v>
      </c>
      <c r="G8" s="1">
        <v>27.615000000000002</v>
      </c>
      <c r="H8" s="1">
        <v>74</v>
      </c>
      <c r="I8" s="1">
        <v>18</v>
      </c>
      <c r="J8" s="1">
        <v>19</v>
      </c>
      <c r="K8" s="1">
        <v>43</v>
      </c>
      <c r="L8" s="1">
        <v>18</v>
      </c>
      <c r="M8" s="1">
        <v>25.241</v>
      </c>
      <c r="N8" s="1">
        <v>71</v>
      </c>
      <c r="O8" s="1">
        <v>15</v>
      </c>
      <c r="P8" s="1">
        <v>19</v>
      </c>
      <c r="Q8" s="1">
        <v>43</v>
      </c>
      <c r="R8" s="1">
        <v>23</v>
      </c>
      <c r="S8" s="1">
        <v>25.719000000000001</v>
      </c>
      <c r="T8" s="1">
        <v>67</v>
      </c>
      <c r="U8" s="1">
        <v>19</v>
      </c>
      <c r="V8" s="1">
        <v>18</v>
      </c>
      <c r="W8" s="1">
        <v>44</v>
      </c>
      <c r="X8" s="1">
        <v>19</v>
      </c>
      <c r="Y8" s="1">
        <v>25.968</v>
      </c>
      <c r="Z8" s="1">
        <v>103</v>
      </c>
      <c r="AA8" s="1">
        <v>18</v>
      </c>
      <c r="AB8" s="1">
        <v>24</v>
      </c>
      <c r="AC8" s="1">
        <v>41</v>
      </c>
      <c r="AD8" s="1">
        <v>18</v>
      </c>
      <c r="AE8" s="1">
        <v>27.384</v>
      </c>
      <c r="AF8" s="1">
        <v>111</v>
      </c>
      <c r="AG8" s="1">
        <v>21</v>
      </c>
      <c r="AH8" s="1">
        <v>24</v>
      </c>
      <c r="AI8" s="1">
        <v>45</v>
      </c>
      <c r="AJ8" s="1">
        <v>18</v>
      </c>
      <c r="AK8" s="1">
        <v>28.594000000000001</v>
      </c>
      <c r="AL8" s="1">
        <v>111</v>
      </c>
      <c r="AM8" s="1">
        <v>19</v>
      </c>
      <c r="AN8" s="1">
        <v>22</v>
      </c>
      <c r="AO8" s="1">
        <v>44</v>
      </c>
      <c r="AP8" s="1">
        <v>22</v>
      </c>
      <c r="AQ8" s="1">
        <v>29.048000000000002</v>
      </c>
      <c r="AR8" s="1">
        <v>79</v>
      </c>
      <c r="AS8" s="1">
        <v>22</v>
      </c>
      <c r="AT8" s="1">
        <v>18</v>
      </c>
      <c r="AU8" s="1">
        <v>43</v>
      </c>
      <c r="AV8" s="1">
        <v>19</v>
      </c>
      <c r="AW8" s="1">
        <v>26.12</v>
      </c>
      <c r="AX8" s="1">
        <v>103</v>
      </c>
      <c r="AY8" s="1">
        <v>24</v>
      </c>
      <c r="AZ8" s="1">
        <v>21</v>
      </c>
      <c r="BA8" s="1">
        <v>45</v>
      </c>
      <c r="BB8" s="1">
        <v>21</v>
      </c>
      <c r="BC8" s="1">
        <v>27.439</v>
      </c>
      <c r="BD8" s="1">
        <v>70</v>
      </c>
      <c r="BE8" s="1">
        <v>21</v>
      </c>
      <c r="BF8" s="1">
        <v>19</v>
      </c>
      <c r="BG8" s="1">
        <v>46</v>
      </c>
      <c r="BH8" s="1">
        <v>22</v>
      </c>
      <c r="BI8" s="1">
        <v>25.717000000000002</v>
      </c>
      <c r="BJ8" s="1">
        <v>79</v>
      </c>
      <c r="BK8" s="1">
        <v>17</v>
      </c>
      <c r="BL8" s="1">
        <v>17</v>
      </c>
      <c r="BM8" s="1">
        <v>43</v>
      </c>
      <c r="BN8" s="1">
        <v>20</v>
      </c>
      <c r="BO8" s="1">
        <v>26.037000000000003</v>
      </c>
      <c r="BP8" s="1">
        <v>83</v>
      </c>
      <c r="BQ8" s="1">
        <v>21</v>
      </c>
      <c r="BR8" s="1">
        <v>19</v>
      </c>
      <c r="BS8" s="1">
        <v>45</v>
      </c>
      <c r="BT8" s="1">
        <v>24</v>
      </c>
      <c r="BU8" s="1">
        <v>26.990000000000002</v>
      </c>
      <c r="BV8" s="1">
        <v>76</v>
      </c>
      <c r="BW8" s="1">
        <v>15</v>
      </c>
      <c r="BX8" s="1">
        <v>20</v>
      </c>
      <c r="BY8" s="1">
        <v>43</v>
      </c>
      <c r="BZ8" s="1">
        <v>22</v>
      </c>
      <c r="CA8" s="1">
        <v>26.366</v>
      </c>
      <c r="CB8" s="1">
        <v>105</v>
      </c>
      <c r="CC8" s="1">
        <v>19</v>
      </c>
      <c r="CD8" s="1">
        <v>24</v>
      </c>
      <c r="CE8" s="1">
        <v>44</v>
      </c>
      <c r="CF8" s="1">
        <v>19</v>
      </c>
      <c r="CG8" s="1">
        <v>26.701000000000001</v>
      </c>
      <c r="CH8" s="1">
        <v>76</v>
      </c>
      <c r="CI8" s="1">
        <v>14</v>
      </c>
      <c r="CJ8" s="1">
        <v>22</v>
      </c>
      <c r="CK8" s="1">
        <v>41</v>
      </c>
      <c r="CL8" s="1">
        <v>19</v>
      </c>
      <c r="CM8" s="1">
        <v>25.983000000000001</v>
      </c>
      <c r="CN8" s="1">
        <v>89</v>
      </c>
      <c r="CO8" s="1">
        <v>25</v>
      </c>
      <c r="CP8" s="1">
        <v>24</v>
      </c>
      <c r="CQ8" s="1">
        <v>42</v>
      </c>
      <c r="CR8" s="1">
        <v>20</v>
      </c>
      <c r="CS8" s="1">
        <v>25.534000000000002</v>
      </c>
      <c r="CT8" s="1">
        <v>121</v>
      </c>
      <c r="CU8" s="1">
        <v>16</v>
      </c>
      <c r="CV8" s="1">
        <v>30</v>
      </c>
      <c r="CW8" s="1">
        <v>44</v>
      </c>
      <c r="CX8" s="1">
        <v>22</v>
      </c>
      <c r="CY8" s="1">
        <v>29.271000000000001</v>
      </c>
      <c r="CZ8" s="1">
        <v>75</v>
      </c>
      <c r="DA8" s="1">
        <v>15</v>
      </c>
      <c r="DB8" s="1">
        <v>21</v>
      </c>
      <c r="DC8" s="1">
        <v>42</v>
      </c>
      <c r="DD8" s="1">
        <v>20</v>
      </c>
      <c r="DE8" s="1">
        <v>24.772000000000002</v>
      </c>
      <c r="DF8" s="1">
        <v>111</v>
      </c>
      <c r="DG8" s="1">
        <v>12</v>
      </c>
      <c r="DH8" s="1">
        <v>23</v>
      </c>
      <c r="DI8" s="1">
        <v>42</v>
      </c>
      <c r="DJ8" s="1">
        <v>19</v>
      </c>
      <c r="DK8" s="1">
        <v>27.551000000000002</v>
      </c>
      <c r="DL8" s="1">
        <v>70</v>
      </c>
      <c r="DM8" s="1">
        <v>22</v>
      </c>
      <c r="DN8" s="1">
        <v>22</v>
      </c>
      <c r="DO8" s="1">
        <v>45</v>
      </c>
      <c r="DP8" s="1">
        <v>16</v>
      </c>
      <c r="DQ8" s="1">
        <v>25.212</v>
      </c>
      <c r="DR8" s="1">
        <v>86</v>
      </c>
      <c r="DS8" s="1">
        <v>16</v>
      </c>
      <c r="DT8" s="1">
        <v>20</v>
      </c>
      <c r="DU8" s="1">
        <v>41</v>
      </c>
      <c r="DV8" s="1">
        <v>16</v>
      </c>
      <c r="DW8" s="1">
        <v>26.939</v>
      </c>
      <c r="DX8" s="1">
        <v>122</v>
      </c>
      <c r="DY8" s="1">
        <v>21</v>
      </c>
      <c r="DZ8" s="1">
        <v>27</v>
      </c>
      <c r="EA8" s="1">
        <v>44</v>
      </c>
      <c r="EB8" s="1">
        <v>18</v>
      </c>
      <c r="EC8" s="1">
        <v>29.147000000000002</v>
      </c>
      <c r="ED8" s="1">
        <v>115</v>
      </c>
      <c r="EE8" s="1">
        <v>12</v>
      </c>
      <c r="EF8" s="1">
        <v>19</v>
      </c>
      <c r="EG8" s="1">
        <v>45</v>
      </c>
      <c r="EH8" s="1">
        <v>22</v>
      </c>
      <c r="EI8" s="1">
        <v>27.891999999999999</v>
      </c>
      <c r="EJ8" s="1">
        <v>119</v>
      </c>
      <c r="EK8" s="1">
        <v>16</v>
      </c>
      <c r="EL8" s="1">
        <v>19</v>
      </c>
      <c r="EM8" s="1">
        <v>41</v>
      </c>
      <c r="EN8" s="1">
        <v>19</v>
      </c>
      <c r="EO8" s="1">
        <v>26.796000000000003</v>
      </c>
      <c r="EP8" s="1">
        <v>68</v>
      </c>
      <c r="EQ8" s="1">
        <v>20</v>
      </c>
      <c r="ER8" s="1">
        <v>15</v>
      </c>
      <c r="ES8" s="1">
        <v>42</v>
      </c>
      <c r="ET8" s="1">
        <v>20</v>
      </c>
      <c r="EU8" s="1">
        <v>24.269000000000002</v>
      </c>
      <c r="EV8" s="1">
        <v>117</v>
      </c>
      <c r="EW8" s="1">
        <v>11</v>
      </c>
      <c r="EX8" s="1">
        <v>21</v>
      </c>
      <c r="EY8" s="1">
        <v>42</v>
      </c>
      <c r="EZ8" s="1">
        <v>18</v>
      </c>
      <c r="FA8" s="1">
        <v>27.492000000000001</v>
      </c>
      <c r="FB8" s="1">
        <v>126</v>
      </c>
      <c r="FC8" s="1">
        <v>30</v>
      </c>
      <c r="FD8" s="1">
        <v>21</v>
      </c>
      <c r="FE8" s="1">
        <v>43</v>
      </c>
      <c r="FF8" s="1">
        <v>19</v>
      </c>
      <c r="FG8" s="1">
        <v>29.792000000000002</v>
      </c>
      <c r="FH8" s="1">
        <v>77</v>
      </c>
      <c r="FI8" s="1">
        <v>21</v>
      </c>
      <c r="FJ8" s="1">
        <v>22</v>
      </c>
      <c r="FK8" s="1">
        <v>44</v>
      </c>
      <c r="FL8" s="1">
        <v>18</v>
      </c>
      <c r="FM8" s="1">
        <v>26.011000000000003</v>
      </c>
      <c r="FN8" s="1">
        <v>113</v>
      </c>
      <c r="FO8" s="1">
        <v>19</v>
      </c>
      <c r="FP8" s="1">
        <v>21</v>
      </c>
      <c r="FQ8" s="1">
        <v>43</v>
      </c>
      <c r="FR8" s="1">
        <v>21</v>
      </c>
      <c r="FS8" s="1">
        <v>28.233000000000001</v>
      </c>
      <c r="FT8" s="1">
        <v>109</v>
      </c>
      <c r="FU8" s="1">
        <v>20</v>
      </c>
      <c r="FV8" s="1">
        <v>26</v>
      </c>
      <c r="FW8" s="1">
        <v>42</v>
      </c>
      <c r="FX8" s="1">
        <v>16</v>
      </c>
      <c r="FY8" s="1">
        <v>27.84</v>
      </c>
      <c r="FZ8" s="1">
        <v>100</v>
      </c>
      <c r="GA8" s="1">
        <v>21</v>
      </c>
      <c r="GB8" s="1">
        <v>20</v>
      </c>
      <c r="GC8" s="1">
        <v>40</v>
      </c>
      <c r="GD8" s="1">
        <v>18</v>
      </c>
      <c r="GE8" s="1">
        <v>25.787000000000003</v>
      </c>
      <c r="GF8" s="1">
        <v>116</v>
      </c>
      <c r="GG8" s="1">
        <v>18</v>
      </c>
      <c r="GH8" s="1">
        <v>24</v>
      </c>
      <c r="GI8" s="1">
        <v>40</v>
      </c>
      <c r="GJ8" s="1">
        <v>18</v>
      </c>
      <c r="GK8" s="1">
        <v>28.342000000000002</v>
      </c>
      <c r="GL8" s="1">
        <v>85</v>
      </c>
      <c r="GM8" s="1">
        <v>17</v>
      </c>
      <c r="GN8" s="1">
        <v>22</v>
      </c>
      <c r="GO8" s="1">
        <v>41</v>
      </c>
      <c r="GP8" s="1">
        <v>21</v>
      </c>
      <c r="GQ8" s="1">
        <v>27.089000000000002</v>
      </c>
      <c r="GR8" s="1">
        <v>126</v>
      </c>
      <c r="GS8" s="1">
        <v>17</v>
      </c>
      <c r="GT8" s="1">
        <v>24</v>
      </c>
      <c r="GU8" s="1">
        <v>45</v>
      </c>
      <c r="GV8" s="1">
        <v>22</v>
      </c>
      <c r="GW8" s="1">
        <v>30.567</v>
      </c>
      <c r="GX8" s="1">
        <v>96</v>
      </c>
      <c r="GY8" s="1">
        <v>18</v>
      </c>
      <c r="GZ8" s="1">
        <v>23</v>
      </c>
      <c r="HA8" s="1">
        <v>39</v>
      </c>
      <c r="HB8" s="1">
        <v>17</v>
      </c>
      <c r="HC8" s="1">
        <v>26.679000000000002</v>
      </c>
      <c r="HD8" s="1">
        <v>93</v>
      </c>
      <c r="HE8" s="1">
        <v>10</v>
      </c>
      <c r="HF8" s="1">
        <v>19</v>
      </c>
      <c r="HG8" s="1">
        <v>45</v>
      </c>
      <c r="HH8" s="1">
        <v>20</v>
      </c>
      <c r="HI8" s="1">
        <v>26.329000000000001</v>
      </c>
      <c r="HJ8" s="1">
        <v>82</v>
      </c>
      <c r="HK8" s="1">
        <v>19</v>
      </c>
      <c r="HL8" s="1">
        <v>23</v>
      </c>
      <c r="HM8" s="1">
        <v>45</v>
      </c>
      <c r="HN8" s="1">
        <v>22</v>
      </c>
      <c r="HO8" s="1">
        <v>25.688000000000002</v>
      </c>
      <c r="HP8" s="1">
        <v>101</v>
      </c>
      <c r="HQ8" s="1">
        <v>19</v>
      </c>
      <c r="HR8" s="1">
        <v>24</v>
      </c>
      <c r="HS8" s="1">
        <v>43</v>
      </c>
      <c r="HT8" s="1">
        <v>18</v>
      </c>
      <c r="HU8" s="1">
        <v>28.923999999999999</v>
      </c>
      <c r="HV8" s="1">
        <v>108</v>
      </c>
      <c r="HW8" s="1">
        <v>32</v>
      </c>
      <c r="HX8" s="1">
        <v>28</v>
      </c>
      <c r="HY8" s="1">
        <v>46</v>
      </c>
      <c r="HZ8" s="1">
        <v>20</v>
      </c>
      <c r="IA8" s="1">
        <v>30.919</v>
      </c>
      <c r="IB8" s="1">
        <v>75</v>
      </c>
      <c r="IC8" s="1">
        <v>17</v>
      </c>
      <c r="ID8" s="1">
        <v>21</v>
      </c>
      <c r="IE8" s="1">
        <v>43</v>
      </c>
      <c r="IF8" s="1">
        <v>20</v>
      </c>
      <c r="IG8" s="1">
        <v>23.948</v>
      </c>
      <c r="IH8" s="1">
        <v>122</v>
      </c>
      <c r="II8" s="1">
        <v>19</v>
      </c>
      <c r="IJ8" s="1">
        <v>24</v>
      </c>
      <c r="IK8" s="1">
        <v>41</v>
      </c>
      <c r="IL8" s="1">
        <v>20</v>
      </c>
      <c r="IM8" s="1">
        <v>29.612000000000002</v>
      </c>
      <c r="IN8" s="1">
        <v>103</v>
      </c>
      <c r="IO8" s="1">
        <v>15</v>
      </c>
      <c r="IP8" s="1">
        <v>26</v>
      </c>
      <c r="IQ8" s="1">
        <v>41</v>
      </c>
      <c r="IR8" s="1">
        <v>17</v>
      </c>
      <c r="IS8" s="1">
        <v>25.757000000000001</v>
      </c>
      <c r="IT8" s="1">
        <v>104</v>
      </c>
      <c r="IU8" s="1">
        <v>24</v>
      </c>
      <c r="IV8" s="1">
        <v>28</v>
      </c>
      <c r="IW8" s="1">
        <v>42</v>
      </c>
      <c r="IX8" s="1">
        <v>20</v>
      </c>
      <c r="IY8" s="1">
        <v>28.397000000000002</v>
      </c>
      <c r="IZ8" s="1">
        <v>76</v>
      </c>
      <c r="JA8" s="1">
        <v>23</v>
      </c>
      <c r="JB8" s="1">
        <v>19</v>
      </c>
      <c r="JC8" s="1">
        <v>44</v>
      </c>
      <c r="JD8" s="1">
        <v>17</v>
      </c>
      <c r="JE8" s="1">
        <v>26.289000000000001</v>
      </c>
      <c r="JF8" s="1">
        <v>114</v>
      </c>
      <c r="JG8" s="1">
        <v>22</v>
      </c>
      <c r="JH8" s="1">
        <v>20</v>
      </c>
      <c r="JI8" s="1">
        <v>44</v>
      </c>
      <c r="JJ8" s="1">
        <v>18</v>
      </c>
      <c r="JK8" s="1">
        <v>28.107000000000003</v>
      </c>
      <c r="JL8" s="1">
        <v>119</v>
      </c>
      <c r="JM8" s="1">
        <v>14</v>
      </c>
      <c r="JN8" s="1">
        <v>25</v>
      </c>
      <c r="JO8" s="1">
        <v>46</v>
      </c>
      <c r="JP8" s="1">
        <v>19</v>
      </c>
      <c r="JQ8" s="1">
        <v>28.41</v>
      </c>
      <c r="JR8" s="1">
        <v>90</v>
      </c>
      <c r="JS8" s="1">
        <v>26</v>
      </c>
      <c r="JT8" s="1">
        <v>20</v>
      </c>
      <c r="JU8" s="1">
        <v>41</v>
      </c>
      <c r="JV8" s="1">
        <v>22</v>
      </c>
      <c r="JW8" s="1">
        <v>24.825000000000003</v>
      </c>
      <c r="JX8" s="1">
        <v>74</v>
      </c>
      <c r="JY8" s="1">
        <v>12</v>
      </c>
      <c r="JZ8" s="1">
        <v>19</v>
      </c>
      <c r="KA8" s="1">
        <v>44</v>
      </c>
      <c r="KB8" s="1">
        <v>21</v>
      </c>
      <c r="KC8" s="1">
        <v>27.675000000000001</v>
      </c>
      <c r="KD8" s="1">
        <v>84</v>
      </c>
      <c r="KE8" s="1">
        <v>26</v>
      </c>
      <c r="KF8" s="1">
        <v>20</v>
      </c>
      <c r="KG8" s="1">
        <v>41</v>
      </c>
      <c r="KH8" s="1">
        <v>18</v>
      </c>
      <c r="KI8" s="1">
        <v>24.061</v>
      </c>
      <c r="KJ8" s="1">
        <v>126</v>
      </c>
      <c r="KK8" s="1">
        <v>23</v>
      </c>
      <c r="KL8" s="1">
        <v>24</v>
      </c>
      <c r="KM8" s="1">
        <v>44</v>
      </c>
      <c r="KN8" s="1">
        <v>20</v>
      </c>
      <c r="KO8" s="1">
        <v>29.432000000000002</v>
      </c>
      <c r="KP8" s="1">
        <v>64</v>
      </c>
      <c r="KQ8" s="1">
        <v>19</v>
      </c>
      <c r="KR8" s="1">
        <v>20</v>
      </c>
      <c r="KS8" s="1">
        <v>40</v>
      </c>
      <c r="KT8" s="1">
        <v>19</v>
      </c>
      <c r="KU8" s="1">
        <v>24.868000000000002</v>
      </c>
      <c r="KV8" s="1">
        <v>110</v>
      </c>
      <c r="KW8" s="1">
        <v>7</v>
      </c>
      <c r="KX8" s="1">
        <v>22</v>
      </c>
      <c r="KY8" s="1">
        <v>43</v>
      </c>
      <c r="KZ8" s="1">
        <v>23</v>
      </c>
      <c r="LA8" s="1">
        <v>27.591000000000001</v>
      </c>
      <c r="LB8" s="1">
        <v>113</v>
      </c>
      <c r="LC8" s="1">
        <v>15</v>
      </c>
      <c r="LD8" s="1">
        <v>22</v>
      </c>
      <c r="LE8" s="1">
        <v>42</v>
      </c>
      <c r="LF8" s="1">
        <v>22</v>
      </c>
      <c r="LG8" s="1">
        <v>27.772000000000002</v>
      </c>
      <c r="LH8" s="1">
        <v>93</v>
      </c>
      <c r="LI8" s="1">
        <v>9</v>
      </c>
      <c r="LJ8" s="1">
        <v>26</v>
      </c>
      <c r="LK8" s="1">
        <v>46</v>
      </c>
      <c r="LL8" s="1">
        <v>20</v>
      </c>
      <c r="LM8" s="1">
        <v>28.883000000000003</v>
      </c>
      <c r="LN8" s="1">
        <v>120</v>
      </c>
      <c r="LO8" s="1">
        <v>26</v>
      </c>
      <c r="LP8" s="1">
        <v>26</v>
      </c>
      <c r="LQ8" s="1">
        <v>41</v>
      </c>
      <c r="LR8" s="1">
        <v>21</v>
      </c>
      <c r="LS8" s="1">
        <v>29.097000000000001</v>
      </c>
      <c r="LT8" s="1">
        <v>130</v>
      </c>
      <c r="LU8" s="1">
        <v>18</v>
      </c>
      <c r="LV8" s="1">
        <v>24</v>
      </c>
      <c r="LW8" s="1">
        <v>42</v>
      </c>
      <c r="LX8" s="1">
        <v>16</v>
      </c>
      <c r="LY8" s="1">
        <v>27.363</v>
      </c>
      <c r="LZ8" s="1">
        <v>70</v>
      </c>
      <c r="MA8" s="1">
        <v>17</v>
      </c>
      <c r="MB8" s="1">
        <v>21</v>
      </c>
      <c r="MC8" s="1">
        <v>44</v>
      </c>
      <c r="MD8" s="1">
        <v>19</v>
      </c>
      <c r="ME8" s="1">
        <v>24.952000000000002</v>
      </c>
      <c r="MF8" s="1">
        <v>77</v>
      </c>
      <c r="MG8" s="1">
        <v>12</v>
      </c>
      <c r="MH8" s="1">
        <v>21</v>
      </c>
      <c r="MI8" s="1">
        <v>44</v>
      </c>
      <c r="MJ8" s="1">
        <v>22</v>
      </c>
      <c r="MK8" s="1">
        <v>25.206</v>
      </c>
      <c r="ML8" s="1">
        <v>106</v>
      </c>
      <c r="MM8" s="1">
        <v>21</v>
      </c>
      <c r="MN8" s="1">
        <v>21</v>
      </c>
      <c r="MO8" s="1">
        <v>40</v>
      </c>
      <c r="MP8" s="1">
        <v>21</v>
      </c>
      <c r="MQ8" s="1">
        <v>27.362000000000002</v>
      </c>
      <c r="MR8" s="1">
        <v>72</v>
      </c>
      <c r="MS8" s="1">
        <v>17</v>
      </c>
      <c r="MT8" s="1">
        <v>17</v>
      </c>
      <c r="MU8" s="1">
        <v>45</v>
      </c>
      <c r="MV8" s="1">
        <v>22</v>
      </c>
      <c r="MW8" s="1">
        <v>25.585000000000001</v>
      </c>
    </row>
    <row r="9" spans="1:361">
      <c r="A9" s="1">
        <v>6</v>
      </c>
      <c r="B9" s="1">
        <v>108</v>
      </c>
      <c r="C9" s="1">
        <v>19</v>
      </c>
      <c r="D9" s="1">
        <v>23</v>
      </c>
      <c r="E9" s="1">
        <v>42</v>
      </c>
      <c r="F9" s="1">
        <v>21</v>
      </c>
      <c r="G9" s="1">
        <v>27.951000000000001</v>
      </c>
      <c r="H9" s="1">
        <v>122</v>
      </c>
      <c r="I9" s="1">
        <v>22</v>
      </c>
      <c r="J9" s="1">
        <v>26</v>
      </c>
      <c r="K9" s="1">
        <v>42</v>
      </c>
      <c r="L9" s="1">
        <v>19</v>
      </c>
      <c r="M9" s="1">
        <v>29.467000000000002</v>
      </c>
      <c r="N9" s="1">
        <v>114</v>
      </c>
      <c r="O9" s="1">
        <v>16</v>
      </c>
      <c r="P9" s="1">
        <v>19</v>
      </c>
      <c r="Q9" s="1">
        <v>42</v>
      </c>
      <c r="R9" s="1">
        <v>23</v>
      </c>
      <c r="S9" s="1">
        <v>27.121000000000002</v>
      </c>
      <c r="T9" s="1">
        <v>72</v>
      </c>
      <c r="U9" s="1">
        <v>21</v>
      </c>
      <c r="V9" s="1">
        <v>18</v>
      </c>
      <c r="W9" s="1">
        <v>43</v>
      </c>
      <c r="X9" s="1">
        <v>22</v>
      </c>
      <c r="Y9" s="1">
        <v>24.380000000000003</v>
      </c>
      <c r="Z9" s="1">
        <v>90</v>
      </c>
      <c r="AA9" s="1">
        <v>21</v>
      </c>
      <c r="AB9" s="1">
        <v>21</v>
      </c>
      <c r="AC9" s="1">
        <v>45</v>
      </c>
      <c r="AD9" s="1">
        <v>19</v>
      </c>
      <c r="AE9" s="1">
        <v>29.248000000000001</v>
      </c>
      <c r="AF9" s="1">
        <v>118</v>
      </c>
      <c r="AG9" s="1">
        <v>23</v>
      </c>
      <c r="AH9" s="1">
        <v>22</v>
      </c>
      <c r="AI9" s="1">
        <v>43</v>
      </c>
      <c r="AJ9" s="1">
        <v>21</v>
      </c>
      <c r="AK9" s="1">
        <v>27.764000000000003</v>
      </c>
      <c r="AL9" s="1">
        <v>84</v>
      </c>
      <c r="AM9" s="1">
        <v>22</v>
      </c>
      <c r="AN9" s="1">
        <v>21</v>
      </c>
      <c r="AO9" s="1">
        <v>44</v>
      </c>
      <c r="AP9" s="1">
        <v>19</v>
      </c>
      <c r="AQ9" s="1">
        <v>26.810000000000002</v>
      </c>
      <c r="AR9" s="1">
        <v>80</v>
      </c>
      <c r="AS9" s="1">
        <v>14</v>
      </c>
      <c r="AT9" s="1">
        <v>22</v>
      </c>
      <c r="AU9" s="1">
        <v>42</v>
      </c>
      <c r="AV9" s="1">
        <v>21</v>
      </c>
      <c r="AW9" s="1">
        <v>24.376000000000001</v>
      </c>
      <c r="AX9" s="1">
        <v>75</v>
      </c>
      <c r="AY9" s="1">
        <v>21</v>
      </c>
      <c r="AZ9" s="1">
        <v>19</v>
      </c>
      <c r="BA9" s="1">
        <v>42</v>
      </c>
      <c r="BB9" s="1">
        <v>21</v>
      </c>
      <c r="BC9" s="1">
        <v>24.817</v>
      </c>
      <c r="BD9" s="1">
        <v>96</v>
      </c>
      <c r="BE9" s="1">
        <v>22</v>
      </c>
      <c r="BF9" s="1">
        <v>22</v>
      </c>
      <c r="BG9" s="1">
        <v>43</v>
      </c>
      <c r="BH9" s="1">
        <v>18</v>
      </c>
      <c r="BI9" s="1">
        <v>28.481000000000002</v>
      </c>
      <c r="BJ9" s="1">
        <v>116</v>
      </c>
      <c r="BK9" s="1">
        <v>24</v>
      </c>
      <c r="BL9" s="1">
        <v>18</v>
      </c>
      <c r="BM9" s="1">
        <v>43</v>
      </c>
      <c r="BN9" s="1">
        <v>23</v>
      </c>
      <c r="BO9" s="1">
        <v>28.407</v>
      </c>
      <c r="BP9" s="1">
        <v>97</v>
      </c>
      <c r="BQ9" s="1">
        <v>25</v>
      </c>
      <c r="BR9" s="1">
        <v>21</v>
      </c>
      <c r="BS9" s="1">
        <v>43</v>
      </c>
      <c r="BT9" s="1">
        <v>19</v>
      </c>
      <c r="BU9" s="1">
        <v>26.470000000000002</v>
      </c>
      <c r="BV9" s="1">
        <v>104</v>
      </c>
      <c r="BW9" s="1">
        <v>16</v>
      </c>
      <c r="BX9" s="1">
        <v>20</v>
      </c>
      <c r="BY9" s="1">
        <v>44</v>
      </c>
      <c r="BZ9" s="1">
        <v>19</v>
      </c>
      <c r="CA9" s="1">
        <v>27.071000000000002</v>
      </c>
      <c r="CB9" s="1">
        <v>121</v>
      </c>
      <c r="CC9" s="1">
        <v>15</v>
      </c>
      <c r="CD9" s="1">
        <v>21</v>
      </c>
      <c r="CE9" s="1">
        <v>46</v>
      </c>
      <c r="CF9" s="1">
        <v>22</v>
      </c>
      <c r="CG9" s="1">
        <v>28.629000000000001</v>
      </c>
      <c r="CH9" s="1">
        <v>96</v>
      </c>
      <c r="CI9" s="1">
        <v>16</v>
      </c>
      <c r="CJ9" s="1">
        <v>21</v>
      </c>
      <c r="CK9" s="1">
        <v>44</v>
      </c>
      <c r="CL9" s="1">
        <v>17</v>
      </c>
      <c r="CM9" s="1">
        <v>26.085000000000001</v>
      </c>
      <c r="CN9" s="1">
        <v>94</v>
      </c>
      <c r="CO9" s="1">
        <v>14</v>
      </c>
      <c r="CP9" s="1">
        <v>22</v>
      </c>
      <c r="CQ9" s="1">
        <v>43</v>
      </c>
      <c r="CR9" s="1">
        <v>19</v>
      </c>
      <c r="CS9" s="1">
        <v>26.447000000000003</v>
      </c>
      <c r="CT9" s="1">
        <v>116</v>
      </c>
      <c r="CU9" s="1">
        <v>16</v>
      </c>
      <c r="CV9" s="1">
        <v>19</v>
      </c>
      <c r="CW9" s="1">
        <v>45</v>
      </c>
      <c r="CX9" s="1">
        <v>24</v>
      </c>
      <c r="CY9" s="1">
        <v>29.265000000000001</v>
      </c>
      <c r="CZ9" s="1">
        <v>81</v>
      </c>
      <c r="DA9" s="1">
        <v>19</v>
      </c>
      <c r="DB9" s="1">
        <v>23</v>
      </c>
      <c r="DC9" s="1">
        <v>42</v>
      </c>
      <c r="DD9" s="1">
        <v>20</v>
      </c>
      <c r="DE9" s="1">
        <v>25.377000000000002</v>
      </c>
      <c r="DF9" s="1">
        <v>126</v>
      </c>
      <c r="DG9" s="1">
        <v>31</v>
      </c>
      <c r="DH9" s="1">
        <v>26</v>
      </c>
      <c r="DI9" s="1">
        <v>43</v>
      </c>
      <c r="DJ9" s="1">
        <v>19</v>
      </c>
      <c r="DK9" s="1">
        <v>28.137</v>
      </c>
      <c r="DL9" s="1">
        <v>105</v>
      </c>
      <c r="DM9" s="1">
        <v>18</v>
      </c>
      <c r="DN9" s="1">
        <v>24</v>
      </c>
      <c r="DO9" s="1">
        <v>40</v>
      </c>
      <c r="DP9" s="1">
        <v>17</v>
      </c>
      <c r="DQ9" s="1">
        <v>26.618000000000002</v>
      </c>
      <c r="DR9" s="1">
        <v>100</v>
      </c>
      <c r="DS9" s="1">
        <v>15</v>
      </c>
      <c r="DT9" s="1">
        <v>24</v>
      </c>
      <c r="DU9" s="1">
        <v>42</v>
      </c>
      <c r="DV9" s="1">
        <v>22</v>
      </c>
      <c r="DW9" s="1">
        <v>28.155000000000001</v>
      </c>
      <c r="DX9" s="1">
        <v>111</v>
      </c>
      <c r="DY9" s="1">
        <v>21</v>
      </c>
      <c r="DZ9" s="1">
        <v>19</v>
      </c>
      <c r="EA9" s="1">
        <v>41</v>
      </c>
      <c r="EB9" s="1">
        <v>19</v>
      </c>
      <c r="EC9" s="1">
        <v>27.772000000000002</v>
      </c>
      <c r="ED9" s="1">
        <v>106</v>
      </c>
      <c r="EE9" s="1">
        <v>15</v>
      </c>
      <c r="EF9" s="1">
        <v>26</v>
      </c>
      <c r="EG9" s="1">
        <v>43</v>
      </c>
      <c r="EH9" s="1">
        <v>21</v>
      </c>
      <c r="EI9" s="1">
        <v>27.656000000000002</v>
      </c>
      <c r="EJ9" s="1">
        <v>89</v>
      </c>
      <c r="EK9" s="1">
        <v>13</v>
      </c>
      <c r="EL9" s="1">
        <v>21</v>
      </c>
      <c r="EM9" s="1">
        <v>42</v>
      </c>
      <c r="EN9" s="1">
        <v>21</v>
      </c>
      <c r="EO9" s="1">
        <v>26.446000000000002</v>
      </c>
      <c r="EP9" s="1">
        <v>82</v>
      </c>
      <c r="EQ9" s="1">
        <v>12</v>
      </c>
      <c r="ER9" s="1">
        <v>14</v>
      </c>
      <c r="ES9" s="1">
        <v>42</v>
      </c>
      <c r="ET9" s="1">
        <v>16</v>
      </c>
      <c r="EU9" s="1">
        <v>25.173000000000002</v>
      </c>
      <c r="EV9" s="1">
        <v>93</v>
      </c>
      <c r="EW9" s="1">
        <v>17</v>
      </c>
      <c r="EX9" s="1">
        <v>18</v>
      </c>
      <c r="EY9" s="1">
        <v>44</v>
      </c>
      <c r="EZ9" s="1">
        <v>25</v>
      </c>
      <c r="FA9" s="1">
        <v>26.67</v>
      </c>
      <c r="FB9" s="1">
        <v>84</v>
      </c>
      <c r="FC9" s="1">
        <v>14</v>
      </c>
      <c r="FD9" s="1">
        <v>20</v>
      </c>
      <c r="FE9" s="1">
        <v>43</v>
      </c>
      <c r="FF9" s="1">
        <v>24</v>
      </c>
      <c r="FG9" s="1">
        <v>27.298000000000002</v>
      </c>
      <c r="FH9" s="1">
        <v>96</v>
      </c>
      <c r="FI9" s="1">
        <v>24</v>
      </c>
      <c r="FJ9" s="1">
        <v>19</v>
      </c>
      <c r="FK9" s="1">
        <v>45</v>
      </c>
      <c r="FL9" s="1">
        <v>17</v>
      </c>
      <c r="FM9" s="1">
        <v>25.775000000000002</v>
      </c>
      <c r="FN9" s="1">
        <v>98</v>
      </c>
      <c r="FO9" s="1">
        <v>12</v>
      </c>
      <c r="FP9" s="1">
        <v>19</v>
      </c>
      <c r="FQ9" s="1">
        <v>43</v>
      </c>
      <c r="FR9" s="1">
        <v>18</v>
      </c>
      <c r="FS9" s="1">
        <v>26.316000000000003</v>
      </c>
      <c r="FT9" s="1">
        <v>116</v>
      </c>
      <c r="FU9" s="1">
        <v>18</v>
      </c>
      <c r="FV9" s="1">
        <v>24</v>
      </c>
      <c r="FW9" s="1">
        <v>38</v>
      </c>
      <c r="FX9" s="1">
        <v>20</v>
      </c>
      <c r="FY9" s="1">
        <v>27.412000000000003</v>
      </c>
      <c r="FZ9" s="1">
        <v>86</v>
      </c>
      <c r="GA9" s="1">
        <v>14</v>
      </c>
      <c r="GB9" s="1">
        <v>26</v>
      </c>
      <c r="GC9" s="1">
        <v>42</v>
      </c>
      <c r="GD9" s="1">
        <v>20</v>
      </c>
      <c r="GE9" s="1">
        <v>24.03</v>
      </c>
      <c r="GF9" s="1">
        <v>129</v>
      </c>
      <c r="GG9" s="1">
        <v>25</v>
      </c>
      <c r="GH9" s="1">
        <v>25</v>
      </c>
      <c r="GI9" s="1">
        <v>41</v>
      </c>
      <c r="GJ9" s="1">
        <v>15</v>
      </c>
      <c r="GK9" s="1">
        <v>27.714000000000002</v>
      </c>
      <c r="GL9" s="1">
        <v>118</v>
      </c>
      <c r="GM9" s="1">
        <v>16</v>
      </c>
      <c r="GN9" s="1">
        <v>27</v>
      </c>
      <c r="GO9" s="1">
        <v>44</v>
      </c>
      <c r="GP9" s="1">
        <v>19</v>
      </c>
      <c r="GQ9" s="1">
        <v>29.539000000000001</v>
      </c>
      <c r="GR9" s="1">
        <v>109</v>
      </c>
      <c r="GS9" s="1">
        <v>17</v>
      </c>
      <c r="GT9" s="1">
        <v>21</v>
      </c>
      <c r="GU9" s="1">
        <v>46</v>
      </c>
      <c r="GV9" s="1">
        <v>18</v>
      </c>
      <c r="GW9" s="1">
        <v>27.986000000000001</v>
      </c>
      <c r="GX9" s="1">
        <v>91</v>
      </c>
      <c r="GY9" s="1">
        <v>23</v>
      </c>
      <c r="GZ9" s="1">
        <v>21</v>
      </c>
      <c r="HA9" s="1">
        <v>42</v>
      </c>
      <c r="HB9" s="1">
        <v>22</v>
      </c>
      <c r="HC9" s="1">
        <v>28.53</v>
      </c>
      <c r="HD9" s="1">
        <v>88</v>
      </c>
      <c r="HE9" s="1">
        <v>12</v>
      </c>
      <c r="HF9" s="1">
        <v>22</v>
      </c>
      <c r="HG9" s="1">
        <v>42</v>
      </c>
      <c r="HH9" s="1">
        <v>16</v>
      </c>
      <c r="HI9" s="1">
        <v>25.558</v>
      </c>
      <c r="HJ9" s="1">
        <v>128</v>
      </c>
      <c r="HK9" s="1">
        <v>29</v>
      </c>
      <c r="HL9" s="1">
        <v>28</v>
      </c>
      <c r="HM9" s="1">
        <v>40</v>
      </c>
      <c r="HN9" s="1">
        <v>18</v>
      </c>
      <c r="HO9" s="1">
        <v>27.794</v>
      </c>
      <c r="HP9" s="1">
        <v>79</v>
      </c>
      <c r="HQ9" s="1">
        <v>24</v>
      </c>
      <c r="HR9" s="1">
        <v>21</v>
      </c>
      <c r="HS9" s="1">
        <v>45</v>
      </c>
      <c r="HT9" s="1">
        <v>20</v>
      </c>
      <c r="HU9" s="1">
        <v>24.915000000000003</v>
      </c>
      <c r="HV9" s="1">
        <v>72</v>
      </c>
      <c r="HW9" s="1">
        <v>20</v>
      </c>
      <c r="HX9" s="1">
        <v>19</v>
      </c>
      <c r="HY9" s="1">
        <v>44</v>
      </c>
      <c r="HZ9" s="1">
        <v>20</v>
      </c>
      <c r="IA9" s="1">
        <v>26.016999999999999</v>
      </c>
      <c r="IB9" s="1">
        <v>106</v>
      </c>
      <c r="IC9" s="1">
        <v>23</v>
      </c>
      <c r="ID9" s="1">
        <v>20</v>
      </c>
      <c r="IE9" s="1">
        <v>45</v>
      </c>
      <c r="IF9" s="1">
        <v>18</v>
      </c>
      <c r="IG9" s="1">
        <v>27.363</v>
      </c>
      <c r="IH9" s="1">
        <v>123</v>
      </c>
      <c r="II9" s="1">
        <v>21</v>
      </c>
      <c r="IJ9" s="1">
        <v>24</v>
      </c>
      <c r="IK9" s="1">
        <v>45</v>
      </c>
      <c r="IL9" s="1">
        <v>21</v>
      </c>
      <c r="IM9" s="1">
        <v>29.052</v>
      </c>
      <c r="IN9" s="1">
        <v>128</v>
      </c>
      <c r="IO9" s="1">
        <v>19</v>
      </c>
      <c r="IP9" s="1">
        <v>30</v>
      </c>
      <c r="IQ9" s="1">
        <v>41</v>
      </c>
      <c r="IR9" s="1">
        <v>21</v>
      </c>
      <c r="IS9" s="1">
        <v>27.02</v>
      </c>
      <c r="IT9" s="1">
        <v>107</v>
      </c>
      <c r="IU9" s="1">
        <v>19</v>
      </c>
      <c r="IV9" s="1">
        <v>22</v>
      </c>
      <c r="IW9" s="1">
        <v>47</v>
      </c>
      <c r="IX9" s="1">
        <v>20</v>
      </c>
      <c r="IY9" s="1">
        <v>27.057000000000002</v>
      </c>
      <c r="IZ9" s="1">
        <v>124</v>
      </c>
      <c r="JA9" s="1">
        <v>21</v>
      </c>
      <c r="JB9" s="1">
        <v>28</v>
      </c>
      <c r="JC9" s="1">
        <v>44</v>
      </c>
      <c r="JD9" s="1">
        <v>19</v>
      </c>
      <c r="JE9" s="1">
        <v>29.786000000000001</v>
      </c>
      <c r="JF9" s="1">
        <v>85</v>
      </c>
      <c r="JG9" s="1">
        <v>15</v>
      </c>
      <c r="JH9" s="1">
        <v>25</v>
      </c>
      <c r="JI9" s="1">
        <v>43</v>
      </c>
      <c r="JJ9" s="1">
        <v>23</v>
      </c>
      <c r="JK9" s="1">
        <v>25.631</v>
      </c>
      <c r="JL9" s="1">
        <v>87</v>
      </c>
      <c r="JM9" s="1">
        <v>16</v>
      </c>
      <c r="JN9" s="1">
        <v>21</v>
      </c>
      <c r="JO9" s="1">
        <v>42</v>
      </c>
      <c r="JP9" s="1">
        <v>20</v>
      </c>
      <c r="JQ9" s="1">
        <v>26.176000000000002</v>
      </c>
      <c r="JR9" s="1">
        <v>106</v>
      </c>
      <c r="JS9" s="1">
        <v>30</v>
      </c>
      <c r="JT9" s="1">
        <v>23</v>
      </c>
      <c r="JU9" s="1">
        <v>41</v>
      </c>
      <c r="JV9" s="1">
        <v>19</v>
      </c>
      <c r="JW9" s="1">
        <v>26.826000000000001</v>
      </c>
      <c r="JX9" s="1">
        <v>75</v>
      </c>
      <c r="JY9" s="1">
        <v>16</v>
      </c>
      <c r="JZ9" s="1">
        <v>20</v>
      </c>
      <c r="KA9" s="1">
        <v>47</v>
      </c>
      <c r="KB9" s="1">
        <v>23</v>
      </c>
      <c r="KC9" s="1">
        <v>24.990000000000002</v>
      </c>
      <c r="KD9" s="1">
        <v>84</v>
      </c>
      <c r="KE9" s="1">
        <v>13</v>
      </c>
      <c r="KF9" s="1">
        <v>21</v>
      </c>
      <c r="KG9" s="1">
        <v>45</v>
      </c>
      <c r="KH9" s="1">
        <v>21</v>
      </c>
      <c r="KI9" s="1">
        <v>26.379000000000001</v>
      </c>
      <c r="KJ9" s="1">
        <v>80</v>
      </c>
      <c r="KK9" s="1">
        <v>14</v>
      </c>
      <c r="KL9" s="1">
        <v>22</v>
      </c>
      <c r="KM9" s="1">
        <v>44</v>
      </c>
      <c r="KN9" s="1">
        <v>23</v>
      </c>
      <c r="KO9" s="1">
        <v>26.137</v>
      </c>
      <c r="KP9" s="1">
        <v>106</v>
      </c>
      <c r="KQ9" s="1">
        <v>12</v>
      </c>
      <c r="KR9" s="1">
        <v>24</v>
      </c>
      <c r="KS9" s="1">
        <v>45</v>
      </c>
      <c r="KT9" s="1">
        <v>18</v>
      </c>
      <c r="KU9" s="1">
        <v>27.825000000000003</v>
      </c>
      <c r="KV9" s="1">
        <v>125</v>
      </c>
      <c r="KW9" s="1">
        <v>24</v>
      </c>
      <c r="KX9" s="1">
        <v>25</v>
      </c>
      <c r="KY9" s="1">
        <v>42</v>
      </c>
      <c r="KZ9" s="1">
        <v>15</v>
      </c>
      <c r="LA9" s="1">
        <v>28.363</v>
      </c>
      <c r="LB9" s="1">
        <v>121</v>
      </c>
      <c r="LC9" s="1">
        <v>19</v>
      </c>
      <c r="LD9" s="1">
        <v>25</v>
      </c>
      <c r="LE9" s="1">
        <v>40</v>
      </c>
      <c r="LF9" s="1">
        <v>18</v>
      </c>
      <c r="LG9" s="1">
        <v>28.313000000000002</v>
      </c>
      <c r="LH9" s="1">
        <v>115</v>
      </c>
      <c r="LI9" s="1">
        <v>15</v>
      </c>
      <c r="LJ9" s="1">
        <v>19</v>
      </c>
      <c r="LK9" s="1">
        <v>41</v>
      </c>
      <c r="LL9" s="1">
        <v>20</v>
      </c>
      <c r="LM9" s="1">
        <v>29.421000000000003</v>
      </c>
      <c r="LN9" s="1">
        <v>71</v>
      </c>
      <c r="LO9" s="1">
        <v>17</v>
      </c>
      <c r="LP9" s="1">
        <v>20</v>
      </c>
      <c r="LQ9" s="1">
        <v>45</v>
      </c>
      <c r="LR9" s="1">
        <v>19</v>
      </c>
      <c r="LS9" s="1">
        <v>24.526</v>
      </c>
      <c r="LT9" s="1">
        <v>71</v>
      </c>
      <c r="LU9" s="1">
        <v>19</v>
      </c>
      <c r="LV9" s="1">
        <v>22</v>
      </c>
      <c r="LW9" s="1">
        <v>40</v>
      </c>
      <c r="LX9" s="1">
        <v>20</v>
      </c>
      <c r="LY9" s="1">
        <v>24.955000000000002</v>
      </c>
      <c r="LZ9" s="1">
        <v>104</v>
      </c>
      <c r="MA9" s="1">
        <v>20</v>
      </c>
      <c r="MB9" s="1">
        <v>23</v>
      </c>
      <c r="MC9" s="1">
        <v>41</v>
      </c>
      <c r="MD9" s="1">
        <v>22</v>
      </c>
      <c r="ME9" s="1">
        <v>28.39</v>
      </c>
      <c r="MF9" s="1">
        <v>84</v>
      </c>
      <c r="MG9" s="1">
        <v>17</v>
      </c>
      <c r="MH9" s="1">
        <v>20</v>
      </c>
      <c r="MI9" s="1">
        <v>45</v>
      </c>
      <c r="MJ9" s="1">
        <v>20</v>
      </c>
      <c r="MK9" s="1">
        <v>27.611000000000001</v>
      </c>
      <c r="ML9" s="1">
        <v>95</v>
      </c>
      <c r="MM9" s="1">
        <v>25</v>
      </c>
      <c r="MN9" s="1">
        <v>24</v>
      </c>
      <c r="MO9" s="1">
        <v>44</v>
      </c>
      <c r="MP9" s="1">
        <v>21</v>
      </c>
      <c r="MQ9" s="1">
        <v>27.884</v>
      </c>
      <c r="MR9" s="1">
        <v>118</v>
      </c>
      <c r="MS9" s="1">
        <v>16</v>
      </c>
      <c r="MT9" s="1">
        <v>24</v>
      </c>
      <c r="MU9" s="1">
        <v>44</v>
      </c>
      <c r="MV9" s="1">
        <v>19</v>
      </c>
      <c r="MW9" s="1">
        <v>29.653000000000002</v>
      </c>
    </row>
    <row r="10" spans="1:361">
      <c r="A10" s="1">
        <v>7</v>
      </c>
      <c r="B10" s="1">
        <v>103</v>
      </c>
      <c r="C10" s="1">
        <v>14</v>
      </c>
      <c r="D10" s="1">
        <v>25</v>
      </c>
      <c r="E10" s="1">
        <v>42</v>
      </c>
      <c r="F10" s="1">
        <v>19</v>
      </c>
      <c r="G10" s="1">
        <v>29.007000000000001</v>
      </c>
      <c r="H10" s="1">
        <v>104</v>
      </c>
      <c r="I10" s="1">
        <v>23</v>
      </c>
      <c r="J10" s="1">
        <v>23</v>
      </c>
      <c r="K10" s="1">
        <v>44</v>
      </c>
      <c r="L10" s="1">
        <v>22</v>
      </c>
      <c r="M10" s="1">
        <v>28.342000000000002</v>
      </c>
      <c r="N10" s="1">
        <v>68</v>
      </c>
      <c r="O10" s="1">
        <v>16</v>
      </c>
      <c r="P10" s="1">
        <v>21</v>
      </c>
      <c r="Q10" s="1">
        <v>44</v>
      </c>
      <c r="R10" s="1">
        <v>18</v>
      </c>
      <c r="S10" s="1">
        <v>25.369</v>
      </c>
      <c r="T10" s="1">
        <v>89</v>
      </c>
      <c r="U10" s="1">
        <v>12</v>
      </c>
      <c r="V10" s="1">
        <v>23</v>
      </c>
      <c r="W10" s="1">
        <v>43</v>
      </c>
      <c r="X10" s="1">
        <v>16</v>
      </c>
      <c r="Y10" s="1">
        <v>28.078000000000003</v>
      </c>
      <c r="Z10" s="1">
        <v>78</v>
      </c>
      <c r="AA10" s="1">
        <v>23</v>
      </c>
      <c r="AB10" s="1">
        <v>19</v>
      </c>
      <c r="AC10" s="1">
        <v>45</v>
      </c>
      <c r="AD10" s="1">
        <v>20</v>
      </c>
      <c r="AE10" s="1">
        <v>25.036000000000001</v>
      </c>
      <c r="AF10" s="1">
        <v>99</v>
      </c>
      <c r="AG10" s="1">
        <v>26</v>
      </c>
      <c r="AH10" s="1">
        <v>19</v>
      </c>
      <c r="AI10" s="1">
        <v>43</v>
      </c>
      <c r="AJ10" s="1">
        <v>19</v>
      </c>
      <c r="AK10" s="1">
        <v>27.215</v>
      </c>
      <c r="AL10" s="1">
        <v>104</v>
      </c>
      <c r="AM10" s="1">
        <v>16</v>
      </c>
      <c r="AN10" s="1">
        <v>22</v>
      </c>
      <c r="AO10" s="1">
        <v>44</v>
      </c>
      <c r="AP10" s="1">
        <v>23</v>
      </c>
      <c r="AQ10" s="1">
        <v>27.402000000000001</v>
      </c>
      <c r="AR10" s="1">
        <v>78</v>
      </c>
      <c r="AS10" s="1">
        <v>12</v>
      </c>
      <c r="AT10" s="1">
        <v>21</v>
      </c>
      <c r="AU10" s="1">
        <v>46</v>
      </c>
      <c r="AV10" s="1">
        <v>22</v>
      </c>
      <c r="AW10" s="1">
        <v>27.368000000000002</v>
      </c>
      <c r="AX10" s="1">
        <v>74</v>
      </c>
      <c r="AY10" s="1">
        <v>22</v>
      </c>
      <c r="AZ10" s="1">
        <v>21</v>
      </c>
      <c r="BA10" s="1">
        <v>43</v>
      </c>
      <c r="BB10" s="1">
        <v>22</v>
      </c>
      <c r="BC10" s="1">
        <v>26.093</v>
      </c>
      <c r="BD10" s="1">
        <v>112</v>
      </c>
      <c r="BE10" s="1">
        <v>21</v>
      </c>
      <c r="BF10" s="1">
        <v>23</v>
      </c>
      <c r="BG10" s="1">
        <v>42</v>
      </c>
      <c r="BH10" s="1">
        <v>21</v>
      </c>
      <c r="BI10" s="1">
        <v>26.931000000000001</v>
      </c>
      <c r="BJ10" s="1">
        <v>83</v>
      </c>
      <c r="BK10" s="1">
        <v>16</v>
      </c>
      <c r="BL10" s="1">
        <v>25</v>
      </c>
      <c r="BM10" s="1">
        <v>44</v>
      </c>
      <c r="BN10" s="1">
        <v>19</v>
      </c>
      <c r="BO10" s="1">
        <v>23.926000000000002</v>
      </c>
      <c r="BP10" s="1">
        <v>79</v>
      </c>
      <c r="BQ10" s="1">
        <v>18</v>
      </c>
      <c r="BR10" s="1">
        <v>16</v>
      </c>
      <c r="BS10" s="1">
        <v>45</v>
      </c>
      <c r="BT10" s="1">
        <v>22</v>
      </c>
      <c r="BU10" s="1">
        <v>25.956</v>
      </c>
      <c r="BV10" s="1">
        <v>105</v>
      </c>
      <c r="BW10" s="1">
        <v>14</v>
      </c>
      <c r="BX10" s="1">
        <v>26</v>
      </c>
      <c r="BY10" s="1">
        <v>44</v>
      </c>
      <c r="BZ10" s="1">
        <v>16</v>
      </c>
      <c r="CA10" s="1">
        <v>26.949000000000002</v>
      </c>
      <c r="CB10" s="1">
        <v>116</v>
      </c>
      <c r="CC10" s="1">
        <v>14</v>
      </c>
      <c r="CD10" s="1">
        <v>22</v>
      </c>
      <c r="CE10" s="1">
        <v>43</v>
      </c>
      <c r="CF10" s="1">
        <v>20</v>
      </c>
      <c r="CG10" s="1">
        <v>28.740000000000002</v>
      </c>
      <c r="CH10" s="1">
        <v>74</v>
      </c>
      <c r="CI10" s="1">
        <v>10</v>
      </c>
      <c r="CJ10" s="1">
        <v>23</v>
      </c>
      <c r="CK10" s="1">
        <v>40</v>
      </c>
      <c r="CL10" s="1">
        <v>17</v>
      </c>
      <c r="CM10" s="1">
        <v>24.013000000000002</v>
      </c>
      <c r="CN10" s="1">
        <v>74</v>
      </c>
      <c r="CO10" s="1">
        <v>21</v>
      </c>
      <c r="CP10" s="1">
        <v>21</v>
      </c>
      <c r="CQ10" s="1">
        <v>44</v>
      </c>
      <c r="CR10" s="1">
        <v>21</v>
      </c>
      <c r="CS10" s="1">
        <v>25.988</v>
      </c>
      <c r="CT10" s="1">
        <v>83</v>
      </c>
      <c r="CU10" s="1">
        <v>20</v>
      </c>
      <c r="CV10" s="1">
        <v>21</v>
      </c>
      <c r="CW10" s="1">
        <v>39</v>
      </c>
      <c r="CX10" s="1">
        <v>19</v>
      </c>
      <c r="CY10" s="1">
        <v>24.559000000000001</v>
      </c>
      <c r="CZ10" s="1">
        <v>99</v>
      </c>
      <c r="DA10" s="1">
        <v>19</v>
      </c>
      <c r="DB10" s="1">
        <v>22</v>
      </c>
      <c r="DC10" s="1">
        <v>42</v>
      </c>
      <c r="DD10" s="1">
        <v>17</v>
      </c>
      <c r="DE10" s="1">
        <v>27.324000000000002</v>
      </c>
      <c r="DF10" s="1">
        <v>72</v>
      </c>
      <c r="DG10" s="1">
        <v>23</v>
      </c>
      <c r="DH10" s="1">
        <v>20</v>
      </c>
      <c r="DI10" s="1">
        <v>38</v>
      </c>
      <c r="DJ10" s="1">
        <v>20</v>
      </c>
      <c r="DK10" s="1">
        <v>23.663</v>
      </c>
      <c r="DL10" s="1">
        <v>90</v>
      </c>
      <c r="DM10" s="1">
        <v>25</v>
      </c>
      <c r="DN10" s="1">
        <v>16</v>
      </c>
      <c r="DO10" s="1">
        <v>44</v>
      </c>
      <c r="DP10" s="1">
        <v>23</v>
      </c>
      <c r="DQ10" s="1">
        <v>26.632000000000001</v>
      </c>
      <c r="DR10" s="1">
        <v>108</v>
      </c>
      <c r="DS10" s="1">
        <v>25</v>
      </c>
      <c r="DT10" s="1">
        <v>23</v>
      </c>
      <c r="DU10" s="1">
        <v>46</v>
      </c>
      <c r="DV10" s="1">
        <v>21</v>
      </c>
      <c r="DW10" s="1">
        <v>29.238</v>
      </c>
      <c r="DX10" s="1">
        <v>84</v>
      </c>
      <c r="DY10" s="1">
        <v>19</v>
      </c>
      <c r="DZ10" s="1">
        <v>23</v>
      </c>
      <c r="EA10" s="1">
        <v>45</v>
      </c>
      <c r="EB10" s="1">
        <v>19</v>
      </c>
      <c r="EC10" s="1">
        <v>28.024000000000001</v>
      </c>
      <c r="ED10" s="1">
        <v>77</v>
      </c>
      <c r="EE10" s="1">
        <v>16</v>
      </c>
      <c r="EF10" s="1">
        <v>22</v>
      </c>
      <c r="EG10" s="1">
        <v>43</v>
      </c>
      <c r="EH10" s="1">
        <v>21</v>
      </c>
      <c r="EI10" s="1">
        <v>26.288</v>
      </c>
      <c r="EJ10" s="1">
        <v>66</v>
      </c>
      <c r="EK10" s="1">
        <v>17</v>
      </c>
      <c r="EL10" s="1">
        <v>14</v>
      </c>
      <c r="EM10" s="1">
        <v>46</v>
      </c>
      <c r="EN10" s="1">
        <v>21</v>
      </c>
      <c r="EO10" s="1">
        <v>25.709</v>
      </c>
      <c r="EP10" s="1">
        <v>118</v>
      </c>
      <c r="EQ10" s="1">
        <v>37</v>
      </c>
      <c r="ER10" s="1">
        <v>22</v>
      </c>
      <c r="ES10" s="1">
        <v>43</v>
      </c>
      <c r="ET10" s="1">
        <v>17</v>
      </c>
      <c r="EU10" s="1">
        <v>27.497</v>
      </c>
      <c r="EV10" s="1">
        <v>93</v>
      </c>
      <c r="EW10" s="1">
        <v>19</v>
      </c>
      <c r="EX10" s="1">
        <v>24</v>
      </c>
      <c r="EY10" s="1">
        <v>44</v>
      </c>
      <c r="EZ10" s="1">
        <v>19</v>
      </c>
      <c r="FA10" s="1">
        <v>29.672000000000001</v>
      </c>
      <c r="FB10" s="1">
        <v>70</v>
      </c>
      <c r="FC10" s="1">
        <v>19</v>
      </c>
      <c r="FD10" s="1">
        <v>21</v>
      </c>
      <c r="FE10" s="1">
        <v>40</v>
      </c>
      <c r="FF10" s="1">
        <v>17</v>
      </c>
      <c r="FG10" s="1">
        <v>24.947000000000003</v>
      </c>
      <c r="FH10" s="1">
        <v>92</v>
      </c>
      <c r="FI10" s="1">
        <v>21</v>
      </c>
      <c r="FJ10" s="1">
        <v>24</v>
      </c>
      <c r="FK10" s="1">
        <v>42</v>
      </c>
      <c r="FL10" s="1">
        <v>20</v>
      </c>
      <c r="FM10" s="1">
        <v>26.965</v>
      </c>
      <c r="FN10" s="1">
        <v>107</v>
      </c>
      <c r="FO10" s="1">
        <v>27</v>
      </c>
      <c r="FP10" s="1">
        <v>23</v>
      </c>
      <c r="FQ10" s="1">
        <v>40</v>
      </c>
      <c r="FR10" s="1">
        <v>19</v>
      </c>
      <c r="FS10" s="1">
        <v>28.444000000000003</v>
      </c>
      <c r="FT10" s="1">
        <v>97</v>
      </c>
      <c r="FU10" s="1">
        <v>19</v>
      </c>
      <c r="FV10" s="1">
        <v>20</v>
      </c>
      <c r="FW10" s="1">
        <v>46</v>
      </c>
      <c r="FX10" s="1">
        <v>23</v>
      </c>
      <c r="FY10" s="1">
        <v>28.382000000000001</v>
      </c>
      <c r="FZ10" s="1">
        <v>84</v>
      </c>
      <c r="GA10" s="1">
        <v>16</v>
      </c>
      <c r="GB10" s="1">
        <v>21</v>
      </c>
      <c r="GC10" s="1">
        <v>48</v>
      </c>
      <c r="GD10" s="1">
        <v>19</v>
      </c>
      <c r="GE10" s="1">
        <v>25.648</v>
      </c>
      <c r="GF10" s="1">
        <v>88</v>
      </c>
      <c r="GG10" s="1">
        <v>22</v>
      </c>
      <c r="GH10" s="1">
        <v>18</v>
      </c>
      <c r="GI10" s="1">
        <v>46</v>
      </c>
      <c r="GJ10" s="1">
        <v>24</v>
      </c>
      <c r="GK10" s="1">
        <v>27.254000000000001</v>
      </c>
      <c r="GL10" s="1">
        <v>117</v>
      </c>
      <c r="GM10" s="1">
        <v>26</v>
      </c>
      <c r="GN10" s="1">
        <v>24</v>
      </c>
      <c r="GO10" s="1">
        <v>42</v>
      </c>
      <c r="GP10" s="1">
        <v>20</v>
      </c>
      <c r="GQ10" s="1">
        <v>27.944000000000003</v>
      </c>
      <c r="GR10" s="1">
        <v>129</v>
      </c>
      <c r="GS10" s="1">
        <v>24</v>
      </c>
      <c r="GT10" s="1">
        <v>23</v>
      </c>
      <c r="GU10" s="1">
        <v>43</v>
      </c>
      <c r="GV10" s="1">
        <v>19</v>
      </c>
      <c r="GW10" s="1">
        <v>28.335000000000001</v>
      </c>
      <c r="GX10" s="1">
        <v>125</v>
      </c>
      <c r="GY10" s="1">
        <v>29</v>
      </c>
      <c r="GZ10" s="1">
        <v>26</v>
      </c>
      <c r="HA10" s="1">
        <v>44</v>
      </c>
      <c r="HB10" s="1">
        <v>24</v>
      </c>
      <c r="HC10" s="1">
        <v>30.496000000000002</v>
      </c>
      <c r="HD10" s="1">
        <v>122</v>
      </c>
      <c r="HE10" s="1">
        <v>23</v>
      </c>
      <c r="HF10" s="1">
        <v>24</v>
      </c>
      <c r="HG10" s="1">
        <v>42</v>
      </c>
      <c r="HH10" s="1">
        <v>22</v>
      </c>
      <c r="HI10" s="1">
        <v>27.741</v>
      </c>
      <c r="HJ10" s="1">
        <v>70</v>
      </c>
      <c r="HK10" s="1">
        <v>25</v>
      </c>
      <c r="HL10" s="1">
        <v>14</v>
      </c>
      <c r="HM10" s="1">
        <v>44</v>
      </c>
      <c r="HN10" s="1">
        <v>21</v>
      </c>
      <c r="HO10" s="1">
        <v>26.173000000000002</v>
      </c>
      <c r="HP10" s="1">
        <v>77</v>
      </c>
      <c r="HQ10" s="1">
        <v>17</v>
      </c>
      <c r="HR10" s="1">
        <v>20</v>
      </c>
      <c r="HS10" s="1">
        <v>42</v>
      </c>
      <c r="HT10" s="1">
        <v>20</v>
      </c>
      <c r="HU10" s="1">
        <v>25.827000000000002</v>
      </c>
      <c r="HV10" s="1">
        <v>74</v>
      </c>
      <c r="HW10" s="1">
        <v>15</v>
      </c>
      <c r="HX10" s="1">
        <v>13</v>
      </c>
      <c r="HY10" s="1">
        <v>46</v>
      </c>
      <c r="HZ10" s="1">
        <v>22</v>
      </c>
      <c r="IA10" s="1">
        <v>25.714000000000002</v>
      </c>
      <c r="IB10" s="1">
        <v>109</v>
      </c>
      <c r="IC10" s="1">
        <v>17</v>
      </c>
      <c r="ID10" s="1">
        <v>21</v>
      </c>
      <c r="IE10" s="1">
        <v>41</v>
      </c>
      <c r="IF10" s="1">
        <v>20</v>
      </c>
      <c r="IG10" s="1">
        <v>27.296000000000003</v>
      </c>
      <c r="IH10" s="1">
        <v>70</v>
      </c>
      <c r="II10" s="1">
        <v>17</v>
      </c>
      <c r="IJ10" s="1">
        <v>17</v>
      </c>
      <c r="IK10" s="1">
        <v>40</v>
      </c>
      <c r="IL10" s="1">
        <v>20</v>
      </c>
      <c r="IM10" s="1">
        <v>25.657</v>
      </c>
      <c r="IN10" s="1">
        <v>105</v>
      </c>
      <c r="IO10" s="1">
        <v>21</v>
      </c>
      <c r="IP10" s="1">
        <v>21</v>
      </c>
      <c r="IQ10" s="1">
        <v>42</v>
      </c>
      <c r="IR10" s="1">
        <v>22</v>
      </c>
      <c r="IS10" s="1">
        <v>28.150000000000002</v>
      </c>
      <c r="IT10" s="1">
        <v>72</v>
      </c>
      <c r="IU10" s="1">
        <v>22</v>
      </c>
      <c r="IV10" s="1">
        <v>22</v>
      </c>
      <c r="IW10" s="1">
        <v>43</v>
      </c>
      <c r="IX10" s="1">
        <v>24</v>
      </c>
      <c r="IY10" s="1">
        <v>27.035</v>
      </c>
      <c r="IZ10" s="1">
        <v>125</v>
      </c>
      <c r="JA10" s="1">
        <v>21</v>
      </c>
      <c r="JB10" s="1">
        <v>22</v>
      </c>
      <c r="JC10" s="1">
        <v>46</v>
      </c>
      <c r="JD10" s="1">
        <v>21</v>
      </c>
      <c r="JE10" s="1">
        <v>29.184000000000001</v>
      </c>
      <c r="JF10" s="1">
        <v>118</v>
      </c>
      <c r="JG10" s="1">
        <v>26</v>
      </c>
      <c r="JH10" s="1">
        <v>26</v>
      </c>
      <c r="JI10" s="1">
        <v>45</v>
      </c>
      <c r="JJ10" s="1">
        <v>19</v>
      </c>
      <c r="JK10" s="1">
        <v>29.623000000000001</v>
      </c>
      <c r="JL10" s="1">
        <v>100</v>
      </c>
      <c r="JM10" s="1">
        <v>24</v>
      </c>
      <c r="JN10" s="1">
        <v>18</v>
      </c>
      <c r="JO10" s="1">
        <v>40</v>
      </c>
      <c r="JP10" s="1">
        <v>21</v>
      </c>
      <c r="JQ10" s="1">
        <v>27.619</v>
      </c>
      <c r="JR10" s="1">
        <v>116</v>
      </c>
      <c r="JS10" s="1">
        <v>20</v>
      </c>
      <c r="JT10" s="1">
        <v>22</v>
      </c>
      <c r="JU10" s="1">
        <v>46</v>
      </c>
      <c r="JV10" s="1">
        <v>19</v>
      </c>
      <c r="JW10" s="1">
        <v>29.672000000000001</v>
      </c>
      <c r="JX10" s="1">
        <v>71</v>
      </c>
      <c r="JY10" s="1">
        <v>24</v>
      </c>
      <c r="JZ10" s="1">
        <v>17</v>
      </c>
      <c r="KA10" s="1">
        <v>43</v>
      </c>
      <c r="KB10" s="1">
        <v>18</v>
      </c>
      <c r="KC10" s="1">
        <v>23.609000000000002</v>
      </c>
      <c r="KD10" s="1">
        <v>72</v>
      </c>
      <c r="KE10" s="1">
        <v>21</v>
      </c>
      <c r="KF10" s="1">
        <v>20</v>
      </c>
      <c r="KG10" s="1">
        <v>40</v>
      </c>
      <c r="KH10" s="1">
        <v>20</v>
      </c>
      <c r="KI10" s="1">
        <v>25.523</v>
      </c>
      <c r="KJ10" s="1">
        <v>119</v>
      </c>
      <c r="KK10" s="1">
        <v>14</v>
      </c>
      <c r="KL10" s="1">
        <v>27</v>
      </c>
      <c r="KM10" s="1">
        <v>44</v>
      </c>
      <c r="KN10" s="1">
        <v>19</v>
      </c>
      <c r="KO10" s="1">
        <v>29.254000000000001</v>
      </c>
      <c r="KP10" s="1">
        <v>107</v>
      </c>
      <c r="KQ10" s="1">
        <v>23</v>
      </c>
      <c r="KR10" s="1">
        <v>20</v>
      </c>
      <c r="KS10" s="1">
        <v>40</v>
      </c>
      <c r="KT10" s="1">
        <v>17</v>
      </c>
      <c r="KU10" s="1">
        <v>27.707000000000001</v>
      </c>
      <c r="KV10" s="1">
        <v>127</v>
      </c>
      <c r="KW10" s="1">
        <v>29</v>
      </c>
      <c r="KX10" s="1">
        <v>27</v>
      </c>
      <c r="KY10" s="1">
        <v>42</v>
      </c>
      <c r="KZ10" s="1">
        <v>19</v>
      </c>
      <c r="LA10" s="1">
        <v>29.702000000000002</v>
      </c>
      <c r="LB10" s="1">
        <v>73</v>
      </c>
      <c r="LC10" s="1">
        <v>23</v>
      </c>
      <c r="LD10" s="1">
        <v>17</v>
      </c>
      <c r="LE10" s="1">
        <v>44</v>
      </c>
      <c r="LF10" s="1">
        <v>22</v>
      </c>
      <c r="LG10" s="1">
        <v>24.309000000000001</v>
      </c>
      <c r="LH10" s="1">
        <v>69</v>
      </c>
      <c r="LI10" s="1">
        <v>14</v>
      </c>
      <c r="LJ10" s="1">
        <v>20</v>
      </c>
      <c r="LK10" s="1">
        <v>43</v>
      </c>
      <c r="LL10" s="1">
        <v>21</v>
      </c>
      <c r="LM10" s="1">
        <v>25.243000000000002</v>
      </c>
      <c r="LN10" s="1">
        <v>74</v>
      </c>
      <c r="LO10" s="1">
        <v>23</v>
      </c>
      <c r="LP10" s="1">
        <v>14</v>
      </c>
      <c r="LQ10" s="1">
        <v>40</v>
      </c>
      <c r="LR10" s="1">
        <v>21</v>
      </c>
      <c r="LS10" s="1">
        <v>24.796000000000003</v>
      </c>
      <c r="LT10" s="1">
        <v>107</v>
      </c>
      <c r="LU10" s="1">
        <v>12</v>
      </c>
      <c r="LV10" s="1">
        <v>24</v>
      </c>
      <c r="LW10" s="1">
        <v>39</v>
      </c>
      <c r="LX10" s="1">
        <v>19</v>
      </c>
      <c r="LY10" s="1">
        <v>26.92</v>
      </c>
      <c r="LZ10" s="1">
        <v>75</v>
      </c>
      <c r="MA10" s="1">
        <v>15</v>
      </c>
      <c r="MB10" s="1">
        <v>19</v>
      </c>
      <c r="MC10" s="1">
        <v>43</v>
      </c>
      <c r="MD10" s="1">
        <v>18</v>
      </c>
      <c r="ME10" s="1">
        <v>25.18</v>
      </c>
      <c r="MF10" s="1">
        <v>126</v>
      </c>
      <c r="MG10" s="1">
        <v>20</v>
      </c>
      <c r="MH10" s="1">
        <v>21</v>
      </c>
      <c r="MI10" s="1">
        <v>46</v>
      </c>
      <c r="MJ10" s="1">
        <v>21</v>
      </c>
      <c r="MK10" s="1">
        <v>30.785</v>
      </c>
      <c r="ML10" s="1">
        <v>109</v>
      </c>
      <c r="MM10" s="1">
        <v>18</v>
      </c>
      <c r="MN10" s="1">
        <v>21</v>
      </c>
      <c r="MO10" s="1">
        <v>41</v>
      </c>
      <c r="MP10" s="1">
        <v>22</v>
      </c>
      <c r="MQ10" s="1">
        <v>27.653000000000002</v>
      </c>
      <c r="MR10" s="1">
        <v>105</v>
      </c>
      <c r="MS10" s="1">
        <v>27</v>
      </c>
      <c r="MT10" s="1">
        <v>25</v>
      </c>
      <c r="MU10" s="1">
        <v>43</v>
      </c>
      <c r="MV10" s="1">
        <v>20</v>
      </c>
      <c r="MW10" s="1">
        <v>27.403000000000002</v>
      </c>
    </row>
    <row r="11" spans="1:361">
      <c r="A11" s="1">
        <v>8</v>
      </c>
      <c r="B11" s="1">
        <v>68</v>
      </c>
      <c r="C11" s="1">
        <v>18</v>
      </c>
      <c r="D11" s="1">
        <v>17</v>
      </c>
      <c r="E11" s="1">
        <v>42</v>
      </c>
      <c r="F11" s="1">
        <v>16</v>
      </c>
      <c r="G11" s="1">
        <v>25.34</v>
      </c>
      <c r="H11" s="1">
        <v>100</v>
      </c>
      <c r="I11" s="1">
        <v>17</v>
      </c>
      <c r="J11" s="1">
        <v>27</v>
      </c>
      <c r="K11" s="1">
        <v>43</v>
      </c>
      <c r="L11" s="1">
        <v>21</v>
      </c>
      <c r="M11" s="1">
        <v>27.802</v>
      </c>
      <c r="N11" s="1">
        <v>111</v>
      </c>
      <c r="O11" s="1">
        <v>23</v>
      </c>
      <c r="P11" s="1">
        <v>23</v>
      </c>
      <c r="Q11" s="1">
        <v>44</v>
      </c>
      <c r="R11" s="1">
        <v>18</v>
      </c>
      <c r="S11" s="1">
        <v>28.522000000000002</v>
      </c>
      <c r="T11" s="1">
        <v>110</v>
      </c>
      <c r="U11" s="1">
        <v>23</v>
      </c>
      <c r="V11" s="1">
        <v>19</v>
      </c>
      <c r="W11" s="1">
        <v>40</v>
      </c>
      <c r="X11" s="1">
        <v>19</v>
      </c>
      <c r="Y11" s="1">
        <v>27.417000000000002</v>
      </c>
      <c r="Z11" s="1">
        <v>70</v>
      </c>
      <c r="AA11" s="1">
        <v>17</v>
      </c>
      <c r="AB11" s="1">
        <v>14</v>
      </c>
      <c r="AC11" s="1">
        <v>38</v>
      </c>
      <c r="AD11" s="1">
        <v>19</v>
      </c>
      <c r="AE11" s="1">
        <v>23.253</v>
      </c>
      <c r="AF11" s="1">
        <v>73</v>
      </c>
      <c r="AG11" s="1">
        <v>17</v>
      </c>
      <c r="AH11" s="1">
        <v>18</v>
      </c>
      <c r="AI11" s="1">
        <v>44</v>
      </c>
      <c r="AJ11" s="1">
        <v>20</v>
      </c>
      <c r="AK11" s="1">
        <v>25.909000000000002</v>
      </c>
      <c r="AL11" s="1">
        <v>111</v>
      </c>
      <c r="AM11" s="1">
        <v>30</v>
      </c>
      <c r="AN11" s="1">
        <v>21</v>
      </c>
      <c r="AO11" s="1">
        <v>42</v>
      </c>
      <c r="AP11" s="1">
        <v>19</v>
      </c>
      <c r="AQ11" s="1">
        <v>27.874000000000002</v>
      </c>
      <c r="AR11" s="1">
        <v>107</v>
      </c>
      <c r="AS11" s="1">
        <v>16</v>
      </c>
      <c r="AT11" s="1">
        <v>21</v>
      </c>
      <c r="AU11" s="1">
        <v>45</v>
      </c>
      <c r="AV11" s="1">
        <v>19</v>
      </c>
      <c r="AW11" s="1">
        <v>27.904</v>
      </c>
      <c r="AX11" s="1">
        <v>91</v>
      </c>
      <c r="AY11" s="1">
        <v>28</v>
      </c>
      <c r="AZ11" s="1">
        <v>21</v>
      </c>
      <c r="BA11" s="1">
        <v>42</v>
      </c>
      <c r="BB11" s="1">
        <v>19</v>
      </c>
      <c r="BC11" s="1">
        <v>27.574000000000002</v>
      </c>
      <c r="BD11" s="1">
        <v>83</v>
      </c>
      <c r="BE11" s="1">
        <v>18</v>
      </c>
      <c r="BF11" s="1">
        <v>21</v>
      </c>
      <c r="BG11" s="1">
        <v>41</v>
      </c>
      <c r="BH11" s="1">
        <v>18</v>
      </c>
      <c r="BI11" s="1">
        <v>25.891999999999999</v>
      </c>
      <c r="BJ11" s="1">
        <v>80</v>
      </c>
      <c r="BK11" s="1">
        <v>17</v>
      </c>
      <c r="BL11" s="1">
        <v>12</v>
      </c>
      <c r="BM11" s="1">
        <v>44</v>
      </c>
      <c r="BN11" s="1">
        <v>24</v>
      </c>
      <c r="BO11" s="1">
        <v>28.833000000000002</v>
      </c>
      <c r="BP11" s="1">
        <v>73</v>
      </c>
      <c r="BQ11" s="1">
        <v>20</v>
      </c>
      <c r="BR11" s="1">
        <v>20</v>
      </c>
      <c r="BS11" s="1">
        <v>42</v>
      </c>
      <c r="BT11" s="1">
        <v>23</v>
      </c>
      <c r="BU11" s="1">
        <v>24.597000000000001</v>
      </c>
      <c r="BV11" s="1">
        <v>67</v>
      </c>
      <c r="BW11" s="1">
        <v>11</v>
      </c>
      <c r="BX11" s="1">
        <v>17</v>
      </c>
      <c r="BY11" s="1">
        <v>45</v>
      </c>
      <c r="BZ11" s="1">
        <v>21</v>
      </c>
      <c r="CA11" s="1">
        <v>26.077000000000002</v>
      </c>
      <c r="CB11" s="1">
        <v>79</v>
      </c>
      <c r="CC11" s="1">
        <v>19</v>
      </c>
      <c r="CD11" s="1">
        <v>18</v>
      </c>
      <c r="CE11" s="1">
        <v>44</v>
      </c>
      <c r="CF11" s="1">
        <v>20</v>
      </c>
      <c r="CG11" s="1">
        <v>26.113</v>
      </c>
      <c r="CH11" s="1">
        <v>109</v>
      </c>
      <c r="CI11" s="1">
        <v>19</v>
      </c>
      <c r="CJ11" s="1">
        <v>21</v>
      </c>
      <c r="CK11" s="1">
        <v>44</v>
      </c>
      <c r="CL11" s="1">
        <v>17</v>
      </c>
      <c r="CM11" s="1">
        <v>29.565000000000001</v>
      </c>
      <c r="CN11" s="1">
        <v>74</v>
      </c>
      <c r="CO11" s="1">
        <v>19</v>
      </c>
      <c r="CP11" s="1">
        <v>17</v>
      </c>
      <c r="CQ11" s="1">
        <v>42</v>
      </c>
      <c r="CR11" s="1">
        <v>18</v>
      </c>
      <c r="CS11" s="1">
        <v>25.359000000000002</v>
      </c>
      <c r="CT11" s="1">
        <v>113</v>
      </c>
      <c r="CU11" s="1">
        <v>21</v>
      </c>
      <c r="CV11" s="1">
        <v>22</v>
      </c>
      <c r="CW11" s="1">
        <v>43</v>
      </c>
      <c r="CX11" s="1">
        <v>20</v>
      </c>
      <c r="CY11" s="1">
        <v>28.573</v>
      </c>
      <c r="CZ11" s="1">
        <v>124</v>
      </c>
      <c r="DA11" s="1">
        <v>9</v>
      </c>
      <c r="DB11" s="1">
        <v>27</v>
      </c>
      <c r="DC11" s="1">
        <v>44</v>
      </c>
      <c r="DD11" s="1">
        <v>20</v>
      </c>
      <c r="DE11" s="1">
        <v>29.119</v>
      </c>
      <c r="DF11" s="1">
        <v>105</v>
      </c>
      <c r="DG11" s="1">
        <v>14</v>
      </c>
      <c r="DH11" s="1">
        <v>23</v>
      </c>
      <c r="DI11" s="1">
        <v>45</v>
      </c>
      <c r="DJ11" s="1">
        <v>21</v>
      </c>
      <c r="DK11" s="1">
        <v>29.147000000000002</v>
      </c>
      <c r="DL11" s="1">
        <v>84</v>
      </c>
      <c r="DM11" s="1">
        <v>24</v>
      </c>
      <c r="DN11" s="1">
        <v>20</v>
      </c>
      <c r="DO11" s="1">
        <v>41</v>
      </c>
      <c r="DP11" s="1">
        <v>18</v>
      </c>
      <c r="DQ11" s="1">
        <v>24.516999999999999</v>
      </c>
      <c r="DR11" s="1">
        <v>98</v>
      </c>
      <c r="DS11" s="1">
        <v>17</v>
      </c>
      <c r="DT11" s="1">
        <v>21</v>
      </c>
      <c r="DU11" s="1">
        <v>45</v>
      </c>
      <c r="DV11" s="1">
        <v>21</v>
      </c>
      <c r="DW11" s="1">
        <v>27.009</v>
      </c>
      <c r="DX11" s="1">
        <v>111</v>
      </c>
      <c r="DY11" s="1">
        <v>17</v>
      </c>
      <c r="DZ11" s="1">
        <v>27</v>
      </c>
      <c r="EA11" s="1">
        <v>44</v>
      </c>
      <c r="EB11" s="1">
        <v>20</v>
      </c>
      <c r="EC11" s="1">
        <v>28.323</v>
      </c>
      <c r="ED11" s="1">
        <v>109</v>
      </c>
      <c r="EE11" s="1">
        <v>20</v>
      </c>
      <c r="EF11" s="1">
        <v>18</v>
      </c>
      <c r="EG11" s="1">
        <v>42</v>
      </c>
      <c r="EH11" s="1">
        <v>22</v>
      </c>
      <c r="EI11" s="1">
        <v>28.348000000000003</v>
      </c>
      <c r="EJ11" s="1">
        <v>98</v>
      </c>
      <c r="EK11" s="1">
        <v>14</v>
      </c>
      <c r="EL11" s="1">
        <v>23</v>
      </c>
      <c r="EM11" s="1">
        <v>39</v>
      </c>
      <c r="EN11" s="1">
        <v>19</v>
      </c>
      <c r="EO11" s="1">
        <v>25.953000000000003</v>
      </c>
      <c r="EP11" s="1">
        <v>121</v>
      </c>
      <c r="EQ11" s="1">
        <v>23</v>
      </c>
      <c r="ER11" s="1">
        <v>23</v>
      </c>
      <c r="ES11" s="1">
        <v>46</v>
      </c>
      <c r="ET11" s="1">
        <v>22</v>
      </c>
      <c r="EU11" s="1">
        <v>27.551000000000002</v>
      </c>
      <c r="EV11" s="1">
        <v>123</v>
      </c>
      <c r="EW11" s="1">
        <v>24</v>
      </c>
      <c r="EX11" s="1">
        <v>21</v>
      </c>
      <c r="EY11" s="1">
        <v>40</v>
      </c>
      <c r="EZ11" s="1">
        <v>21</v>
      </c>
      <c r="FA11" s="1">
        <v>28.825000000000003</v>
      </c>
      <c r="FB11" s="1">
        <v>75</v>
      </c>
      <c r="FC11" s="1">
        <v>22</v>
      </c>
      <c r="FD11" s="1">
        <v>18</v>
      </c>
      <c r="FE11" s="1">
        <v>40</v>
      </c>
      <c r="FF11" s="1">
        <v>16</v>
      </c>
      <c r="FG11" s="1">
        <v>26.321000000000002</v>
      </c>
      <c r="FH11" s="1">
        <v>75</v>
      </c>
      <c r="FI11" s="1">
        <v>12</v>
      </c>
      <c r="FJ11" s="1">
        <v>22</v>
      </c>
      <c r="FK11" s="1">
        <v>43</v>
      </c>
      <c r="FL11" s="1">
        <v>23</v>
      </c>
      <c r="FM11" s="1">
        <v>27.603000000000002</v>
      </c>
      <c r="FN11" s="1">
        <v>113</v>
      </c>
      <c r="FO11" s="1">
        <v>23</v>
      </c>
      <c r="FP11" s="1">
        <v>19</v>
      </c>
      <c r="FQ11" s="1">
        <v>43</v>
      </c>
      <c r="FR11" s="1">
        <v>21</v>
      </c>
      <c r="FS11" s="1">
        <v>27.959</v>
      </c>
      <c r="FT11" s="1">
        <v>108</v>
      </c>
      <c r="FU11" s="1">
        <v>23</v>
      </c>
      <c r="FV11" s="1">
        <v>21</v>
      </c>
      <c r="FW11" s="1">
        <v>42</v>
      </c>
      <c r="FX11" s="1">
        <v>21</v>
      </c>
      <c r="FY11" s="1">
        <v>28.594000000000001</v>
      </c>
      <c r="FZ11" s="1">
        <v>120</v>
      </c>
      <c r="GA11" s="1">
        <v>24</v>
      </c>
      <c r="GB11" s="1">
        <v>25</v>
      </c>
      <c r="GC11" s="1">
        <v>43</v>
      </c>
      <c r="GD11" s="1">
        <v>19</v>
      </c>
      <c r="GE11" s="1">
        <v>27.576000000000001</v>
      </c>
      <c r="GF11" s="1">
        <v>66</v>
      </c>
      <c r="GG11" s="1">
        <v>14</v>
      </c>
      <c r="GH11" s="1">
        <v>15</v>
      </c>
      <c r="GI11" s="1">
        <v>41</v>
      </c>
      <c r="GJ11" s="1">
        <v>22</v>
      </c>
      <c r="GK11" s="1">
        <v>23.985000000000003</v>
      </c>
      <c r="GL11" s="1">
        <v>69</v>
      </c>
      <c r="GM11" s="1">
        <v>14</v>
      </c>
      <c r="GN11" s="1">
        <v>19</v>
      </c>
      <c r="GO11" s="1">
        <v>46</v>
      </c>
      <c r="GP11" s="1">
        <v>19</v>
      </c>
      <c r="GQ11" s="1">
        <v>25.216000000000001</v>
      </c>
      <c r="GR11" s="1">
        <v>90</v>
      </c>
      <c r="GS11" s="1">
        <v>21</v>
      </c>
      <c r="GT11" s="1">
        <v>22</v>
      </c>
      <c r="GU11" s="1">
        <v>44</v>
      </c>
      <c r="GV11" s="1">
        <v>20</v>
      </c>
      <c r="GW11" s="1">
        <v>28.356000000000002</v>
      </c>
      <c r="GX11" s="1">
        <v>94</v>
      </c>
      <c r="GY11" s="1">
        <v>18</v>
      </c>
      <c r="GZ11" s="1">
        <v>21</v>
      </c>
      <c r="HA11" s="1">
        <v>39</v>
      </c>
      <c r="HB11" s="1">
        <v>24</v>
      </c>
      <c r="HC11" s="1">
        <v>26.738</v>
      </c>
      <c r="HD11" s="1">
        <v>127</v>
      </c>
      <c r="HE11" s="1">
        <v>30</v>
      </c>
      <c r="HF11" s="1">
        <v>21</v>
      </c>
      <c r="HG11" s="1">
        <v>45</v>
      </c>
      <c r="HH11" s="1">
        <v>20</v>
      </c>
      <c r="HI11" s="1">
        <v>29.714000000000002</v>
      </c>
      <c r="HJ11" s="1">
        <v>67</v>
      </c>
      <c r="HK11" s="1">
        <v>18</v>
      </c>
      <c r="HL11" s="1">
        <v>21</v>
      </c>
      <c r="HM11" s="1">
        <v>41</v>
      </c>
      <c r="HN11" s="1">
        <v>17</v>
      </c>
      <c r="HO11" s="1">
        <v>23.755000000000003</v>
      </c>
      <c r="HP11" s="1">
        <v>71</v>
      </c>
      <c r="HQ11" s="1">
        <v>10</v>
      </c>
      <c r="HR11" s="1">
        <v>15</v>
      </c>
      <c r="HS11" s="1">
        <v>42</v>
      </c>
      <c r="HT11" s="1">
        <v>16</v>
      </c>
      <c r="HU11" s="1">
        <v>23.384</v>
      </c>
      <c r="HV11" s="1">
        <v>123</v>
      </c>
      <c r="HW11" s="1">
        <v>18</v>
      </c>
      <c r="HX11" s="1">
        <v>23</v>
      </c>
      <c r="HY11" s="1">
        <v>43</v>
      </c>
      <c r="HZ11" s="1">
        <v>20</v>
      </c>
      <c r="IA11" s="1">
        <v>29.357000000000003</v>
      </c>
      <c r="IB11" s="1">
        <v>98</v>
      </c>
      <c r="IC11" s="1">
        <v>27</v>
      </c>
      <c r="ID11" s="1">
        <v>22</v>
      </c>
      <c r="IE11" s="1">
        <v>42</v>
      </c>
      <c r="IF11" s="1">
        <v>21</v>
      </c>
      <c r="IG11" s="1">
        <v>26.462</v>
      </c>
      <c r="IH11" s="1">
        <v>68</v>
      </c>
      <c r="II11" s="1">
        <v>13</v>
      </c>
      <c r="IJ11" s="1">
        <v>21</v>
      </c>
      <c r="IK11" s="1">
        <v>44</v>
      </c>
      <c r="IL11" s="1">
        <v>15</v>
      </c>
      <c r="IM11" s="1">
        <v>24.246000000000002</v>
      </c>
      <c r="IN11" s="1">
        <v>109</v>
      </c>
      <c r="IO11" s="1">
        <v>12</v>
      </c>
      <c r="IP11" s="1">
        <v>19</v>
      </c>
      <c r="IQ11" s="1">
        <v>44</v>
      </c>
      <c r="IR11" s="1">
        <v>20</v>
      </c>
      <c r="IS11" s="1">
        <v>28.513000000000002</v>
      </c>
      <c r="IT11" s="1">
        <v>76</v>
      </c>
      <c r="IU11" s="1">
        <v>16</v>
      </c>
      <c r="IV11" s="1">
        <v>17</v>
      </c>
      <c r="IW11" s="1">
        <v>44</v>
      </c>
      <c r="IX11" s="1">
        <v>16</v>
      </c>
      <c r="IY11" s="1">
        <v>24.740000000000002</v>
      </c>
      <c r="IZ11" s="1">
        <v>117</v>
      </c>
      <c r="JA11" s="1">
        <v>11</v>
      </c>
      <c r="JB11" s="1">
        <v>23</v>
      </c>
      <c r="JC11" s="1">
        <v>44</v>
      </c>
      <c r="JD11" s="1">
        <v>24</v>
      </c>
      <c r="JE11" s="1">
        <v>29.973000000000003</v>
      </c>
      <c r="JF11" s="1">
        <v>79</v>
      </c>
      <c r="JG11" s="1">
        <v>18</v>
      </c>
      <c r="JH11" s="1">
        <v>18</v>
      </c>
      <c r="JI11" s="1">
        <v>47</v>
      </c>
      <c r="JJ11" s="1">
        <v>24</v>
      </c>
      <c r="JK11" s="1">
        <v>25.986000000000001</v>
      </c>
      <c r="JL11" s="1">
        <v>99</v>
      </c>
      <c r="JM11" s="1">
        <v>11</v>
      </c>
      <c r="JN11" s="1">
        <v>26</v>
      </c>
      <c r="JO11" s="1">
        <v>39</v>
      </c>
      <c r="JP11" s="1">
        <v>17</v>
      </c>
      <c r="JQ11" s="1">
        <v>27.398</v>
      </c>
      <c r="JR11" s="1">
        <v>125</v>
      </c>
      <c r="JS11" s="1">
        <v>28</v>
      </c>
      <c r="JT11" s="1">
        <v>27</v>
      </c>
      <c r="JU11" s="1">
        <v>42</v>
      </c>
      <c r="JV11" s="1">
        <v>21</v>
      </c>
      <c r="JW11" s="1">
        <v>28.708000000000002</v>
      </c>
      <c r="JX11" s="1">
        <v>106</v>
      </c>
      <c r="JY11" s="1">
        <v>16</v>
      </c>
      <c r="JZ11" s="1">
        <v>21</v>
      </c>
      <c r="KA11" s="1">
        <v>40</v>
      </c>
      <c r="KB11" s="1">
        <v>20</v>
      </c>
      <c r="KC11" s="1">
        <v>26.737000000000002</v>
      </c>
      <c r="KD11" s="1">
        <v>101</v>
      </c>
      <c r="KE11" s="1">
        <v>11</v>
      </c>
      <c r="KF11" s="1">
        <v>19</v>
      </c>
      <c r="KG11" s="1">
        <v>43</v>
      </c>
      <c r="KH11" s="1">
        <v>22</v>
      </c>
      <c r="KI11" s="1">
        <v>28.212</v>
      </c>
      <c r="KJ11" s="1">
        <v>82</v>
      </c>
      <c r="KK11" s="1">
        <v>21</v>
      </c>
      <c r="KL11" s="1">
        <v>24</v>
      </c>
      <c r="KM11" s="1">
        <v>44</v>
      </c>
      <c r="KN11" s="1">
        <v>24</v>
      </c>
      <c r="KO11" s="1">
        <v>28.489000000000001</v>
      </c>
      <c r="KP11" s="1">
        <v>111</v>
      </c>
      <c r="KQ11" s="1">
        <v>23</v>
      </c>
      <c r="KR11" s="1">
        <v>20</v>
      </c>
      <c r="KS11" s="1">
        <v>41</v>
      </c>
      <c r="KT11" s="1">
        <v>18</v>
      </c>
      <c r="KU11" s="1">
        <v>27.339000000000002</v>
      </c>
      <c r="KV11" s="1">
        <v>90</v>
      </c>
      <c r="KW11" s="1">
        <v>20</v>
      </c>
      <c r="KX11" s="1">
        <v>22</v>
      </c>
      <c r="KY11" s="1">
        <v>43</v>
      </c>
      <c r="KZ11" s="1">
        <v>20</v>
      </c>
      <c r="LA11" s="1">
        <v>25.759</v>
      </c>
      <c r="LB11" s="1">
        <v>88</v>
      </c>
      <c r="LC11" s="1">
        <v>15</v>
      </c>
      <c r="LD11" s="1">
        <v>21</v>
      </c>
      <c r="LE11" s="1">
        <v>41</v>
      </c>
      <c r="LF11" s="1">
        <v>21</v>
      </c>
      <c r="LG11" s="1">
        <v>25.825000000000003</v>
      </c>
      <c r="LH11" s="1">
        <v>87</v>
      </c>
      <c r="LI11" s="1">
        <v>18</v>
      </c>
      <c r="LJ11" s="1">
        <v>23</v>
      </c>
      <c r="LK11" s="1">
        <v>42</v>
      </c>
      <c r="LL11" s="1">
        <v>21</v>
      </c>
      <c r="LM11" s="1">
        <v>26.490000000000002</v>
      </c>
      <c r="LN11" s="1">
        <v>109</v>
      </c>
      <c r="LO11" s="1">
        <v>25</v>
      </c>
      <c r="LP11" s="1">
        <v>20</v>
      </c>
      <c r="LQ11" s="1">
        <v>43</v>
      </c>
      <c r="LR11" s="1">
        <v>18</v>
      </c>
      <c r="LS11" s="1">
        <v>26.695</v>
      </c>
      <c r="LT11" s="1">
        <v>69</v>
      </c>
      <c r="LU11" s="1">
        <v>20</v>
      </c>
      <c r="LV11" s="1">
        <v>18</v>
      </c>
      <c r="LW11" s="1">
        <v>42</v>
      </c>
      <c r="LX11" s="1">
        <v>19</v>
      </c>
      <c r="LY11" s="1">
        <v>26.717000000000002</v>
      </c>
      <c r="LZ11" s="1">
        <v>72</v>
      </c>
      <c r="MA11" s="1">
        <v>18</v>
      </c>
      <c r="MB11" s="1">
        <v>21</v>
      </c>
      <c r="MC11" s="1">
        <v>44</v>
      </c>
      <c r="MD11" s="1">
        <v>18</v>
      </c>
      <c r="ME11" s="1">
        <v>25.463000000000001</v>
      </c>
      <c r="MF11" s="1">
        <v>79</v>
      </c>
      <c r="MG11" s="1">
        <v>22</v>
      </c>
      <c r="MH11" s="1">
        <v>23</v>
      </c>
      <c r="MI11" s="1">
        <v>43</v>
      </c>
      <c r="MJ11" s="1">
        <v>21</v>
      </c>
      <c r="MK11" s="1">
        <v>25.917000000000002</v>
      </c>
      <c r="ML11" s="1">
        <v>80</v>
      </c>
      <c r="MM11" s="1">
        <v>20</v>
      </c>
      <c r="MN11" s="1">
        <v>21</v>
      </c>
      <c r="MO11" s="1">
        <v>44</v>
      </c>
      <c r="MP11" s="1">
        <v>18</v>
      </c>
      <c r="MQ11" s="1">
        <v>25.785</v>
      </c>
      <c r="MR11" s="1">
        <v>78</v>
      </c>
      <c r="MS11" s="1">
        <v>11</v>
      </c>
      <c r="MT11" s="1">
        <v>15</v>
      </c>
      <c r="MU11" s="1">
        <v>43</v>
      </c>
      <c r="MV11" s="1">
        <v>18</v>
      </c>
      <c r="MW11" s="1">
        <v>24.666</v>
      </c>
    </row>
    <row r="12" spans="1:361">
      <c r="A12" s="1">
        <v>9</v>
      </c>
      <c r="B12" s="1">
        <v>127</v>
      </c>
      <c r="C12" s="1">
        <v>15</v>
      </c>
      <c r="D12" s="1">
        <v>20</v>
      </c>
      <c r="E12" s="1">
        <v>44</v>
      </c>
      <c r="F12" s="1">
        <v>22</v>
      </c>
      <c r="G12" s="1">
        <v>30.359000000000002</v>
      </c>
      <c r="H12" s="1">
        <v>128</v>
      </c>
      <c r="I12" s="1">
        <v>19</v>
      </c>
      <c r="J12" s="1">
        <v>23</v>
      </c>
      <c r="K12" s="1">
        <v>45</v>
      </c>
      <c r="L12" s="1">
        <v>20</v>
      </c>
      <c r="M12" s="1">
        <v>30.529</v>
      </c>
      <c r="N12" s="1">
        <v>65</v>
      </c>
      <c r="O12" s="1">
        <v>15</v>
      </c>
      <c r="P12" s="1">
        <v>16</v>
      </c>
      <c r="Q12" s="1">
        <v>41</v>
      </c>
      <c r="R12" s="1">
        <v>18</v>
      </c>
      <c r="S12" s="1">
        <v>23.934000000000001</v>
      </c>
      <c r="T12" s="1">
        <v>80</v>
      </c>
      <c r="U12" s="1">
        <v>13</v>
      </c>
      <c r="V12" s="1">
        <v>19</v>
      </c>
      <c r="W12" s="1">
        <v>42</v>
      </c>
      <c r="X12" s="1">
        <v>20</v>
      </c>
      <c r="Y12" s="1">
        <v>26.274000000000001</v>
      </c>
      <c r="Z12" s="1">
        <v>111</v>
      </c>
      <c r="AA12" s="1">
        <v>30</v>
      </c>
      <c r="AB12" s="1">
        <v>19</v>
      </c>
      <c r="AC12" s="1">
        <v>46</v>
      </c>
      <c r="AD12" s="1">
        <v>20</v>
      </c>
      <c r="AE12" s="1">
        <v>29.922000000000001</v>
      </c>
      <c r="AF12" s="1">
        <v>99</v>
      </c>
      <c r="AG12" s="1">
        <v>21</v>
      </c>
      <c r="AH12" s="1">
        <v>26</v>
      </c>
      <c r="AI12" s="1">
        <v>46</v>
      </c>
      <c r="AJ12" s="1">
        <v>21</v>
      </c>
      <c r="AK12" s="1">
        <v>27.817</v>
      </c>
      <c r="AL12" s="1">
        <v>99</v>
      </c>
      <c r="AM12" s="1">
        <v>18</v>
      </c>
      <c r="AN12" s="1">
        <v>24</v>
      </c>
      <c r="AO12" s="1">
        <v>46</v>
      </c>
      <c r="AP12" s="1">
        <v>18</v>
      </c>
      <c r="AQ12" s="1">
        <v>27.408000000000001</v>
      </c>
      <c r="AR12" s="1">
        <v>125</v>
      </c>
      <c r="AS12" s="1">
        <v>22</v>
      </c>
      <c r="AT12" s="1">
        <v>21</v>
      </c>
      <c r="AU12" s="1">
        <v>40</v>
      </c>
      <c r="AV12" s="1">
        <v>17</v>
      </c>
      <c r="AW12" s="1">
        <v>28.379000000000001</v>
      </c>
      <c r="AX12" s="1">
        <v>127</v>
      </c>
      <c r="AY12" s="1">
        <v>22</v>
      </c>
      <c r="AZ12" s="1">
        <v>24</v>
      </c>
      <c r="BA12" s="1">
        <v>45</v>
      </c>
      <c r="BB12" s="1">
        <v>16</v>
      </c>
      <c r="BC12" s="1">
        <v>30.249000000000002</v>
      </c>
      <c r="BD12" s="1">
        <v>113</v>
      </c>
      <c r="BE12" s="1">
        <v>18</v>
      </c>
      <c r="BF12" s="1">
        <v>21</v>
      </c>
      <c r="BG12" s="1">
        <v>43</v>
      </c>
      <c r="BH12" s="1">
        <v>22</v>
      </c>
      <c r="BI12" s="1">
        <v>28.040000000000003</v>
      </c>
      <c r="BJ12" s="1">
        <v>118</v>
      </c>
      <c r="BK12" s="1">
        <v>20</v>
      </c>
      <c r="BL12" s="1">
        <v>21</v>
      </c>
      <c r="BM12" s="1">
        <v>42</v>
      </c>
      <c r="BN12" s="1">
        <v>20</v>
      </c>
      <c r="BO12" s="1">
        <v>29.006</v>
      </c>
      <c r="BP12" s="1">
        <v>109</v>
      </c>
      <c r="BQ12" s="1">
        <v>22</v>
      </c>
      <c r="BR12" s="1">
        <v>22</v>
      </c>
      <c r="BS12" s="1">
        <v>43</v>
      </c>
      <c r="BT12" s="1">
        <v>18</v>
      </c>
      <c r="BU12" s="1">
        <v>27.634</v>
      </c>
      <c r="BV12" s="1">
        <v>97</v>
      </c>
      <c r="BW12" s="1">
        <v>24</v>
      </c>
      <c r="BX12" s="1">
        <v>24</v>
      </c>
      <c r="BY12" s="1">
        <v>40</v>
      </c>
      <c r="BZ12" s="1">
        <v>16</v>
      </c>
      <c r="CA12" s="1">
        <v>27.16</v>
      </c>
      <c r="CB12" s="1">
        <v>77</v>
      </c>
      <c r="CC12" s="1">
        <v>13</v>
      </c>
      <c r="CD12" s="1">
        <v>18</v>
      </c>
      <c r="CE12" s="1">
        <v>45</v>
      </c>
      <c r="CF12" s="1">
        <v>21</v>
      </c>
      <c r="CG12" s="1">
        <v>26.693000000000001</v>
      </c>
      <c r="CH12" s="1">
        <v>78</v>
      </c>
      <c r="CI12" s="1">
        <v>15</v>
      </c>
      <c r="CJ12" s="1">
        <v>16</v>
      </c>
      <c r="CK12" s="1">
        <v>43</v>
      </c>
      <c r="CL12" s="1">
        <v>24</v>
      </c>
      <c r="CM12" s="1">
        <v>25.804000000000002</v>
      </c>
      <c r="CN12" s="1">
        <v>85</v>
      </c>
      <c r="CO12" s="1">
        <v>16</v>
      </c>
      <c r="CP12" s="1">
        <v>20</v>
      </c>
      <c r="CQ12" s="1">
        <v>45</v>
      </c>
      <c r="CR12" s="1">
        <v>21</v>
      </c>
      <c r="CS12" s="1">
        <v>25.477</v>
      </c>
      <c r="CT12" s="1">
        <v>79</v>
      </c>
      <c r="CU12" s="1">
        <v>18</v>
      </c>
      <c r="CV12" s="1">
        <v>14</v>
      </c>
      <c r="CW12" s="1">
        <v>46</v>
      </c>
      <c r="CX12" s="1">
        <v>21</v>
      </c>
      <c r="CY12" s="1">
        <v>26.432000000000002</v>
      </c>
      <c r="CZ12" s="1">
        <v>114</v>
      </c>
      <c r="DA12" s="1">
        <v>16</v>
      </c>
      <c r="DB12" s="1">
        <v>27</v>
      </c>
      <c r="DC12" s="1">
        <v>43</v>
      </c>
      <c r="DD12" s="1">
        <v>18</v>
      </c>
      <c r="DE12" s="1">
        <v>28.663</v>
      </c>
      <c r="DF12" s="1">
        <v>120</v>
      </c>
      <c r="DG12" s="1">
        <v>17</v>
      </c>
      <c r="DH12" s="1">
        <v>22</v>
      </c>
      <c r="DI12" s="1">
        <v>42</v>
      </c>
      <c r="DJ12" s="1">
        <v>20</v>
      </c>
      <c r="DK12" s="1">
        <v>29.008000000000003</v>
      </c>
      <c r="DL12" s="1">
        <v>85</v>
      </c>
      <c r="DM12" s="1">
        <v>17</v>
      </c>
      <c r="DN12" s="1">
        <v>22</v>
      </c>
      <c r="DO12" s="1">
        <v>41</v>
      </c>
      <c r="DP12" s="1">
        <v>20</v>
      </c>
      <c r="DQ12" s="1">
        <v>26.221</v>
      </c>
      <c r="DR12" s="1">
        <v>95</v>
      </c>
      <c r="DS12" s="1">
        <v>19</v>
      </c>
      <c r="DT12" s="1">
        <v>22</v>
      </c>
      <c r="DU12" s="1">
        <v>43</v>
      </c>
      <c r="DV12" s="1">
        <v>20</v>
      </c>
      <c r="DW12" s="1">
        <v>25.398</v>
      </c>
      <c r="DX12" s="1">
        <v>92</v>
      </c>
      <c r="DY12" s="1">
        <v>14</v>
      </c>
      <c r="DZ12" s="1">
        <v>20</v>
      </c>
      <c r="EA12" s="1">
        <v>43</v>
      </c>
      <c r="EB12" s="1">
        <v>22</v>
      </c>
      <c r="EC12" s="1">
        <v>25.970000000000002</v>
      </c>
      <c r="ED12" s="1">
        <v>101</v>
      </c>
      <c r="EE12" s="1">
        <v>15</v>
      </c>
      <c r="EF12" s="1">
        <v>20</v>
      </c>
      <c r="EG12" s="1">
        <v>40</v>
      </c>
      <c r="EH12" s="1">
        <v>16</v>
      </c>
      <c r="EI12" s="1">
        <v>26.276</v>
      </c>
      <c r="EJ12" s="1">
        <v>84</v>
      </c>
      <c r="EK12" s="1">
        <v>25</v>
      </c>
      <c r="EL12" s="1">
        <v>19</v>
      </c>
      <c r="EM12" s="1">
        <v>43</v>
      </c>
      <c r="EN12" s="1">
        <v>21</v>
      </c>
      <c r="EO12" s="1">
        <v>24.898</v>
      </c>
      <c r="EP12" s="1">
        <v>119</v>
      </c>
      <c r="EQ12" s="1">
        <v>21</v>
      </c>
      <c r="ER12" s="1">
        <v>26</v>
      </c>
      <c r="ES12" s="1">
        <v>43</v>
      </c>
      <c r="ET12" s="1">
        <v>17</v>
      </c>
      <c r="EU12" s="1">
        <v>29.673999999999999</v>
      </c>
      <c r="EV12" s="1">
        <v>81</v>
      </c>
      <c r="EW12" s="1">
        <v>22</v>
      </c>
      <c r="EX12" s="1">
        <v>18</v>
      </c>
      <c r="EY12" s="1">
        <v>46</v>
      </c>
      <c r="EZ12" s="1">
        <v>20</v>
      </c>
      <c r="FA12" s="1">
        <v>26.87</v>
      </c>
      <c r="FB12" s="1">
        <v>116</v>
      </c>
      <c r="FC12" s="1">
        <v>22</v>
      </c>
      <c r="FD12" s="1">
        <v>18</v>
      </c>
      <c r="FE12" s="1">
        <v>41</v>
      </c>
      <c r="FF12" s="1">
        <v>23</v>
      </c>
      <c r="FG12" s="1">
        <v>27.593</v>
      </c>
      <c r="FH12" s="1">
        <v>118</v>
      </c>
      <c r="FI12" s="1">
        <v>23</v>
      </c>
      <c r="FJ12" s="1">
        <v>21</v>
      </c>
      <c r="FK12" s="1">
        <v>43</v>
      </c>
      <c r="FL12" s="1">
        <v>22</v>
      </c>
      <c r="FM12" s="1">
        <v>28.301000000000002</v>
      </c>
      <c r="FN12" s="1">
        <v>100</v>
      </c>
      <c r="FO12" s="1">
        <v>15</v>
      </c>
      <c r="FP12" s="1">
        <v>24</v>
      </c>
      <c r="FQ12" s="1">
        <v>41</v>
      </c>
      <c r="FR12" s="1">
        <v>23</v>
      </c>
      <c r="FS12" s="1">
        <v>28.501000000000001</v>
      </c>
      <c r="FT12" s="1">
        <v>106</v>
      </c>
      <c r="FU12" s="1">
        <v>16</v>
      </c>
      <c r="FV12" s="1">
        <v>18</v>
      </c>
      <c r="FW12" s="1">
        <v>45</v>
      </c>
      <c r="FX12" s="1">
        <v>20</v>
      </c>
      <c r="FY12" s="1">
        <v>28.01</v>
      </c>
      <c r="FZ12" s="1">
        <v>88</v>
      </c>
      <c r="GA12" s="1">
        <v>24</v>
      </c>
      <c r="GB12" s="1">
        <v>17</v>
      </c>
      <c r="GC12" s="1">
        <v>45</v>
      </c>
      <c r="GD12" s="1">
        <v>23</v>
      </c>
      <c r="GE12" s="1">
        <v>26.803000000000001</v>
      </c>
      <c r="GF12" s="1">
        <v>86</v>
      </c>
      <c r="GG12" s="1">
        <v>22</v>
      </c>
      <c r="GH12" s="1">
        <v>20</v>
      </c>
      <c r="GI12" s="1">
        <v>44</v>
      </c>
      <c r="GJ12" s="1">
        <v>18</v>
      </c>
      <c r="GK12" s="1">
        <v>25.761000000000003</v>
      </c>
      <c r="GL12" s="1">
        <v>84</v>
      </c>
      <c r="GM12" s="1">
        <v>13</v>
      </c>
      <c r="GN12" s="1">
        <v>20</v>
      </c>
      <c r="GO12" s="1">
        <v>45</v>
      </c>
      <c r="GP12" s="1">
        <v>20</v>
      </c>
      <c r="GQ12" s="1">
        <v>26.877000000000002</v>
      </c>
      <c r="GR12" s="1">
        <v>115</v>
      </c>
      <c r="GS12" s="1">
        <v>28</v>
      </c>
      <c r="GT12" s="1">
        <v>23</v>
      </c>
      <c r="GU12" s="1">
        <v>47</v>
      </c>
      <c r="GV12" s="1">
        <v>23</v>
      </c>
      <c r="GW12" s="1">
        <v>30.058</v>
      </c>
      <c r="GX12" s="1">
        <v>127</v>
      </c>
      <c r="GY12" s="1">
        <v>15</v>
      </c>
      <c r="GZ12" s="1">
        <v>19</v>
      </c>
      <c r="HA12" s="1">
        <v>42</v>
      </c>
      <c r="HB12" s="1">
        <v>21</v>
      </c>
      <c r="HC12" s="1">
        <v>28.508000000000003</v>
      </c>
      <c r="HD12" s="1">
        <v>97</v>
      </c>
      <c r="HE12" s="1">
        <v>21</v>
      </c>
      <c r="HF12" s="1">
        <v>21</v>
      </c>
      <c r="HG12" s="1">
        <v>46</v>
      </c>
      <c r="HH12" s="1">
        <v>23</v>
      </c>
      <c r="HI12" s="1">
        <v>27.955000000000002</v>
      </c>
      <c r="HJ12" s="1">
        <v>96</v>
      </c>
      <c r="HK12" s="1">
        <v>8</v>
      </c>
      <c r="HL12" s="1">
        <v>23</v>
      </c>
      <c r="HM12" s="1">
        <v>45</v>
      </c>
      <c r="HN12" s="1">
        <v>21</v>
      </c>
      <c r="HO12" s="1">
        <v>26.918000000000003</v>
      </c>
      <c r="HP12" s="1">
        <v>116</v>
      </c>
      <c r="HQ12" s="1">
        <v>14</v>
      </c>
      <c r="HR12" s="1">
        <v>21</v>
      </c>
      <c r="HS12" s="1">
        <v>45</v>
      </c>
      <c r="HT12" s="1">
        <v>19</v>
      </c>
      <c r="HU12" s="1">
        <v>29.371000000000002</v>
      </c>
      <c r="HV12" s="1">
        <v>84</v>
      </c>
      <c r="HW12" s="1">
        <v>13</v>
      </c>
      <c r="HX12" s="1">
        <v>22</v>
      </c>
      <c r="HY12" s="1">
        <v>42</v>
      </c>
      <c r="HZ12" s="1">
        <v>24</v>
      </c>
      <c r="IA12" s="1">
        <v>24.130000000000003</v>
      </c>
      <c r="IB12" s="1">
        <v>95</v>
      </c>
      <c r="IC12" s="1">
        <v>12</v>
      </c>
      <c r="ID12" s="1">
        <v>20</v>
      </c>
      <c r="IE12" s="1">
        <v>44</v>
      </c>
      <c r="IF12" s="1">
        <v>18</v>
      </c>
      <c r="IG12" s="1">
        <v>25.644000000000002</v>
      </c>
      <c r="IH12" s="1">
        <v>87</v>
      </c>
      <c r="II12" s="1">
        <v>21</v>
      </c>
      <c r="IJ12" s="1">
        <v>20</v>
      </c>
      <c r="IK12" s="1">
        <v>41</v>
      </c>
      <c r="IL12" s="1">
        <v>23</v>
      </c>
      <c r="IM12" s="1">
        <v>24.874000000000002</v>
      </c>
      <c r="IN12" s="1">
        <v>65</v>
      </c>
      <c r="IO12" s="1">
        <v>15</v>
      </c>
      <c r="IP12" s="1">
        <v>16</v>
      </c>
      <c r="IQ12" s="1">
        <v>43</v>
      </c>
      <c r="IR12" s="1">
        <v>21</v>
      </c>
      <c r="IS12" s="1">
        <v>25.513000000000002</v>
      </c>
      <c r="IT12" s="1">
        <v>83</v>
      </c>
      <c r="IU12" s="1">
        <v>14</v>
      </c>
      <c r="IV12" s="1">
        <v>20</v>
      </c>
      <c r="IW12" s="1">
        <v>44</v>
      </c>
      <c r="IX12" s="1">
        <v>21</v>
      </c>
      <c r="IY12" s="1">
        <v>24.408000000000001</v>
      </c>
      <c r="IZ12" s="1">
        <v>86</v>
      </c>
      <c r="JA12" s="1">
        <v>24</v>
      </c>
      <c r="JB12" s="1">
        <v>25</v>
      </c>
      <c r="JC12" s="1">
        <v>41</v>
      </c>
      <c r="JD12" s="1">
        <v>16</v>
      </c>
      <c r="JE12" s="1">
        <v>27.248000000000001</v>
      </c>
      <c r="JF12" s="1">
        <v>106</v>
      </c>
      <c r="JG12" s="1">
        <v>7</v>
      </c>
      <c r="JH12" s="1">
        <v>26</v>
      </c>
      <c r="JI12" s="1">
        <v>46</v>
      </c>
      <c r="JJ12" s="1">
        <v>23</v>
      </c>
      <c r="JK12" s="1">
        <v>28.272000000000002</v>
      </c>
      <c r="JL12" s="1">
        <v>122</v>
      </c>
      <c r="JM12" s="1">
        <v>16</v>
      </c>
      <c r="JN12" s="1">
        <v>25</v>
      </c>
      <c r="JO12" s="1">
        <v>44</v>
      </c>
      <c r="JP12" s="1">
        <v>20</v>
      </c>
      <c r="JQ12" s="1">
        <v>29.055</v>
      </c>
      <c r="JR12" s="1">
        <v>69</v>
      </c>
      <c r="JS12" s="1">
        <v>12</v>
      </c>
      <c r="JT12" s="1">
        <v>17</v>
      </c>
      <c r="JU12" s="1">
        <v>41</v>
      </c>
      <c r="JV12" s="1">
        <v>20</v>
      </c>
      <c r="JW12" s="1">
        <v>25.991</v>
      </c>
      <c r="JX12" s="1">
        <v>107</v>
      </c>
      <c r="JY12" s="1">
        <v>22</v>
      </c>
      <c r="JZ12" s="1">
        <v>25</v>
      </c>
      <c r="KA12" s="1">
        <v>41</v>
      </c>
      <c r="KB12" s="1">
        <v>18</v>
      </c>
      <c r="KC12" s="1">
        <v>27.516000000000002</v>
      </c>
      <c r="KD12" s="1">
        <v>92</v>
      </c>
      <c r="KE12" s="1">
        <v>19</v>
      </c>
      <c r="KF12" s="1">
        <v>24</v>
      </c>
      <c r="KG12" s="1">
        <v>45</v>
      </c>
      <c r="KH12" s="1">
        <v>19</v>
      </c>
      <c r="KI12" s="1">
        <v>26.256</v>
      </c>
      <c r="KJ12" s="1">
        <v>79</v>
      </c>
      <c r="KK12" s="1">
        <v>23</v>
      </c>
      <c r="KL12" s="1">
        <v>17</v>
      </c>
      <c r="KM12" s="1">
        <v>43</v>
      </c>
      <c r="KN12" s="1">
        <v>16</v>
      </c>
      <c r="KO12" s="1">
        <v>24.921000000000003</v>
      </c>
      <c r="KP12" s="1">
        <v>69</v>
      </c>
      <c r="KQ12" s="1">
        <v>23</v>
      </c>
      <c r="KR12" s="1">
        <v>21</v>
      </c>
      <c r="KS12" s="1">
        <v>40</v>
      </c>
      <c r="KT12" s="1">
        <v>21</v>
      </c>
      <c r="KU12" s="1">
        <v>24.773</v>
      </c>
      <c r="KV12" s="1">
        <v>108</v>
      </c>
      <c r="KW12" s="1">
        <v>17</v>
      </c>
      <c r="KX12" s="1">
        <v>20</v>
      </c>
      <c r="KY12" s="1">
        <v>44</v>
      </c>
      <c r="KZ12" s="1">
        <v>21</v>
      </c>
      <c r="LA12" s="1">
        <v>26.864000000000001</v>
      </c>
      <c r="LB12" s="1">
        <v>102</v>
      </c>
      <c r="LC12" s="1">
        <v>25</v>
      </c>
      <c r="LD12" s="1">
        <v>19</v>
      </c>
      <c r="LE12" s="1">
        <v>42</v>
      </c>
      <c r="LF12" s="1">
        <v>16</v>
      </c>
      <c r="LG12" s="1">
        <v>27.14</v>
      </c>
      <c r="LH12" s="1">
        <v>120</v>
      </c>
      <c r="LI12" s="1">
        <v>16</v>
      </c>
      <c r="LJ12" s="1">
        <v>23</v>
      </c>
      <c r="LK12" s="1">
        <v>40</v>
      </c>
      <c r="LL12" s="1">
        <v>21</v>
      </c>
      <c r="LM12" s="1">
        <v>28.014000000000003</v>
      </c>
      <c r="LN12" s="1">
        <v>95</v>
      </c>
      <c r="LO12" s="1">
        <v>17</v>
      </c>
      <c r="LP12" s="1">
        <v>24</v>
      </c>
      <c r="LQ12" s="1">
        <v>44</v>
      </c>
      <c r="LR12" s="1">
        <v>19</v>
      </c>
      <c r="LS12" s="1">
        <v>26.365000000000002</v>
      </c>
      <c r="LT12" s="1">
        <v>83</v>
      </c>
      <c r="LU12" s="1">
        <v>25</v>
      </c>
      <c r="LV12" s="1">
        <v>19</v>
      </c>
      <c r="LW12" s="1">
        <v>43</v>
      </c>
      <c r="LX12" s="1">
        <v>22</v>
      </c>
      <c r="LY12" s="1">
        <v>24.957000000000001</v>
      </c>
      <c r="LZ12" s="1">
        <v>85</v>
      </c>
      <c r="MA12" s="1">
        <v>24</v>
      </c>
      <c r="MB12" s="1">
        <v>20</v>
      </c>
      <c r="MC12" s="1">
        <v>41</v>
      </c>
      <c r="MD12" s="1">
        <v>18</v>
      </c>
      <c r="ME12" s="1">
        <v>24.277000000000001</v>
      </c>
      <c r="MF12" s="1">
        <v>124</v>
      </c>
      <c r="MG12" s="1">
        <v>22</v>
      </c>
      <c r="MH12" s="1">
        <v>25</v>
      </c>
      <c r="MI12" s="1">
        <v>41</v>
      </c>
      <c r="MJ12" s="1">
        <v>21</v>
      </c>
      <c r="MK12" s="1">
        <v>27.822000000000003</v>
      </c>
      <c r="ML12" s="1">
        <v>115</v>
      </c>
      <c r="MM12" s="1">
        <v>26</v>
      </c>
      <c r="MN12" s="1">
        <v>24</v>
      </c>
      <c r="MO12" s="1">
        <v>45</v>
      </c>
      <c r="MP12" s="1">
        <v>21</v>
      </c>
      <c r="MQ12" s="1">
        <v>29.519000000000002</v>
      </c>
      <c r="MR12" s="1">
        <v>118</v>
      </c>
      <c r="MS12" s="1">
        <v>15</v>
      </c>
      <c r="MT12" s="1">
        <v>28</v>
      </c>
      <c r="MU12" s="1">
        <v>46</v>
      </c>
      <c r="MV12" s="1">
        <v>22</v>
      </c>
      <c r="MW12" s="1">
        <v>28.179000000000002</v>
      </c>
    </row>
    <row r="13" spans="1:361">
      <c r="A13" s="1">
        <v>10</v>
      </c>
      <c r="B13" s="1">
        <v>123</v>
      </c>
      <c r="C13" s="1">
        <v>6</v>
      </c>
      <c r="D13" s="1">
        <v>23</v>
      </c>
      <c r="E13" s="1">
        <v>43</v>
      </c>
      <c r="F13" s="1">
        <v>19</v>
      </c>
      <c r="G13" s="1">
        <v>30.593</v>
      </c>
      <c r="H13" s="1">
        <v>75</v>
      </c>
      <c r="I13" s="1">
        <v>18</v>
      </c>
      <c r="J13" s="1">
        <v>19</v>
      </c>
      <c r="K13" s="1">
        <v>45</v>
      </c>
      <c r="L13" s="1">
        <v>20</v>
      </c>
      <c r="M13" s="1">
        <v>24.854000000000003</v>
      </c>
      <c r="N13" s="1">
        <v>79</v>
      </c>
      <c r="O13" s="1">
        <v>18</v>
      </c>
      <c r="P13" s="1">
        <v>17</v>
      </c>
      <c r="Q13" s="1">
        <v>42</v>
      </c>
      <c r="R13" s="1">
        <v>21</v>
      </c>
      <c r="S13" s="1">
        <v>24.488</v>
      </c>
      <c r="T13" s="1">
        <v>84</v>
      </c>
      <c r="U13" s="1">
        <v>15</v>
      </c>
      <c r="V13" s="1">
        <v>20</v>
      </c>
      <c r="W13" s="1">
        <v>44</v>
      </c>
      <c r="X13" s="1">
        <v>22</v>
      </c>
      <c r="Y13" s="1">
        <v>27.471</v>
      </c>
      <c r="Z13" s="1">
        <v>119</v>
      </c>
      <c r="AA13" s="1">
        <v>26</v>
      </c>
      <c r="AB13" s="1">
        <v>24</v>
      </c>
      <c r="AC13" s="1">
        <v>45</v>
      </c>
      <c r="AD13" s="1">
        <v>22</v>
      </c>
      <c r="AE13" s="1">
        <v>27.962</v>
      </c>
      <c r="AF13" s="1">
        <v>101</v>
      </c>
      <c r="AG13" s="1">
        <v>7</v>
      </c>
      <c r="AH13" s="1">
        <v>20</v>
      </c>
      <c r="AI13" s="1">
        <v>41</v>
      </c>
      <c r="AJ13" s="1">
        <v>16</v>
      </c>
      <c r="AK13" s="1">
        <v>25.627000000000002</v>
      </c>
      <c r="AL13" s="1">
        <v>71</v>
      </c>
      <c r="AM13" s="1">
        <v>12</v>
      </c>
      <c r="AN13" s="1">
        <v>15</v>
      </c>
      <c r="AO13" s="1">
        <v>43</v>
      </c>
      <c r="AP13" s="1">
        <v>20</v>
      </c>
      <c r="AQ13" s="1">
        <v>23.093</v>
      </c>
      <c r="AR13" s="1">
        <v>72</v>
      </c>
      <c r="AS13" s="1">
        <v>9</v>
      </c>
      <c r="AT13" s="1">
        <v>14</v>
      </c>
      <c r="AU13" s="1">
        <v>45</v>
      </c>
      <c r="AV13" s="1">
        <v>18</v>
      </c>
      <c r="AW13" s="1">
        <v>26.66</v>
      </c>
      <c r="AX13" s="1">
        <v>112</v>
      </c>
      <c r="AY13" s="1">
        <v>17</v>
      </c>
      <c r="AZ13" s="1">
        <v>24</v>
      </c>
      <c r="BA13" s="1">
        <v>45</v>
      </c>
      <c r="BB13" s="1">
        <v>20</v>
      </c>
      <c r="BC13" s="1">
        <v>28.981000000000002</v>
      </c>
      <c r="BD13" s="1">
        <v>96</v>
      </c>
      <c r="BE13" s="1">
        <v>23</v>
      </c>
      <c r="BF13" s="1">
        <v>22</v>
      </c>
      <c r="BG13" s="1">
        <v>43</v>
      </c>
      <c r="BH13" s="1">
        <v>19</v>
      </c>
      <c r="BI13" s="1">
        <v>27.889000000000003</v>
      </c>
      <c r="BJ13" s="1">
        <v>117</v>
      </c>
      <c r="BK13" s="1">
        <v>23</v>
      </c>
      <c r="BL13" s="1">
        <v>23</v>
      </c>
      <c r="BM13" s="1">
        <v>41</v>
      </c>
      <c r="BN13" s="1">
        <v>20</v>
      </c>
      <c r="BO13" s="1">
        <v>28.401</v>
      </c>
      <c r="BP13" s="1">
        <v>89</v>
      </c>
      <c r="BQ13" s="1">
        <v>7</v>
      </c>
      <c r="BR13" s="1">
        <v>25</v>
      </c>
      <c r="BS13" s="1">
        <v>44</v>
      </c>
      <c r="BT13" s="1">
        <v>21</v>
      </c>
      <c r="BU13" s="1">
        <v>25.268000000000001</v>
      </c>
      <c r="BV13" s="1">
        <v>80</v>
      </c>
      <c r="BW13" s="1">
        <v>17</v>
      </c>
      <c r="BX13" s="1">
        <v>20</v>
      </c>
      <c r="BY13" s="1">
        <v>42</v>
      </c>
      <c r="BZ13" s="1">
        <v>21</v>
      </c>
      <c r="CA13" s="1">
        <v>25.05</v>
      </c>
      <c r="CB13" s="1">
        <v>89</v>
      </c>
      <c r="CC13" s="1">
        <v>21</v>
      </c>
      <c r="CD13" s="1">
        <v>21</v>
      </c>
      <c r="CE13" s="1">
        <v>42</v>
      </c>
      <c r="CF13" s="1">
        <v>17</v>
      </c>
      <c r="CG13" s="1">
        <v>26.137</v>
      </c>
      <c r="CH13" s="1">
        <v>119</v>
      </c>
      <c r="CI13" s="1">
        <v>22</v>
      </c>
      <c r="CJ13" s="1">
        <v>24</v>
      </c>
      <c r="CK13" s="1">
        <v>44</v>
      </c>
      <c r="CL13" s="1">
        <v>21</v>
      </c>
      <c r="CM13" s="1">
        <v>30.694000000000003</v>
      </c>
      <c r="CN13" s="1">
        <v>122</v>
      </c>
      <c r="CO13" s="1">
        <v>21</v>
      </c>
      <c r="CP13" s="1">
        <v>20</v>
      </c>
      <c r="CQ13" s="1">
        <v>45</v>
      </c>
      <c r="CR13" s="1">
        <v>22</v>
      </c>
      <c r="CS13" s="1">
        <v>26.723000000000003</v>
      </c>
      <c r="CT13" s="1">
        <v>110</v>
      </c>
      <c r="CU13" s="1">
        <v>16</v>
      </c>
      <c r="CV13" s="1">
        <v>22</v>
      </c>
      <c r="CW13" s="1">
        <v>42</v>
      </c>
      <c r="CX13" s="1">
        <v>21</v>
      </c>
      <c r="CY13" s="1">
        <v>27.700000000000003</v>
      </c>
      <c r="CZ13" s="1">
        <v>122</v>
      </c>
      <c r="DA13" s="1">
        <v>17</v>
      </c>
      <c r="DB13" s="1">
        <v>23</v>
      </c>
      <c r="DC13" s="1">
        <v>41</v>
      </c>
      <c r="DD13" s="1">
        <v>19</v>
      </c>
      <c r="DE13" s="1">
        <v>28.145</v>
      </c>
      <c r="DF13" s="1">
        <v>110</v>
      </c>
      <c r="DG13" s="1">
        <v>31</v>
      </c>
      <c r="DH13" s="1">
        <v>24</v>
      </c>
      <c r="DI13" s="1">
        <v>46</v>
      </c>
      <c r="DJ13" s="1">
        <v>17</v>
      </c>
      <c r="DK13" s="1">
        <v>28.91</v>
      </c>
      <c r="DL13" s="1">
        <v>93</v>
      </c>
      <c r="DM13" s="1">
        <v>14</v>
      </c>
      <c r="DN13" s="1">
        <v>24</v>
      </c>
      <c r="DO13" s="1">
        <v>44</v>
      </c>
      <c r="DP13" s="1">
        <v>21</v>
      </c>
      <c r="DQ13" s="1">
        <v>27.014000000000003</v>
      </c>
      <c r="DR13" s="1">
        <v>113</v>
      </c>
      <c r="DS13" s="1">
        <v>14</v>
      </c>
      <c r="DT13" s="1">
        <v>20</v>
      </c>
      <c r="DU13" s="1">
        <v>42</v>
      </c>
      <c r="DV13" s="1">
        <v>22</v>
      </c>
      <c r="DW13" s="1">
        <v>27.969000000000001</v>
      </c>
      <c r="DX13" s="1">
        <v>92</v>
      </c>
      <c r="DY13" s="1">
        <v>23</v>
      </c>
      <c r="DZ13" s="1">
        <v>20</v>
      </c>
      <c r="EA13" s="1">
        <v>43</v>
      </c>
      <c r="EB13" s="1">
        <v>21</v>
      </c>
      <c r="EC13" s="1">
        <v>25.681000000000001</v>
      </c>
      <c r="ED13" s="1">
        <v>88</v>
      </c>
      <c r="EE13" s="1">
        <v>8</v>
      </c>
      <c r="EF13" s="1">
        <v>19</v>
      </c>
      <c r="EG13" s="1">
        <v>43</v>
      </c>
      <c r="EH13" s="1">
        <v>24</v>
      </c>
      <c r="EI13" s="1">
        <v>27.034000000000002</v>
      </c>
      <c r="EJ13" s="1">
        <v>99</v>
      </c>
      <c r="EK13" s="1">
        <v>19</v>
      </c>
      <c r="EL13" s="1">
        <v>21</v>
      </c>
      <c r="EM13" s="1">
        <v>42</v>
      </c>
      <c r="EN13" s="1">
        <v>20</v>
      </c>
      <c r="EO13" s="1">
        <v>26.305</v>
      </c>
      <c r="EP13" s="1">
        <v>80</v>
      </c>
      <c r="EQ13" s="1">
        <v>20</v>
      </c>
      <c r="ER13" s="1">
        <v>20</v>
      </c>
      <c r="ES13" s="1">
        <v>41</v>
      </c>
      <c r="ET13" s="1">
        <v>23</v>
      </c>
      <c r="EU13" s="1">
        <v>26.241</v>
      </c>
      <c r="EV13" s="1">
        <v>114</v>
      </c>
      <c r="EW13" s="1">
        <v>16</v>
      </c>
      <c r="EX13" s="1">
        <v>22</v>
      </c>
      <c r="EY13" s="1">
        <v>45</v>
      </c>
      <c r="EZ13" s="1">
        <v>20</v>
      </c>
      <c r="FA13" s="1">
        <v>30.313000000000002</v>
      </c>
      <c r="FB13" s="1">
        <v>77</v>
      </c>
      <c r="FC13" s="1">
        <v>13</v>
      </c>
      <c r="FD13" s="1">
        <v>21</v>
      </c>
      <c r="FE13" s="1">
        <v>45</v>
      </c>
      <c r="FF13" s="1">
        <v>22</v>
      </c>
      <c r="FG13" s="1">
        <v>26.956</v>
      </c>
      <c r="FH13" s="1">
        <v>128</v>
      </c>
      <c r="FI13" s="1">
        <v>24</v>
      </c>
      <c r="FJ13" s="1">
        <v>27</v>
      </c>
      <c r="FK13" s="1">
        <v>45</v>
      </c>
      <c r="FL13" s="1">
        <v>21</v>
      </c>
      <c r="FM13" s="1">
        <v>29.502000000000002</v>
      </c>
      <c r="FN13" s="1">
        <v>112</v>
      </c>
      <c r="FO13" s="1">
        <v>16</v>
      </c>
      <c r="FP13" s="1">
        <v>27</v>
      </c>
      <c r="FQ13" s="1">
        <v>43</v>
      </c>
      <c r="FR13" s="1">
        <v>21</v>
      </c>
      <c r="FS13" s="1">
        <v>28.591000000000001</v>
      </c>
      <c r="FT13" s="1">
        <v>68</v>
      </c>
      <c r="FU13" s="1">
        <v>4</v>
      </c>
      <c r="FV13" s="1">
        <v>12</v>
      </c>
      <c r="FW13" s="1">
        <v>45</v>
      </c>
      <c r="FX13" s="1">
        <v>22</v>
      </c>
      <c r="FY13" s="1">
        <v>23.818000000000001</v>
      </c>
      <c r="FZ13" s="1">
        <v>121</v>
      </c>
      <c r="GA13" s="1">
        <v>21</v>
      </c>
      <c r="GB13" s="1">
        <v>21</v>
      </c>
      <c r="GC13" s="1">
        <v>40</v>
      </c>
      <c r="GD13" s="1">
        <v>19</v>
      </c>
      <c r="GE13" s="1">
        <v>28.923000000000002</v>
      </c>
      <c r="GF13" s="1">
        <v>112</v>
      </c>
      <c r="GG13" s="1">
        <v>25</v>
      </c>
      <c r="GH13" s="1">
        <v>26</v>
      </c>
      <c r="GI13" s="1">
        <v>41</v>
      </c>
      <c r="GJ13" s="1">
        <v>18</v>
      </c>
      <c r="GK13" s="1">
        <v>27.141999999999999</v>
      </c>
      <c r="GL13" s="1">
        <v>94</v>
      </c>
      <c r="GM13" s="1">
        <v>19</v>
      </c>
      <c r="GN13" s="1">
        <v>20</v>
      </c>
      <c r="GO13" s="1">
        <v>42</v>
      </c>
      <c r="GP13" s="1">
        <v>19</v>
      </c>
      <c r="GQ13" s="1">
        <v>24.860000000000003</v>
      </c>
      <c r="GR13" s="1">
        <v>68</v>
      </c>
      <c r="GS13" s="1">
        <v>12</v>
      </c>
      <c r="GT13" s="1">
        <v>21</v>
      </c>
      <c r="GU13" s="1">
        <v>44</v>
      </c>
      <c r="GV13" s="1">
        <v>19</v>
      </c>
      <c r="GW13" s="1">
        <v>24.494</v>
      </c>
      <c r="GX13" s="1">
        <v>85</v>
      </c>
      <c r="GY13" s="1">
        <v>30</v>
      </c>
      <c r="GZ13" s="1">
        <v>22</v>
      </c>
      <c r="HA13" s="1">
        <v>45</v>
      </c>
      <c r="HB13" s="1">
        <v>19</v>
      </c>
      <c r="HC13" s="1">
        <v>27.952000000000002</v>
      </c>
      <c r="HD13" s="1">
        <v>91</v>
      </c>
      <c r="HE13" s="1">
        <v>16</v>
      </c>
      <c r="HF13" s="1">
        <v>20</v>
      </c>
      <c r="HG13" s="1">
        <v>43</v>
      </c>
      <c r="HH13" s="1">
        <v>17</v>
      </c>
      <c r="HI13" s="1">
        <v>27.418000000000003</v>
      </c>
      <c r="HJ13" s="1">
        <v>106</v>
      </c>
      <c r="HK13" s="1">
        <v>15</v>
      </c>
      <c r="HL13" s="1">
        <v>23</v>
      </c>
      <c r="HM13" s="1">
        <v>44</v>
      </c>
      <c r="HN13" s="1">
        <v>22</v>
      </c>
      <c r="HO13" s="1">
        <v>27.123000000000001</v>
      </c>
      <c r="HP13" s="1">
        <v>86</v>
      </c>
      <c r="HQ13" s="1">
        <v>19</v>
      </c>
      <c r="HR13" s="1">
        <v>21</v>
      </c>
      <c r="HS13" s="1">
        <v>40</v>
      </c>
      <c r="HT13" s="1">
        <v>20</v>
      </c>
      <c r="HU13" s="1">
        <v>26.588000000000001</v>
      </c>
      <c r="HV13" s="1">
        <v>100</v>
      </c>
      <c r="HW13" s="1">
        <v>27</v>
      </c>
      <c r="HX13" s="1">
        <v>23</v>
      </c>
      <c r="HY13" s="1">
        <v>40</v>
      </c>
      <c r="HZ13" s="1">
        <v>19</v>
      </c>
      <c r="IA13" s="1">
        <v>28.301000000000002</v>
      </c>
      <c r="IB13" s="1">
        <v>95</v>
      </c>
      <c r="IC13" s="1">
        <v>16</v>
      </c>
      <c r="ID13" s="1">
        <v>18</v>
      </c>
      <c r="IE13" s="1">
        <v>41</v>
      </c>
      <c r="IF13" s="1">
        <v>19</v>
      </c>
      <c r="IG13" s="1">
        <v>26.769000000000002</v>
      </c>
      <c r="IH13" s="1">
        <v>89</v>
      </c>
      <c r="II13" s="1">
        <v>20</v>
      </c>
      <c r="IJ13" s="1">
        <v>24</v>
      </c>
      <c r="IK13" s="1">
        <v>42</v>
      </c>
      <c r="IL13" s="1">
        <v>21</v>
      </c>
      <c r="IM13" s="1">
        <v>28.156000000000002</v>
      </c>
      <c r="IN13" s="1">
        <v>95</v>
      </c>
      <c r="IO13" s="1">
        <v>20</v>
      </c>
      <c r="IP13" s="1">
        <v>25</v>
      </c>
      <c r="IQ13" s="1">
        <v>42</v>
      </c>
      <c r="IR13" s="1">
        <v>22</v>
      </c>
      <c r="IS13" s="1">
        <v>25.519000000000002</v>
      </c>
      <c r="IT13" s="1">
        <v>74</v>
      </c>
      <c r="IU13" s="1">
        <v>27</v>
      </c>
      <c r="IV13" s="1">
        <v>22</v>
      </c>
      <c r="IW13" s="1">
        <v>45</v>
      </c>
      <c r="IX13" s="1">
        <v>22</v>
      </c>
      <c r="IY13" s="1">
        <v>25.841000000000001</v>
      </c>
      <c r="IZ13" s="1">
        <v>87</v>
      </c>
      <c r="JA13" s="1">
        <v>25</v>
      </c>
      <c r="JB13" s="1">
        <v>19</v>
      </c>
      <c r="JC13" s="1">
        <v>43</v>
      </c>
      <c r="JD13" s="1">
        <v>20</v>
      </c>
      <c r="JE13" s="1">
        <v>25.949000000000002</v>
      </c>
      <c r="JF13" s="1">
        <v>83</v>
      </c>
      <c r="JG13" s="1">
        <v>12</v>
      </c>
      <c r="JH13" s="1">
        <v>16</v>
      </c>
      <c r="JI13" s="1">
        <v>42</v>
      </c>
      <c r="JJ13" s="1">
        <v>17</v>
      </c>
      <c r="JK13" s="1">
        <v>24.990000000000002</v>
      </c>
      <c r="JL13" s="1">
        <v>74</v>
      </c>
      <c r="JM13" s="1">
        <v>18</v>
      </c>
      <c r="JN13" s="1">
        <v>19</v>
      </c>
      <c r="JO13" s="1">
        <v>47</v>
      </c>
      <c r="JP13" s="1">
        <v>23</v>
      </c>
      <c r="JQ13" s="1">
        <v>26.029</v>
      </c>
      <c r="JR13" s="1">
        <v>87</v>
      </c>
      <c r="JS13" s="1">
        <v>30</v>
      </c>
      <c r="JT13" s="1">
        <v>20</v>
      </c>
      <c r="JU13" s="1">
        <v>43</v>
      </c>
      <c r="JV13" s="1">
        <v>23</v>
      </c>
      <c r="JW13" s="1">
        <v>26.421000000000003</v>
      </c>
      <c r="JX13" s="1">
        <v>124</v>
      </c>
      <c r="JY13" s="1">
        <v>22</v>
      </c>
      <c r="JZ13" s="1">
        <v>27</v>
      </c>
      <c r="KA13" s="1">
        <v>44</v>
      </c>
      <c r="KB13" s="1">
        <v>20</v>
      </c>
      <c r="KC13" s="1">
        <v>29.901</v>
      </c>
      <c r="KD13" s="1">
        <v>85</v>
      </c>
      <c r="KE13" s="1">
        <v>18</v>
      </c>
      <c r="KF13" s="1">
        <v>21</v>
      </c>
      <c r="KG13" s="1">
        <v>43</v>
      </c>
      <c r="KH13" s="1">
        <v>17</v>
      </c>
      <c r="KI13" s="1">
        <v>25.71</v>
      </c>
      <c r="KJ13" s="1">
        <v>118</v>
      </c>
      <c r="KK13" s="1">
        <v>24</v>
      </c>
      <c r="KL13" s="1">
        <v>25</v>
      </c>
      <c r="KM13" s="1">
        <v>41</v>
      </c>
      <c r="KN13" s="1">
        <v>19</v>
      </c>
      <c r="KO13" s="1">
        <v>27.163</v>
      </c>
      <c r="KP13" s="1">
        <v>80</v>
      </c>
      <c r="KQ13" s="1">
        <v>20</v>
      </c>
      <c r="KR13" s="1">
        <v>18</v>
      </c>
      <c r="KS13" s="1">
        <v>46</v>
      </c>
      <c r="KT13" s="1">
        <v>22</v>
      </c>
      <c r="KU13" s="1">
        <v>27.241</v>
      </c>
      <c r="KV13" s="1">
        <v>101</v>
      </c>
      <c r="KW13" s="1">
        <v>17</v>
      </c>
      <c r="KX13" s="1">
        <v>23</v>
      </c>
      <c r="KY13" s="1">
        <v>45</v>
      </c>
      <c r="KZ13" s="1">
        <v>17</v>
      </c>
      <c r="LA13" s="1">
        <v>25.999000000000002</v>
      </c>
      <c r="LB13" s="1">
        <v>99</v>
      </c>
      <c r="LC13" s="1">
        <v>15</v>
      </c>
      <c r="LD13" s="1">
        <v>21</v>
      </c>
      <c r="LE13" s="1">
        <v>42</v>
      </c>
      <c r="LF13" s="1">
        <v>22</v>
      </c>
      <c r="LG13" s="1">
        <v>26.75</v>
      </c>
      <c r="LH13" s="1">
        <v>97</v>
      </c>
      <c r="LI13" s="1">
        <v>13</v>
      </c>
      <c r="LJ13" s="1">
        <v>21</v>
      </c>
      <c r="LK13" s="1">
        <v>46</v>
      </c>
      <c r="LL13" s="1">
        <v>26</v>
      </c>
      <c r="LM13" s="1">
        <v>28.004000000000001</v>
      </c>
      <c r="LN13" s="1">
        <v>122</v>
      </c>
      <c r="LO13" s="1">
        <v>21</v>
      </c>
      <c r="LP13" s="1">
        <v>25</v>
      </c>
      <c r="LQ13" s="1">
        <v>42</v>
      </c>
      <c r="LR13" s="1">
        <v>19</v>
      </c>
      <c r="LS13" s="1">
        <v>29.403000000000002</v>
      </c>
      <c r="LT13" s="1">
        <v>83</v>
      </c>
      <c r="LU13" s="1">
        <v>8</v>
      </c>
      <c r="LV13" s="1">
        <v>17</v>
      </c>
      <c r="LW13" s="1">
        <v>45</v>
      </c>
      <c r="LX13" s="1">
        <v>21</v>
      </c>
      <c r="LY13" s="1">
        <v>27.130000000000003</v>
      </c>
      <c r="LZ13" s="1">
        <v>109</v>
      </c>
      <c r="MA13" s="1">
        <v>17</v>
      </c>
      <c r="MB13" s="1">
        <v>25</v>
      </c>
      <c r="MC13" s="1">
        <v>46</v>
      </c>
      <c r="MD13" s="1">
        <v>22</v>
      </c>
      <c r="ME13" s="1">
        <v>27.797000000000001</v>
      </c>
      <c r="MF13" s="1">
        <v>97</v>
      </c>
      <c r="MG13" s="1">
        <v>13</v>
      </c>
      <c r="MH13" s="1">
        <v>26</v>
      </c>
      <c r="MI13" s="1">
        <v>42</v>
      </c>
      <c r="MJ13" s="1">
        <v>17</v>
      </c>
      <c r="MK13" s="1">
        <v>26.705000000000002</v>
      </c>
      <c r="ML13" s="1">
        <v>69</v>
      </c>
      <c r="MM13" s="1">
        <v>18</v>
      </c>
      <c r="MN13" s="1">
        <v>22</v>
      </c>
      <c r="MO13" s="1">
        <v>43</v>
      </c>
      <c r="MP13" s="1">
        <v>23</v>
      </c>
      <c r="MQ13" s="1">
        <v>26.240000000000002</v>
      </c>
      <c r="MR13" s="1">
        <v>102</v>
      </c>
      <c r="MS13" s="1">
        <v>22</v>
      </c>
      <c r="MT13" s="1">
        <v>25</v>
      </c>
      <c r="MU13" s="1">
        <v>43</v>
      </c>
      <c r="MV13" s="1">
        <v>18</v>
      </c>
      <c r="MW13" s="1">
        <v>26.465</v>
      </c>
    </row>
    <row r="14" spans="1:361">
      <c r="A14" s="1">
        <v>11</v>
      </c>
      <c r="B14" s="1">
        <v>112</v>
      </c>
      <c r="C14" s="1">
        <v>16</v>
      </c>
      <c r="D14" s="1">
        <v>26</v>
      </c>
      <c r="E14" s="1">
        <v>43</v>
      </c>
      <c r="F14" s="1">
        <v>20</v>
      </c>
      <c r="G14" s="1">
        <v>27.05</v>
      </c>
      <c r="H14" s="1">
        <v>123</v>
      </c>
      <c r="I14" s="1">
        <v>15</v>
      </c>
      <c r="J14" s="1">
        <v>25</v>
      </c>
      <c r="K14" s="1">
        <v>43</v>
      </c>
      <c r="L14" s="1">
        <v>20</v>
      </c>
      <c r="M14" s="1">
        <v>30.662000000000003</v>
      </c>
      <c r="N14" s="1">
        <v>92</v>
      </c>
      <c r="O14" s="1">
        <v>22</v>
      </c>
      <c r="P14" s="1">
        <v>24</v>
      </c>
      <c r="Q14" s="1">
        <v>41</v>
      </c>
      <c r="R14" s="1">
        <v>23</v>
      </c>
      <c r="S14" s="1">
        <v>25.685000000000002</v>
      </c>
      <c r="T14" s="1">
        <v>99</v>
      </c>
      <c r="U14" s="1">
        <v>20</v>
      </c>
      <c r="V14" s="1">
        <v>20</v>
      </c>
      <c r="W14" s="1">
        <v>42</v>
      </c>
      <c r="X14" s="1">
        <v>19</v>
      </c>
      <c r="Y14" s="1">
        <v>27.663</v>
      </c>
      <c r="Z14" s="1">
        <v>104</v>
      </c>
      <c r="AA14" s="1">
        <v>21</v>
      </c>
      <c r="AB14" s="1">
        <v>17</v>
      </c>
      <c r="AC14" s="1">
        <v>40</v>
      </c>
      <c r="AD14" s="1">
        <v>18</v>
      </c>
      <c r="AE14" s="1">
        <v>26.891999999999999</v>
      </c>
      <c r="AF14" s="1">
        <v>104</v>
      </c>
      <c r="AG14" s="1">
        <v>33</v>
      </c>
      <c r="AH14" s="1">
        <v>24</v>
      </c>
      <c r="AI14" s="1">
        <v>45</v>
      </c>
      <c r="AJ14" s="1">
        <v>20</v>
      </c>
      <c r="AK14" s="1">
        <v>28.192</v>
      </c>
      <c r="AL14" s="1">
        <v>82</v>
      </c>
      <c r="AM14" s="1">
        <v>25</v>
      </c>
      <c r="AN14" s="1">
        <v>17</v>
      </c>
      <c r="AO14" s="1">
        <v>40</v>
      </c>
      <c r="AP14" s="1">
        <v>19</v>
      </c>
      <c r="AQ14" s="1">
        <v>23.884</v>
      </c>
      <c r="AR14" s="1">
        <v>94</v>
      </c>
      <c r="AS14" s="1">
        <v>19</v>
      </c>
      <c r="AT14" s="1">
        <v>20</v>
      </c>
      <c r="AU14" s="1">
        <v>46</v>
      </c>
      <c r="AV14" s="1">
        <v>16</v>
      </c>
      <c r="AW14" s="1">
        <v>27.879000000000001</v>
      </c>
      <c r="AX14" s="1">
        <v>81</v>
      </c>
      <c r="AY14" s="1">
        <v>28</v>
      </c>
      <c r="AZ14" s="1">
        <v>17</v>
      </c>
      <c r="BA14" s="1">
        <v>39</v>
      </c>
      <c r="BB14" s="1">
        <v>20</v>
      </c>
      <c r="BC14" s="1">
        <v>26.516000000000002</v>
      </c>
      <c r="BD14" s="1">
        <v>73</v>
      </c>
      <c r="BE14" s="1">
        <v>29</v>
      </c>
      <c r="BF14" s="1">
        <v>21</v>
      </c>
      <c r="BG14" s="1">
        <v>43</v>
      </c>
      <c r="BH14" s="1">
        <v>19</v>
      </c>
      <c r="BI14" s="1">
        <v>26.314</v>
      </c>
      <c r="BJ14" s="1">
        <v>90</v>
      </c>
      <c r="BK14" s="1">
        <v>12</v>
      </c>
      <c r="BL14" s="1">
        <v>19</v>
      </c>
      <c r="BM14" s="1">
        <v>46</v>
      </c>
      <c r="BN14" s="1">
        <v>19</v>
      </c>
      <c r="BO14" s="1">
        <v>28.389000000000003</v>
      </c>
      <c r="BP14" s="1">
        <v>100</v>
      </c>
      <c r="BQ14" s="1">
        <v>30</v>
      </c>
      <c r="BR14" s="1">
        <v>24</v>
      </c>
      <c r="BS14" s="1">
        <v>41</v>
      </c>
      <c r="BT14" s="1">
        <v>18</v>
      </c>
      <c r="BU14" s="1">
        <v>26.071000000000002</v>
      </c>
      <c r="BV14" s="1">
        <v>79</v>
      </c>
      <c r="BW14" s="1">
        <v>24</v>
      </c>
      <c r="BX14" s="1">
        <v>18</v>
      </c>
      <c r="BY14" s="1">
        <v>42</v>
      </c>
      <c r="BZ14" s="1">
        <v>16</v>
      </c>
      <c r="CA14" s="1">
        <v>25.42</v>
      </c>
      <c r="CB14" s="1">
        <v>76</v>
      </c>
      <c r="CC14" s="1">
        <v>11</v>
      </c>
      <c r="CD14" s="1">
        <v>18</v>
      </c>
      <c r="CE14" s="1">
        <v>42</v>
      </c>
      <c r="CF14" s="1">
        <v>21</v>
      </c>
      <c r="CG14" s="1">
        <v>25.394000000000002</v>
      </c>
      <c r="CH14" s="1">
        <v>113</v>
      </c>
      <c r="CI14" s="1">
        <v>16</v>
      </c>
      <c r="CJ14" s="1">
        <v>20</v>
      </c>
      <c r="CK14" s="1">
        <v>42</v>
      </c>
      <c r="CL14" s="1">
        <v>23</v>
      </c>
      <c r="CM14" s="1">
        <v>28.558</v>
      </c>
      <c r="CN14" s="1">
        <v>126</v>
      </c>
      <c r="CO14" s="1">
        <v>18</v>
      </c>
      <c r="CP14" s="1">
        <v>23</v>
      </c>
      <c r="CQ14" s="1">
        <v>42</v>
      </c>
      <c r="CR14" s="1">
        <v>17</v>
      </c>
      <c r="CS14" s="1">
        <v>29.614000000000001</v>
      </c>
      <c r="CT14" s="1">
        <v>105</v>
      </c>
      <c r="CU14" s="1">
        <v>29</v>
      </c>
      <c r="CV14" s="1">
        <v>23</v>
      </c>
      <c r="CW14" s="1">
        <v>44</v>
      </c>
      <c r="CX14" s="1">
        <v>20</v>
      </c>
      <c r="CY14" s="1">
        <v>29.943000000000001</v>
      </c>
      <c r="CZ14" s="1">
        <v>73</v>
      </c>
      <c r="DA14" s="1">
        <v>18</v>
      </c>
      <c r="DB14" s="1">
        <v>17</v>
      </c>
      <c r="DC14" s="1">
        <v>40</v>
      </c>
      <c r="DD14" s="1">
        <v>21</v>
      </c>
      <c r="DE14" s="1">
        <v>24.383000000000003</v>
      </c>
      <c r="DF14" s="1">
        <v>112</v>
      </c>
      <c r="DG14" s="1">
        <v>25</v>
      </c>
      <c r="DH14" s="1">
        <v>23</v>
      </c>
      <c r="DI14" s="1">
        <v>47</v>
      </c>
      <c r="DJ14" s="1">
        <v>17</v>
      </c>
      <c r="DK14" s="1">
        <v>28.021000000000001</v>
      </c>
      <c r="DL14" s="1">
        <v>111</v>
      </c>
      <c r="DM14" s="1">
        <v>16</v>
      </c>
      <c r="DN14" s="1">
        <v>22</v>
      </c>
      <c r="DO14" s="1">
        <v>43</v>
      </c>
      <c r="DP14" s="1">
        <v>20</v>
      </c>
      <c r="DQ14" s="1">
        <v>26.200000000000003</v>
      </c>
      <c r="DR14" s="1">
        <v>65</v>
      </c>
      <c r="DS14" s="1">
        <v>20</v>
      </c>
      <c r="DT14" s="1">
        <v>16</v>
      </c>
      <c r="DU14" s="1">
        <v>43</v>
      </c>
      <c r="DV14" s="1">
        <v>22</v>
      </c>
      <c r="DW14" s="1">
        <v>25.294</v>
      </c>
      <c r="DX14" s="1">
        <v>125</v>
      </c>
      <c r="DY14" s="1">
        <v>25</v>
      </c>
      <c r="DZ14" s="1">
        <v>22</v>
      </c>
      <c r="EA14" s="1">
        <v>43</v>
      </c>
      <c r="EB14" s="1">
        <v>18</v>
      </c>
      <c r="EC14" s="1">
        <v>28.256</v>
      </c>
      <c r="ED14" s="1">
        <v>117</v>
      </c>
      <c r="EE14" s="1">
        <v>25</v>
      </c>
      <c r="EF14" s="1">
        <v>22</v>
      </c>
      <c r="EG14" s="1">
        <v>42</v>
      </c>
      <c r="EH14" s="1">
        <v>23</v>
      </c>
      <c r="EI14" s="1">
        <v>28.198</v>
      </c>
      <c r="EJ14" s="1">
        <v>91</v>
      </c>
      <c r="EK14" s="1">
        <v>21</v>
      </c>
      <c r="EL14" s="1">
        <v>24</v>
      </c>
      <c r="EM14" s="1">
        <v>45</v>
      </c>
      <c r="EN14" s="1">
        <v>20</v>
      </c>
      <c r="EO14" s="1">
        <v>28.832000000000001</v>
      </c>
      <c r="EP14" s="1">
        <v>93</v>
      </c>
      <c r="EQ14" s="1">
        <v>15</v>
      </c>
      <c r="ER14" s="1">
        <v>20</v>
      </c>
      <c r="ES14" s="1">
        <v>43</v>
      </c>
      <c r="ET14" s="1">
        <v>18</v>
      </c>
      <c r="EU14" s="1">
        <v>28.040000000000003</v>
      </c>
      <c r="EV14" s="1">
        <v>114</v>
      </c>
      <c r="EW14" s="1">
        <v>36</v>
      </c>
      <c r="EX14" s="1">
        <v>22</v>
      </c>
      <c r="EY14" s="1">
        <v>46</v>
      </c>
      <c r="EZ14" s="1">
        <v>22</v>
      </c>
      <c r="FA14" s="1">
        <v>31.465</v>
      </c>
      <c r="FB14" s="1">
        <v>81</v>
      </c>
      <c r="FC14" s="1">
        <v>23</v>
      </c>
      <c r="FD14" s="1">
        <v>21</v>
      </c>
      <c r="FE14" s="1">
        <v>41</v>
      </c>
      <c r="FF14" s="1">
        <v>19</v>
      </c>
      <c r="FG14" s="1">
        <v>24.290000000000003</v>
      </c>
      <c r="FH14" s="1">
        <v>104</v>
      </c>
      <c r="FI14" s="1">
        <v>23</v>
      </c>
      <c r="FJ14" s="1">
        <v>23</v>
      </c>
      <c r="FK14" s="1">
        <v>46</v>
      </c>
      <c r="FL14" s="1">
        <v>20</v>
      </c>
      <c r="FM14" s="1">
        <v>29.113</v>
      </c>
      <c r="FN14" s="1">
        <v>88</v>
      </c>
      <c r="FO14" s="1">
        <v>19</v>
      </c>
      <c r="FP14" s="1">
        <v>22</v>
      </c>
      <c r="FQ14" s="1">
        <v>44</v>
      </c>
      <c r="FR14" s="1">
        <v>21</v>
      </c>
      <c r="FS14" s="1">
        <v>27.264000000000003</v>
      </c>
      <c r="FT14" s="1">
        <v>112</v>
      </c>
      <c r="FU14" s="1">
        <v>15</v>
      </c>
      <c r="FV14" s="1">
        <v>23</v>
      </c>
      <c r="FW14" s="1">
        <v>43</v>
      </c>
      <c r="FX14" s="1">
        <v>20</v>
      </c>
      <c r="FY14" s="1">
        <v>29.194000000000003</v>
      </c>
      <c r="FZ14" s="1">
        <v>74</v>
      </c>
      <c r="GA14" s="1">
        <v>17</v>
      </c>
      <c r="GB14" s="1">
        <v>18</v>
      </c>
      <c r="GC14" s="1">
        <v>44</v>
      </c>
      <c r="GD14" s="1">
        <v>22</v>
      </c>
      <c r="GE14" s="1">
        <v>26.084</v>
      </c>
      <c r="GF14" s="1">
        <v>98</v>
      </c>
      <c r="GG14" s="1">
        <v>21</v>
      </c>
      <c r="GH14" s="1">
        <v>19</v>
      </c>
      <c r="GI14" s="1">
        <v>43</v>
      </c>
      <c r="GJ14" s="1">
        <v>23</v>
      </c>
      <c r="GK14" s="1">
        <v>27.740000000000002</v>
      </c>
      <c r="GL14" s="1">
        <v>121</v>
      </c>
      <c r="GM14" s="1">
        <v>24</v>
      </c>
      <c r="GN14" s="1">
        <v>26</v>
      </c>
      <c r="GO14" s="1">
        <v>41</v>
      </c>
      <c r="GP14" s="1">
        <v>22</v>
      </c>
      <c r="GQ14" s="1">
        <v>28.586000000000002</v>
      </c>
      <c r="GR14" s="1">
        <v>69</v>
      </c>
      <c r="GS14" s="1">
        <v>13</v>
      </c>
      <c r="GT14" s="1">
        <v>15</v>
      </c>
      <c r="GU14" s="1">
        <v>41</v>
      </c>
      <c r="GV14" s="1">
        <v>21</v>
      </c>
      <c r="GW14" s="1">
        <v>25.143000000000001</v>
      </c>
      <c r="GX14" s="1">
        <v>78</v>
      </c>
      <c r="GY14" s="1">
        <v>27</v>
      </c>
      <c r="GZ14" s="1">
        <v>23</v>
      </c>
      <c r="HA14" s="1">
        <v>41</v>
      </c>
      <c r="HB14" s="1">
        <v>19</v>
      </c>
      <c r="HC14" s="1">
        <v>26.009</v>
      </c>
      <c r="HD14" s="1">
        <v>94</v>
      </c>
      <c r="HE14" s="1">
        <v>21</v>
      </c>
      <c r="HF14" s="1">
        <v>21</v>
      </c>
      <c r="HG14" s="1">
        <v>40</v>
      </c>
      <c r="HH14" s="1">
        <v>20</v>
      </c>
      <c r="HI14" s="1">
        <v>27.138000000000002</v>
      </c>
      <c r="HJ14" s="1">
        <v>115</v>
      </c>
      <c r="HK14" s="1">
        <v>18</v>
      </c>
      <c r="HL14" s="1">
        <v>25</v>
      </c>
      <c r="HM14" s="1">
        <v>39</v>
      </c>
      <c r="HN14" s="1">
        <v>19</v>
      </c>
      <c r="HO14" s="1">
        <v>27.481000000000002</v>
      </c>
      <c r="HP14" s="1">
        <v>98</v>
      </c>
      <c r="HQ14" s="1">
        <v>22</v>
      </c>
      <c r="HR14" s="1">
        <v>17</v>
      </c>
      <c r="HS14" s="1">
        <v>43</v>
      </c>
      <c r="HT14" s="1">
        <v>21</v>
      </c>
      <c r="HU14" s="1">
        <v>27.569000000000003</v>
      </c>
      <c r="HV14" s="1">
        <v>86</v>
      </c>
      <c r="HW14" s="1">
        <v>20</v>
      </c>
      <c r="HX14" s="1">
        <v>22</v>
      </c>
      <c r="HY14" s="1">
        <v>44</v>
      </c>
      <c r="HZ14" s="1">
        <v>25</v>
      </c>
      <c r="IA14" s="1">
        <v>24.625</v>
      </c>
      <c r="IB14" s="1">
        <v>95</v>
      </c>
      <c r="IC14" s="1">
        <v>20</v>
      </c>
      <c r="ID14" s="1">
        <v>19</v>
      </c>
      <c r="IE14" s="1">
        <v>42</v>
      </c>
      <c r="IF14" s="1">
        <v>22</v>
      </c>
      <c r="IG14" s="1">
        <v>27.192</v>
      </c>
      <c r="IH14" s="1">
        <v>105</v>
      </c>
      <c r="II14" s="1">
        <v>14</v>
      </c>
      <c r="IJ14" s="1">
        <v>26</v>
      </c>
      <c r="IK14" s="1">
        <v>41</v>
      </c>
      <c r="IL14" s="1">
        <v>14</v>
      </c>
      <c r="IM14" s="1">
        <v>27.196000000000002</v>
      </c>
      <c r="IN14" s="1">
        <v>128</v>
      </c>
      <c r="IO14" s="1">
        <v>18</v>
      </c>
      <c r="IP14" s="1">
        <v>24</v>
      </c>
      <c r="IQ14" s="1">
        <v>42</v>
      </c>
      <c r="IR14" s="1">
        <v>20</v>
      </c>
      <c r="IS14" s="1">
        <v>29.321000000000002</v>
      </c>
      <c r="IT14" s="1">
        <v>82</v>
      </c>
      <c r="IU14" s="1">
        <v>18</v>
      </c>
      <c r="IV14" s="1">
        <v>19</v>
      </c>
      <c r="IW14" s="1">
        <v>43</v>
      </c>
      <c r="IX14" s="1">
        <v>22</v>
      </c>
      <c r="IY14" s="1">
        <v>25.237000000000002</v>
      </c>
      <c r="IZ14" s="1">
        <v>115</v>
      </c>
      <c r="JA14" s="1">
        <v>22</v>
      </c>
      <c r="JB14" s="1">
        <v>23</v>
      </c>
      <c r="JC14" s="1">
        <v>40</v>
      </c>
      <c r="JD14" s="1">
        <v>21</v>
      </c>
      <c r="JE14" s="1">
        <v>28.662000000000003</v>
      </c>
      <c r="JF14" s="1">
        <v>104</v>
      </c>
      <c r="JG14" s="1">
        <v>16</v>
      </c>
      <c r="JH14" s="1">
        <v>17</v>
      </c>
      <c r="JI14" s="1">
        <v>45</v>
      </c>
      <c r="JJ14" s="1">
        <v>17</v>
      </c>
      <c r="JK14" s="1">
        <v>29.064</v>
      </c>
      <c r="JL14" s="1">
        <v>99</v>
      </c>
      <c r="JM14" s="1">
        <v>21</v>
      </c>
      <c r="JN14" s="1">
        <v>25</v>
      </c>
      <c r="JO14" s="1">
        <v>43</v>
      </c>
      <c r="JP14" s="1">
        <v>20</v>
      </c>
      <c r="JQ14" s="1">
        <v>26.406000000000002</v>
      </c>
      <c r="JR14" s="1">
        <v>81</v>
      </c>
      <c r="JS14" s="1">
        <v>13</v>
      </c>
      <c r="JT14" s="1">
        <v>21</v>
      </c>
      <c r="JU14" s="1">
        <v>42</v>
      </c>
      <c r="JV14" s="1">
        <v>19</v>
      </c>
      <c r="JW14" s="1">
        <v>24.065000000000001</v>
      </c>
      <c r="JX14" s="1">
        <v>111</v>
      </c>
      <c r="JY14" s="1">
        <v>16</v>
      </c>
      <c r="JZ14" s="1">
        <v>24</v>
      </c>
      <c r="KA14" s="1">
        <v>42</v>
      </c>
      <c r="KB14" s="1">
        <v>21</v>
      </c>
      <c r="KC14" s="1">
        <v>29.684000000000001</v>
      </c>
      <c r="KD14" s="1">
        <v>88</v>
      </c>
      <c r="KE14" s="1">
        <v>15</v>
      </c>
      <c r="KF14" s="1">
        <v>20</v>
      </c>
      <c r="KG14" s="1">
        <v>41</v>
      </c>
      <c r="KH14" s="1">
        <v>24</v>
      </c>
      <c r="KI14" s="1">
        <v>26.169</v>
      </c>
      <c r="KJ14" s="1">
        <v>99</v>
      </c>
      <c r="KK14" s="1">
        <v>29</v>
      </c>
      <c r="KL14" s="1">
        <v>19</v>
      </c>
      <c r="KM14" s="1">
        <v>44</v>
      </c>
      <c r="KN14" s="1">
        <v>19</v>
      </c>
      <c r="KO14" s="1">
        <v>25.128</v>
      </c>
      <c r="KP14" s="1">
        <v>115</v>
      </c>
      <c r="KQ14" s="1">
        <v>13</v>
      </c>
      <c r="KR14" s="1">
        <v>23</v>
      </c>
      <c r="KS14" s="1">
        <v>41</v>
      </c>
      <c r="KT14" s="1">
        <v>20</v>
      </c>
      <c r="KU14" s="1">
        <v>27.946000000000002</v>
      </c>
      <c r="KV14" s="1">
        <v>119</v>
      </c>
      <c r="KW14" s="1">
        <v>19</v>
      </c>
      <c r="KX14" s="1">
        <v>26</v>
      </c>
      <c r="KY14" s="1">
        <v>46</v>
      </c>
      <c r="KZ14" s="1">
        <v>18</v>
      </c>
      <c r="LA14" s="1">
        <v>30.343</v>
      </c>
      <c r="LB14" s="1">
        <v>120</v>
      </c>
      <c r="LC14" s="1">
        <v>16</v>
      </c>
      <c r="LD14" s="1">
        <v>23</v>
      </c>
      <c r="LE14" s="1">
        <v>43</v>
      </c>
      <c r="LF14" s="1">
        <v>22</v>
      </c>
      <c r="LG14" s="1">
        <v>29.573</v>
      </c>
      <c r="LH14" s="1">
        <v>84</v>
      </c>
      <c r="LI14" s="1">
        <v>17</v>
      </c>
      <c r="LJ14" s="1">
        <v>19</v>
      </c>
      <c r="LK14" s="1">
        <v>43</v>
      </c>
      <c r="LL14" s="1">
        <v>20</v>
      </c>
      <c r="LM14" s="1">
        <v>26.886000000000003</v>
      </c>
      <c r="LN14" s="1">
        <v>100</v>
      </c>
      <c r="LO14" s="1">
        <v>21</v>
      </c>
      <c r="LP14" s="1">
        <v>24</v>
      </c>
      <c r="LQ14" s="1">
        <v>44</v>
      </c>
      <c r="LR14" s="1">
        <v>23</v>
      </c>
      <c r="LS14" s="1">
        <v>28.286000000000001</v>
      </c>
      <c r="LT14" s="1">
        <v>100</v>
      </c>
      <c r="LU14" s="1">
        <v>11</v>
      </c>
      <c r="LV14" s="1">
        <v>20</v>
      </c>
      <c r="LW14" s="1">
        <v>41</v>
      </c>
      <c r="LX14" s="1">
        <v>17</v>
      </c>
      <c r="LY14" s="1">
        <v>26.816000000000003</v>
      </c>
      <c r="LZ14" s="1">
        <v>115</v>
      </c>
      <c r="MA14" s="1">
        <v>16</v>
      </c>
      <c r="MB14" s="1">
        <v>23</v>
      </c>
      <c r="MC14" s="1">
        <v>45</v>
      </c>
      <c r="MD14" s="1">
        <v>23</v>
      </c>
      <c r="ME14" s="1">
        <v>29.151</v>
      </c>
      <c r="MF14" s="1">
        <v>78</v>
      </c>
      <c r="MG14" s="1">
        <v>20</v>
      </c>
      <c r="MH14" s="1">
        <v>21</v>
      </c>
      <c r="MI14" s="1">
        <v>46</v>
      </c>
      <c r="MJ14" s="1">
        <v>17</v>
      </c>
      <c r="MK14" s="1">
        <v>24.914000000000001</v>
      </c>
      <c r="ML14" s="1">
        <v>87</v>
      </c>
      <c r="MM14" s="1">
        <v>18</v>
      </c>
      <c r="MN14" s="1">
        <v>19</v>
      </c>
      <c r="MO14" s="1">
        <v>43</v>
      </c>
      <c r="MP14" s="1">
        <v>19</v>
      </c>
      <c r="MQ14" s="1">
        <v>27.131</v>
      </c>
      <c r="MR14" s="1">
        <v>106</v>
      </c>
      <c r="MS14" s="1">
        <v>19</v>
      </c>
      <c r="MT14" s="1">
        <v>23</v>
      </c>
      <c r="MU14" s="1">
        <v>41</v>
      </c>
      <c r="MV14" s="1">
        <v>18</v>
      </c>
      <c r="MW14" s="1">
        <v>26.933</v>
      </c>
    </row>
    <row r="15" spans="1:361">
      <c r="A15" s="1">
        <v>12</v>
      </c>
      <c r="B15" s="1">
        <v>79</v>
      </c>
      <c r="C15" s="1">
        <v>17</v>
      </c>
      <c r="D15" s="1">
        <v>23</v>
      </c>
      <c r="E15" s="1">
        <v>43</v>
      </c>
      <c r="F15" s="1">
        <v>25</v>
      </c>
      <c r="G15" s="1">
        <v>26.889000000000003</v>
      </c>
      <c r="H15" s="1">
        <v>98</v>
      </c>
      <c r="I15" s="1">
        <v>7</v>
      </c>
      <c r="J15" s="1">
        <v>26</v>
      </c>
      <c r="K15" s="1">
        <v>42</v>
      </c>
      <c r="L15" s="1">
        <v>20</v>
      </c>
      <c r="M15" s="1">
        <v>27.51</v>
      </c>
      <c r="N15" s="1">
        <v>97</v>
      </c>
      <c r="O15" s="1">
        <v>10</v>
      </c>
      <c r="P15" s="1">
        <v>16</v>
      </c>
      <c r="Q15" s="1">
        <v>41</v>
      </c>
      <c r="R15" s="1">
        <v>21</v>
      </c>
      <c r="S15" s="1">
        <v>25.860000000000003</v>
      </c>
      <c r="T15" s="1">
        <v>96</v>
      </c>
      <c r="U15" s="1">
        <v>29</v>
      </c>
      <c r="V15" s="1">
        <v>23</v>
      </c>
      <c r="W15" s="1">
        <v>44</v>
      </c>
      <c r="X15" s="1">
        <v>20</v>
      </c>
      <c r="Y15" s="1">
        <v>27.971</v>
      </c>
      <c r="Z15" s="1">
        <v>78</v>
      </c>
      <c r="AA15" s="1">
        <v>12</v>
      </c>
      <c r="AB15" s="1">
        <v>21</v>
      </c>
      <c r="AC15" s="1">
        <v>42</v>
      </c>
      <c r="AD15" s="1">
        <v>20</v>
      </c>
      <c r="AE15" s="1">
        <v>25.706</v>
      </c>
      <c r="AF15" s="1">
        <v>128</v>
      </c>
      <c r="AG15" s="1">
        <v>17</v>
      </c>
      <c r="AH15" s="1">
        <v>23</v>
      </c>
      <c r="AI15" s="1">
        <v>45</v>
      </c>
      <c r="AJ15" s="1">
        <v>17</v>
      </c>
      <c r="AK15" s="1">
        <v>30.054000000000002</v>
      </c>
      <c r="AL15" s="1">
        <v>78</v>
      </c>
      <c r="AM15" s="1">
        <v>20</v>
      </c>
      <c r="AN15" s="1">
        <v>13</v>
      </c>
      <c r="AO15" s="1">
        <v>40</v>
      </c>
      <c r="AP15" s="1">
        <v>20</v>
      </c>
      <c r="AQ15" s="1">
        <v>25.702000000000002</v>
      </c>
      <c r="AR15" s="1">
        <v>75</v>
      </c>
      <c r="AS15" s="1">
        <v>14</v>
      </c>
      <c r="AT15" s="1">
        <v>23</v>
      </c>
      <c r="AU15" s="1">
        <v>43</v>
      </c>
      <c r="AV15" s="1">
        <v>22</v>
      </c>
      <c r="AW15" s="1">
        <v>24.746000000000002</v>
      </c>
      <c r="AX15" s="1">
        <v>72</v>
      </c>
      <c r="AY15" s="1">
        <v>18</v>
      </c>
      <c r="AZ15" s="1">
        <v>19</v>
      </c>
      <c r="BA15" s="1">
        <v>39</v>
      </c>
      <c r="BB15" s="1">
        <v>20</v>
      </c>
      <c r="BC15" s="1">
        <v>24.740000000000002</v>
      </c>
      <c r="BD15" s="1">
        <v>98</v>
      </c>
      <c r="BE15" s="1">
        <v>21</v>
      </c>
      <c r="BF15" s="1">
        <v>19</v>
      </c>
      <c r="BG15" s="1">
        <v>43</v>
      </c>
      <c r="BH15" s="1">
        <v>18</v>
      </c>
      <c r="BI15" s="1">
        <v>27.991</v>
      </c>
      <c r="BJ15" s="1">
        <v>117</v>
      </c>
      <c r="BK15" s="1">
        <v>26</v>
      </c>
      <c r="BL15" s="1">
        <v>20</v>
      </c>
      <c r="BM15" s="1">
        <v>41</v>
      </c>
      <c r="BN15" s="1">
        <v>21</v>
      </c>
      <c r="BO15" s="1">
        <v>28.803000000000001</v>
      </c>
      <c r="BP15" s="1">
        <v>98</v>
      </c>
      <c r="BQ15" s="1">
        <v>10</v>
      </c>
      <c r="BR15" s="1">
        <v>23</v>
      </c>
      <c r="BS15" s="1">
        <v>40</v>
      </c>
      <c r="BT15" s="1">
        <v>23</v>
      </c>
      <c r="BU15" s="1">
        <v>26.673999999999999</v>
      </c>
      <c r="BV15" s="1">
        <v>107</v>
      </c>
      <c r="BW15" s="1">
        <v>8</v>
      </c>
      <c r="BX15" s="1">
        <v>19</v>
      </c>
      <c r="BY15" s="1">
        <v>45</v>
      </c>
      <c r="BZ15" s="1">
        <v>21</v>
      </c>
      <c r="CA15" s="1">
        <v>27.080000000000002</v>
      </c>
      <c r="CB15" s="1">
        <v>107</v>
      </c>
      <c r="CC15" s="1">
        <v>14</v>
      </c>
      <c r="CD15" s="1">
        <v>27</v>
      </c>
      <c r="CE15" s="1">
        <v>45</v>
      </c>
      <c r="CF15" s="1">
        <v>23</v>
      </c>
      <c r="CG15" s="1">
        <v>26.054000000000002</v>
      </c>
      <c r="CH15" s="1">
        <v>112</v>
      </c>
      <c r="CI15" s="1">
        <v>18</v>
      </c>
      <c r="CJ15" s="1">
        <v>18</v>
      </c>
      <c r="CK15" s="1">
        <v>40</v>
      </c>
      <c r="CL15" s="1">
        <v>21</v>
      </c>
      <c r="CM15" s="1">
        <v>28.757000000000001</v>
      </c>
      <c r="CN15" s="1">
        <v>112</v>
      </c>
      <c r="CO15" s="1">
        <v>17</v>
      </c>
      <c r="CP15" s="1">
        <v>21</v>
      </c>
      <c r="CQ15" s="1">
        <v>45</v>
      </c>
      <c r="CR15" s="1">
        <v>20</v>
      </c>
      <c r="CS15" s="1">
        <v>28.514000000000003</v>
      </c>
      <c r="CT15" s="1">
        <v>109</v>
      </c>
      <c r="CU15" s="1">
        <v>15</v>
      </c>
      <c r="CV15" s="1">
        <v>22</v>
      </c>
      <c r="CW15" s="1">
        <v>45</v>
      </c>
      <c r="CX15" s="1">
        <v>17</v>
      </c>
      <c r="CY15" s="1">
        <v>27.169</v>
      </c>
      <c r="CZ15" s="1">
        <v>85</v>
      </c>
      <c r="DA15" s="1">
        <v>19</v>
      </c>
      <c r="DB15" s="1">
        <v>25</v>
      </c>
      <c r="DC15" s="1">
        <v>43</v>
      </c>
      <c r="DD15" s="1">
        <v>17</v>
      </c>
      <c r="DE15" s="1">
        <v>25.177</v>
      </c>
      <c r="DF15" s="1">
        <v>67</v>
      </c>
      <c r="DG15" s="1">
        <v>22</v>
      </c>
      <c r="DH15" s="1">
        <v>18</v>
      </c>
      <c r="DI15" s="1">
        <v>40</v>
      </c>
      <c r="DJ15" s="1">
        <v>18</v>
      </c>
      <c r="DK15" s="1">
        <v>24.185000000000002</v>
      </c>
      <c r="DL15" s="1">
        <v>127</v>
      </c>
      <c r="DM15" s="1">
        <v>24</v>
      </c>
      <c r="DN15" s="1">
        <v>24</v>
      </c>
      <c r="DO15" s="1">
        <v>40</v>
      </c>
      <c r="DP15" s="1">
        <v>22</v>
      </c>
      <c r="DQ15" s="1">
        <v>29.819000000000003</v>
      </c>
      <c r="DR15" s="1">
        <v>91</v>
      </c>
      <c r="DS15" s="1">
        <v>21</v>
      </c>
      <c r="DT15" s="1">
        <v>22</v>
      </c>
      <c r="DU15" s="1">
        <v>41</v>
      </c>
      <c r="DV15" s="1">
        <v>23</v>
      </c>
      <c r="DW15" s="1">
        <v>25.689</v>
      </c>
      <c r="DX15" s="1">
        <v>109</v>
      </c>
      <c r="DY15" s="1">
        <v>15</v>
      </c>
      <c r="DZ15" s="1">
        <v>23</v>
      </c>
      <c r="EA15" s="1">
        <v>43</v>
      </c>
      <c r="EB15" s="1">
        <v>23</v>
      </c>
      <c r="EC15" s="1">
        <v>27.528000000000002</v>
      </c>
      <c r="ED15" s="1">
        <v>82</v>
      </c>
      <c r="EE15" s="1">
        <v>29</v>
      </c>
      <c r="EF15" s="1">
        <v>19</v>
      </c>
      <c r="EG15" s="1">
        <v>44</v>
      </c>
      <c r="EH15" s="1">
        <v>23</v>
      </c>
      <c r="EI15" s="1">
        <v>25.400000000000002</v>
      </c>
      <c r="EJ15" s="1">
        <v>126</v>
      </c>
      <c r="EK15" s="1">
        <v>15</v>
      </c>
      <c r="EL15" s="1">
        <v>27</v>
      </c>
      <c r="EM15" s="1">
        <v>45</v>
      </c>
      <c r="EN15" s="1">
        <v>20</v>
      </c>
      <c r="EO15" s="1">
        <v>28.708000000000002</v>
      </c>
      <c r="EP15" s="1">
        <v>97</v>
      </c>
      <c r="EQ15" s="1">
        <v>27</v>
      </c>
      <c r="ER15" s="1">
        <v>25</v>
      </c>
      <c r="ES15" s="1">
        <v>40</v>
      </c>
      <c r="ET15" s="1">
        <v>18</v>
      </c>
      <c r="EU15" s="1">
        <v>27.908000000000001</v>
      </c>
      <c r="EV15" s="1">
        <v>121</v>
      </c>
      <c r="EW15" s="1">
        <v>23</v>
      </c>
      <c r="EX15" s="1">
        <v>23</v>
      </c>
      <c r="EY15" s="1">
        <v>42</v>
      </c>
      <c r="EZ15" s="1">
        <v>22</v>
      </c>
      <c r="FA15" s="1">
        <v>29.619</v>
      </c>
      <c r="FB15" s="1">
        <v>77</v>
      </c>
      <c r="FC15" s="1">
        <v>20</v>
      </c>
      <c r="FD15" s="1">
        <v>19</v>
      </c>
      <c r="FE15" s="1">
        <v>44</v>
      </c>
      <c r="FF15" s="1">
        <v>18</v>
      </c>
      <c r="FG15" s="1">
        <v>24.449000000000002</v>
      </c>
      <c r="FH15" s="1">
        <v>129</v>
      </c>
      <c r="FI15" s="1">
        <v>21</v>
      </c>
      <c r="FJ15" s="1">
        <v>28</v>
      </c>
      <c r="FK15" s="1">
        <v>46</v>
      </c>
      <c r="FL15" s="1">
        <v>23</v>
      </c>
      <c r="FM15" s="1">
        <v>28.043000000000003</v>
      </c>
      <c r="FN15" s="1">
        <v>100</v>
      </c>
      <c r="FO15" s="1">
        <v>35</v>
      </c>
      <c r="FP15" s="1">
        <v>19</v>
      </c>
      <c r="FQ15" s="1">
        <v>40</v>
      </c>
      <c r="FR15" s="1">
        <v>21</v>
      </c>
      <c r="FS15" s="1">
        <v>26.026</v>
      </c>
      <c r="FT15" s="1">
        <v>88</v>
      </c>
      <c r="FU15" s="1">
        <v>17</v>
      </c>
      <c r="FV15" s="1">
        <v>24</v>
      </c>
      <c r="FW15" s="1">
        <v>43</v>
      </c>
      <c r="FX15" s="1">
        <v>22</v>
      </c>
      <c r="FY15" s="1">
        <v>25.628</v>
      </c>
      <c r="FZ15" s="1">
        <v>126</v>
      </c>
      <c r="GA15" s="1">
        <v>17</v>
      </c>
      <c r="GB15" s="1">
        <v>24</v>
      </c>
      <c r="GC15" s="1">
        <v>42</v>
      </c>
      <c r="GD15" s="1">
        <v>22</v>
      </c>
      <c r="GE15" s="1">
        <v>28.688000000000002</v>
      </c>
      <c r="GF15" s="1">
        <v>95</v>
      </c>
      <c r="GG15" s="1">
        <v>24</v>
      </c>
      <c r="GH15" s="1">
        <v>20</v>
      </c>
      <c r="GI15" s="1">
        <v>47</v>
      </c>
      <c r="GJ15" s="1">
        <v>18</v>
      </c>
      <c r="GK15" s="1">
        <v>26.887</v>
      </c>
      <c r="GL15" s="1">
        <v>82</v>
      </c>
      <c r="GM15" s="1">
        <v>14</v>
      </c>
      <c r="GN15" s="1">
        <v>19</v>
      </c>
      <c r="GO15" s="1">
        <v>45</v>
      </c>
      <c r="GP15" s="1">
        <v>21</v>
      </c>
      <c r="GQ15" s="1">
        <v>25.319000000000003</v>
      </c>
      <c r="GR15" s="1">
        <v>104</v>
      </c>
      <c r="GS15" s="1">
        <v>17</v>
      </c>
      <c r="GT15" s="1">
        <v>20</v>
      </c>
      <c r="GU15" s="1">
        <v>46</v>
      </c>
      <c r="GV15" s="1">
        <v>19</v>
      </c>
      <c r="GW15" s="1">
        <v>29.110000000000003</v>
      </c>
      <c r="GX15" s="1">
        <v>75</v>
      </c>
      <c r="GY15" s="1">
        <v>19</v>
      </c>
      <c r="GZ15" s="1">
        <v>23</v>
      </c>
      <c r="HA15" s="1">
        <v>42</v>
      </c>
      <c r="HB15" s="1">
        <v>17</v>
      </c>
      <c r="HC15" s="1">
        <v>24.506</v>
      </c>
      <c r="HD15" s="1">
        <v>97</v>
      </c>
      <c r="HE15" s="1">
        <v>29</v>
      </c>
      <c r="HF15" s="1">
        <v>23</v>
      </c>
      <c r="HG15" s="1">
        <v>44</v>
      </c>
      <c r="HH15" s="1">
        <v>19</v>
      </c>
      <c r="HI15" s="1">
        <v>26.843</v>
      </c>
      <c r="HJ15" s="1">
        <v>125</v>
      </c>
      <c r="HK15" s="1">
        <v>26</v>
      </c>
      <c r="HL15" s="1">
        <v>24</v>
      </c>
      <c r="HM15" s="1">
        <v>40</v>
      </c>
      <c r="HN15" s="1">
        <v>20</v>
      </c>
      <c r="HO15" s="1">
        <v>26.457000000000001</v>
      </c>
      <c r="HP15" s="1">
        <v>72</v>
      </c>
      <c r="HQ15" s="1">
        <v>19</v>
      </c>
      <c r="HR15" s="1">
        <v>17</v>
      </c>
      <c r="HS15" s="1">
        <v>47</v>
      </c>
      <c r="HT15" s="1">
        <v>21</v>
      </c>
      <c r="HU15" s="1">
        <v>25.772000000000002</v>
      </c>
      <c r="HV15" s="1">
        <v>126</v>
      </c>
      <c r="HW15" s="1">
        <v>26</v>
      </c>
      <c r="HX15" s="1">
        <v>24</v>
      </c>
      <c r="HY15" s="1">
        <v>45</v>
      </c>
      <c r="HZ15" s="1">
        <v>21</v>
      </c>
      <c r="IA15" s="1">
        <v>28.639000000000003</v>
      </c>
      <c r="IB15" s="1">
        <v>102</v>
      </c>
      <c r="IC15" s="1">
        <v>13</v>
      </c>
      <c r="ID15" s="1">
        <v>31</v>
      </c>
      <c r="IE15" s="1">
        <v>44</v>
      </c>
      <c r="IF15" s="1">
        <v>23</v>
      </c>
      <c r="IG15" s="1">
        <v>28.996000000000002</v>
      </c>
      <c r="IH15" s="1">
        <v>82</v>
      </c>
      <c r="II15" s="1">
        <v>16</v>
      </c>
      <c r="IJ15" s="1">
        <v>16</v>
      </c>
      <c r="IK15" s="1">
        <v>46</v>
      </c>
      <c r="IL15" s="1">
        <v>20</v>
      </c>
      <c r="IM15" s="1">
        <v>26.765000000000001</v>
      </c>
      <c r="IN15" s="1">
        <v>89</v>
      </c>
      <c r="IO15" s="1">
        <v>18</v>
      </c>
      <c r="IP15" s="1">
        <v>18</v>
      </c>
      <c r="IQ15" s="1">
        <v>46</v>
      </c>
      <c r="IR15" s="1">
        <v>17</v>
      </c>
      <c r="IS15" s="1">
        <v>26.26</v>
      </c>
      <c r="IT15" s="1">
        <v>91</v>
      </c>
      <c r="IU15" s="1">
        <v>17</v>
      </c>
      <c r="IV15" s="1">
        <v>21</v>
      </c>
      <c r="IW15" s="1">
        <v>41</v>
      </c>
      <c r="IX15" s="1">
        <v>18</v>
      </c>
      <c r="IY15" s="1">
        <v>24.952000000000002</v>
      </c>
      <c r="IZ15" s="1">
        <v>109</v>
      </c>
      <c r="JA15" s="1">
        <v>23</v>
      </c>
      <c r="JB15" s="1">
        <v>24</v>
      </c>
      <c r="JC15" s="1">
        <v>44</v>
      </c>
      <c r="JD15" s="1">
        <v>19</v>
      </c>
      <c r="JE15" s="1">
        <v>27.917000000000002</v>
      </c>
      <c r="JF15" s="1">
        <v>93</v>
      </c>
      <c r="JG15" s="1">
        <v>15</v>
      </c>
      <c r="JH15" s="1">
        <v>21</v>
      </c>
      <c r="JI15" s="1">
        <v>45</v>
      </c>
      <c r="JJ15" s="1">
        <v>20</v>
      </c>
      <c r="JK15" s="1">
        <v>27.934000000000001</v>
      </c>
      <c r="JL15" s="1">
        <v>99</v>
      </c>
      <c r="JM15" s="1">
        <v>20</v>
      </c>
      <c r="JN15" s="1">
        <v>23</v>
      </c>
      <c r="JO15" s="1">
        <v>41</v>
      </c>
      <c r="JP15" s="1">
        <v>21</v>
      </c>
      <c r="JQ15" s="1">
        <v>26.933</v>
      </c>
      <c r="JR15" s="1">
        <v>108</v>
      </c>
      <c r="JS15" s="1">
        <v>20</v>
      </c>
      <c r="JT15" s="1">
        <v>23</v>
      </c>
      <c r="JU15" s="1">
        <v>45</v>
      </c>
      <c r="JV15" s="1">
        <v>20</v>
      </c>
      <c r="JW15" s="1">
        <v>29.016999999999999</v>
      </c>
      <c r="JX15" s="1">
        <v>102</v>
      </c>
      <c r="JY15" s="1">
        <v>9</v>
      </c>
      <c r="JZ15" s="1">
        <v>25</v>
      </c>
      <c r="KA15" s="1">
        <v>42</v>
      </c>
      <c r="KB15" s="1">
        <v>20</v>
      </c>
      <c r="KC15" s="1">
        <v>25.808</v>
      </c>
      <c r="KD15" s="1">
        <v>117</v>
      </c>
      <c r="KE15" s="1">
        <v>3</v>
      </c>
      <c r="KF15" s="1">
        <v>26</v>
      </c>
      <c r="KG15" s="1">
        <v>42</v>
      </c>
      <c r="KH15" s="1">
        <v>21</v>
      </c>
      <c r="KI15" s="1">
        <v>27.207000000000001</v>
      </c>
      <c r="KJ15" s="1">
        <v>96</v>
      </c>
      <c r="KK15" s="1">
        <v>19</v>
      </c>
      <c r="KL15" s="1">
        <v>24</v>
      </c>
      <c r="KM15" s="1">
        <v>46</v>
      </c>
      <c r="KN15" s="1">
        <v>19</v>
      </c>
      <c r="KO15" s="1">
        <v>29.092000000000002</v>
      </c>
      <c r="KP15" s="1">
        <v>96</v>
      </c>
      <c r="KQ15" s="1">
        <v>24</v>
      </c>
      <c r="KR15" s="1">
        <v>19</v>
      </c>
      <c r="KS15" s="1">
        <v>42</v>
      </c>
      <c r="KT15" s="1">
        <v>22</v>
      </c>
      <c r="KU15" s="1">
        <v>28.765000000000001</v>
      </c>
      <c r="KV15" s="1">
        <v>86</v>
      </c>
      <c r="KW15" s="1">
        <v>16</v>
      </c>
      <c r="KX15" s="1">
        <v>21</v>
      </c>
      <c r="KY15" s="1">
        <v>40</v>
      </c>
      <c r="KZ15" s="1">
        <v>22</v>
      </c>
      <c r="LA15" s="1">
        <v>24.471</v>
      </c>
      <c r="LB15" s="1">
        <v>106</v>
      </c>
      <c r="LC15" s="1">
        <v>17</v>
      </c>
      <c r="LD15" s="1">
        <v>27</v>
      </c>
      <c r="LE15" s="1">
        <v>39</v>
      </c>
      <c r="LF15" s="1">
        <v>21</v>
      </c>
      <c r="LG15" s="1">
        <v>27.874000000000002</v>
      </c>
      <c r="LH15" s="1">
        <v>104</v>
      </c>
      <c r="LI15" s="1">
        <v>30</v>
      </c>
      <c r="LJ15" s="1">
        <v>25</v>
      </c>
      <c r="LK15" s="1">
        <v>40</v>
      </c>
      <c r="LL15" s="1">
        <v>19</v>
      </c>
      <c r="LM15" s="1">
        <v>26.675000000000001</v>
      </c>
      <c r="LN15" s="1">
        <v>87</v>
      </c>
      <c r="LO15" s="1">
        <v>24</v>
      </c>
      <c r="LP15" s="1">
        <v>26</v>
      </c>
      <c r="LQ15" s="1">
        <v>40</v>
      </c>
      <c r="LR15" s="1">
        <v>18</v>
      </c>
      <c r="LS15" s="1">
        <v>26.384</v>
      </c>
      <c r="LT15" s="1">
        <v>96</v>
      </c>
      <c r="LU15" s="1">
        <v>27</v>
      </c>
      <c r="LV15" s="1">
        <v>21</v>
      </c>
      <c r="LW15" s="1">
        <v>44</v>
      </c>
      <c r="LX15" s="1">
        <v>20</v>
      </c>
      <c r="LY15" s="1">
        <v>24.577000000000002</v>
      </c>
      <c r="LZ15" s="1">
        <v>71</v>
      </c>
      <c r="MA15" s="1">
        <v>16</v>
      </c>
      <c r="MB15" s="1">
        <v>18</v>
      </c>
      <c r="MC15" s="1">
        <v>41</v>
      </c>
      <c r="MD15" s="1">
        <v>22</v>
      </c>
      <c r="ME15" s="1">
        <v>26.101000000000003</v>
      </c>
      <c r="MF15" s="1">
        <v>72</v>
      </c>
      <c r="MG15" s="1">
        <v>20</v>
      </c>
      <c r="MH15" s="1">
        <v>18</v>
      </c>
      <c r="MI15" s="1">
        <v>42</v>
      </c>
      <c r="MJ15" s="1">
        <v>20</v>
      </c>
      <c r="MK15" s="1">
        <v>24.012</v>
      </c>
      <c r="ML15" s="1">
        <v>128</v>
      </c>
      <c r="MM15" s="1">
        <v>30</v>
      </c>
      <c r="MN15" s="1">
        <v>24</v>
      </c>
      <c r="MO15" s="1">
        <v>45</v>
      </c>
      <c r="MP15" s="1">
        <v>23</v>
      </c>
      <c r="MQ15" s="1">
        <v>30.171000000000003</v>
      </c>
      <c r="MR15" s="1">
        <v>67</v>
      </c>
      <c r="MS15" s="1">
        <v>3</v>
      </c>
      <c r="MT15" s="1">
        <v>17</v>
      </c>
      <c r="MU15" s="1">
        <v>42</v>
      </c>
      <c r="MV15" s="1">
        <v>18</v>
      </c>
      <c r="MW15" s="1">
        <v>23.416</v>
      </c>
    </row>
    <row r="16" spans="1:361">
      <c r="A16" s="1">
        <v>13</v>
      </c>
      <c r="B16" s="1">
        <v>79</v>
      </c>
      <c r="C16" s="1">
        <v>11</v>
      </c>
      <c r="D16" s="1">
        <v>19</v>
      </c>
      <c r="E16" s="1">
        <v>44</v>
      </c>
      <c r="F16" s="1">
        <v>20</v>
      </c>
      <c r="G16" s="1">
        <v>25.443000000000001</v>
      </c>
      <c r="H16" s="1">
        <v>116</v>
      </c>
      <c r="I16" s="1">
        <v>23</v>
      </c>
      <c r="J16" s="1">
        <v>20</v>
      </c>
      <c r="K16" s="1">
        <v>44</v>
      </c>
      <c r="L16" s="1">
        <v>19</v>
      </c>
      <c r="M16" s="1">
        <v>28.984000000000002</v>
      </c>
      <c r="N16" s="1">
        <v>66</v>
      </c>
      <c r="O16" s="1">
        <v>23</v>
      </c>
      <c r="P16" s="1">
        <v>14</v>
      </c>
      <c r="Q16" s="1">
        <v>42</v>
      </c>
      <c r="R16" s="1">
        <v>20</v>
      </c>
      <c r="S16" s="1">
        <v>27.466000000000001</v>
      </c>
      <c r="T16" s="1">
        <v>118</v>
      </c>
      <c r="U16" s="1">
        <v>20</v>
      </c>
      <c r="V16" s="1">
        <v>25</v>
      </c>
      <c r="W16" s="1">
        <v>45</v>
      </c>
      <c r="X16" s="1">
        <v>19</v>
      </c>
      <c r="Y16" s="1">
        <v>27.609000000000002</v>
      </c>
      <c r="Z16" s="1">
        <v>109</v>
      </c>
      <c r="AA16" s="1">
        <v>29</v>
      </c>
      <c r="AB16" s="1">
        <v>25</v>
      </c>
      <c r="AC16" s="1">
        <v>42</v>
      </c>
      <c r="AD16" s="1">
        <v>21</v>
      </c>
      <c r="AE16" s="1">
        <v>28.628</v>
      </c>
      <c r="AF16" s="1">
        <v>120</v>
      </c>
      <c r="AG16" s="1">
        <v>16</v>
      </c>
      <c r="AH16" s="1">
        <v>26</v>
      </c>
      <c r="AI16" s="1">
        <v>43</v>
      </c>
      <c r="AJ16" s="1">
        <v>19</v>
      </c>
      <c r="AK16" s="1">
        <v>26.310000000000002</v>
      </c>
      <c r="AL16" s="1">
        <v>73</v>
      </c>
      <c r="AM16" s="1">
        <v>6</v>
      </c>
      <c r="AN16" s="1">
        <v>14</v>
      </c>
      <c r="AO16" s="1">
        <v>44</v>
      </c>
      <c r="AP16" s="1">
        <v>21</v>
      </c>
      <c r="AQ16" s="1">
        <v>25.703000000000003</v>
      </c>
      <c r="AR16" s="1">
        <v>113</v>
      </c>
      <c r="AS16" s="1">
        <v>9</v>
      </c>
      <c r="AT16" s="1">
        <v>24</v>
      </c>
      <c r="AU16" s="1">
        <v>46</v>
      </c>
      <c r="AV16" s="1">
        <v>22</v>
      </c>
      <c r="AW16" s="1">
        <v>28.737000000000002</v>
      </c>
      <c r="AX16" s="1">
        <v>128</v>
      </c>
      <c r="AY16" s="1">
        <v>11</v>
      </c>
      <c r="AZ16" s="1">
        <v>25</v>
      </c>
      <c r="BA16" s="1">
        <v>41</v>
      </c>
      <c r="BB16" s="1">
        <v>18</v>
      </c>
      <c r="BC16" s="1">
        <v>29.941000000000003</v>
      </c>
      <c r="BD16" s="1">
        <v>126</v>
      </c>
      <c r="BE16" s="1">
        <v>28</v>
      </c>
      <c r="BF16" s="1">
        <v>24</v>
      </c>
      <c r="BG16" s="1">
        <v>42</v>
      </c>
      <c r="BH16" s="1">
        <v>22</v>
      </c>
      <c r="BI16" s="1">
        <v>28.821000000000002</v>
      </c>
      <c r="BJ16" s="1">
        <v>89</v>
      </c>
      <c r="BK16" s="1">
        <v>24</v>
      </c>
      <c r="BL16" s="1">
        <v>22</v>
      </c>
      <c r="BM16" s="1">
        <v>41</v>
      </c>
      <c r="BN16" s="1">
        <v>21</v>
      </c>
      <c r="BO16" s="1">
        <v>25.544</v>
      </c>
      <c r="BP16" s="1">
        <v>73</v>
      </c>
      <c r="BQ16" s="1">
        <v>16</v>
      </c>
      <c r="BR16" s="1">
        <v>18</v>
      </c>
      <c r="BS16" s="1">
        <v>43</v>
      </c>
      <c r="BT16" s="1">
        <v>20</v>
      </c>
      <c r="BU16" s="1">
        <v>25.276</v>
      </c>
      <c r="BV16" s="1">
        <v>119</v>
      </c>
      <c r="BW16" s="1">
        <v>12</v>
      </c>
      <c r="BX16" s="1">
        <v>21</v>
      </c>
      <c r="BY16" s="1">
        <v>39</v>
      </c>
      <c r="BZ16" s="1">
        <v>20</v>
      </c>
      <c r="CA16" s="1">
        <v>29.423000000000002</v>
      </c>
      <c r="CB16" s="1">
        <v>88</v>
      </c>
      <c r="CC16" s="1">
        <v>23</v>
      </c>
      <c r="CD16" s="1">
        <v>22</v>
      </c>
      <c r="CE16" s="1">
        <v>40</v>
      </c>
      <c r="CF16" s="1">
        <v>18</v>
      </c>
      <c r="CG16" s="1">
        <v>25.288</v>
      </c>
      <c r="CH16" s="1">
        <v>104</v>
      </c>
      <c r="CI16" s="1">
        <v>23</v>
      </c>
      <c r="CJ16" s="1">
        <v>25</v>
      </c>
      <c r="CK16" s="1">
        <v>47</v>
      </c>
      <c r="CL16" s="1">
        <v>20</v>
      </c>
      <c r="CM16" s="1">
        <v>27.856000000000002</v>
      </c>
      <c r="CN16" s="1">
        <v>80</v>
      </c>
      <c r="CO16" s="1">
        <v>12</v>
      </c>
      <c r="CP16" s="1">
        <v>22</v>
      </c>
      <c r="CQ16" s="1">
        <v>45</v>
      </c>
      <c r="CR16" s="1">
        <v>17</v>
      </c>
      <c r="CS16" s="1">
        <v>26.985000000000003</v>
      </c>
      <c r="CT16" s="1">
        <v>113</v>
      </c>
      <c r="CU16" s="1">
        <v>19</v>
      </c>
      <c r="CV16" s="1">
        <v>23</v>
      </c>
      <c r="CW16" s="1">
        <v>46</v>
      </c>
      <c r="CX16" s="1">
        <v>18</v>
      </c>
      <c r="CY16" s="1">
        <v>29.054000000000002</v>
      </c>
      <c r="CZ16" s="1">
        <v>124</v>
      </c>
      <c r="DA16" s="1">
        <v>24</v>
      </c>
      <c r="DB16" s="1">
        <v>28</v>
      </c>
      <c r="DC16" s="1">
        <v>43</v>
      </c>
      <c r="DD16" s="1">
        <v>20</v>
      </c>
      <c r="DE16" s="1">
        <v>29.675000000000001</v>
      </c>
      <c r="DF16" s="1">
        <v>91</v>
      </c>
      <c r="DG16" s="1">
        <v>23</v>
      </c>
      <c r="DH16" s="1">
        <v>23</v>
      </c>
      <c r="DI16" s="1">
        <v>43</v>
      </c>
      <c r="DJ16" s="1">
        <v>20</v>
      </c>
      <c r="DK16" s="1">
        <v>25.814</v>
      </c>
      <c r="DL16" s="1">
        <v>101</v>
      </c>
      <c r="DM16" s="1">
        <v>24</v>
      </c>
      <c r="DN16" s="1">
        <v>21</v>
      </c>
      <c r="DO16" s="1">
        <v>41</v>
      </c>
      <c r="DP16" s="1">
        <v>19</v>
      </c>
      <c r="DQ16" s="1">
        <v>26.129000000000001</v>
      </c>
      <c r="DR16" s="1">
        <v>78</v>
      </c>
      <c r="DS16" s="1">
        <v>16</v>
      </c>
      <c r="DT16" s="1">
        <v>21</v>
      </c>
      <c r="DU16" s="1">
        <v>40</v>
      </c>
      <c r="DV16" s="1">
        <v>23</v>
      </c>
      <c r="DW16" s="1">
        <v>24.807000000000002</v>
      </c>
      <c r="DX16" s="1">
        <v>83</v>
      </c>
      <c r="DY16" s="1">
        <v>25</v>
      </c>
      <c r="DZ16" s="1">
        <v>22</v>
      </c>
      <c r="EA16" s="1">
        <v>42</v>
      </c>
      <c r="EB16" s="1">
        <v>17</v>
      </c>
      <c r="EC16" s="1">
        <v>24.803000000000001</v>
      </c>
      <c r="ED16" s="1">
        <v>66</v>
      </c>
      <c r="EE16" s="1">
        <v>17</v>
      </c>
      <c r="EF16" s="1">
        <v>15</v>
      </c>
      <c r="EG16" s="1">
        <v>45</v>
      </c>
      <c r="EH16" s="1">
        <v>19</v>
      </c>
      <c r="EI16" s="1">
        <v>24.777000000000001</v>
      </c>
      <c r="EJ16" s="1">
        <v>102</v>
      </c>
      <c r="EK16" s="1">
        <v>20</v>
      </c>
      <c r="EL16" s="1">
        <v>21</v>
      </c>
      <c r="EM16" s="1">
        <v>41</v>
      </c>
      <c r="EN16" s="1">
        <v>19</v>
      </c>
      <c r="EO16" s="1">
        <v>27.414000000000001</v>
      </c>
      <c r="EP16" s="1">
        <v>71</v>
      </c>
      <c r="EQ16" s="1">
        <v>25</v>
      </c>
      <c r="ER16" s="1">
        <v>19</v>
      </c>
      <c r="ES16" s="1">
        <v>44</v>
      </c>
      <c r="ET16" s="1">
        <v>20</v>
      </c>
      <c r="EU16" s="1">
        <v>26.141999999999999</v>
      </c>
      <c r="EV16" s="1">
        <v>72</v>
      </c>
      <c r="EW16" s="1">
        <v>10</v>
      </c>
      <c r="EX16" s="1">
        <v>18</v>
      </c>
      <c r="EY16" s="1">
        <v>45</v>
      </c>
      <c r="EZ16" s="1">
        <v>19</v>
      </c>
      <c r="FA16" s="1">
        <v>24.257000000000001</v>
      </c>
      <c r="FB16" s="1">
        <v>77</v>
      </c>
      <c r="FC16" s="1">
        <v>23</v>
      </c>
      <c r="FD16" s="1">
        <v>21</v>
      </c>
      <c r="FE16" s="1">
        <v>40</v>
      </c>
      <c r="FF16" s="1">
        <v>19</v>
      </c>
      <c r="FG16" s="1">
        <v>27.233000000000001</v>
      </c>
      <c r="FH16" s="1">
        <v>77</v>
      </c>
      <c r="FI16" s="1">
        <v>17</v>
      </c>
      <c r="FJ16" s="1">
        <v>17</v>
      </c>
      <c r="FK16" s="1">
        <v>45</v>
      </c>
      <c r="FL16" s="1">
        <v>20</v>
      </c>
      <c r="FM16" s="1">
        <v>26.504000000000001</v>
      </c>
      <c r="FN16" s="1">
        <v>87</v>
      </c>
      <c r="FO16" s="1">
        <v>10</v>
      </c>
      <c r="FP16" s="1">
        <v>21</v>
      </c>
      <c r="FQ16" s="1">
        <v>45</v>
      </c>
      <c r="FR16" s="1">
        <v>22</v>
      </c>
      <c r="FS16" s="1">
        <v>26.704000000000001</v>
      </c>
      <c r="FT16" s="1">
        <v>98</v>
      </c>
      <c r="FU16" s="1">
        <v>18</v>
      </c>
      <c r="FV16" s="1">
        <v>19</v>
      </c>
      <c r="FW16" s="1">
        <v>43</v>
      </c>
      <c r="FX16" s="1">
        <v>19</v>
      </c>
      <c r="FY16" s="1">
        <v>27.331</v>
      </c>
      <c r="FZ16" s="1">
        <v>83</v>
      </c>
      <c r="GA16" s="1">
        <v>11</v>
      </c>
      <c r="GB16" s="1">
        <v>18</v>
      </c>
      <c r="GC16" s="1">
        <v>43</v>
      </c>
      <c r="GD16" s="1">
        <v>19</v>
      </c>
      <c r="GE16" s="1">
        <v>25.443000000000001</v>
      </c>
      <c r="GF16" s="1">
        <v>68</v>
      </c>
      <c r="GG16" s="1">
        <v>20</v>
      </c>
      <c r="GH16" s="1">
        <v>19</v>
      </c>
      <c r="GI16" s="1">
        <v>41</v>
      </c>
      <c r="GJ16" s="1">
        <v>19</v>
      </c>
      <c r="GK16" s="1">
        <v>25.075000000000003</v>
      </c>
      <c r="GL16" s="1">
        <v>121</v>
      </c>
      <c r="GM16" s="1">
        <v>21</v>
      </c>
      <c r="GN16" s="1">
        <v>22</v>
      </c>
      <c r="GO16" s="1">
        <v>43</v>
      </c>
      <c r="GP16" s="1">
        <v>21</v>
      </c>
      <c r="GQ16" s="1">
        <v>30.122</v>
      </c>
      <c r="GR16" s="1">
        <v>117</v>
      </c>
      <c r="GS16" s="1">
        <v>12</v>
      </c>
      <c r="GT16" s="1">
        <v>21</v>
      </c>
      <c r="GU16" s="1">
        <v>44</v>
      </c>
      <c r="GV16" s="1">
        <v>19</v>
      </c>
      <c r="GW16" s="1">
        <v>28.689</v>
      </c>
      <c r="GX16" s="1">
        <v>122</v>
      </c>
      <c r="GY16" s="1">
        <v>24</v>
      </c>
      <c r="GZ16" s="1">
        <v>23</v>
      </c>
      <c r="HA16" s="1">
        <v>41</v>
      </c>
      <c r="HB16" s="1">
        <v>21</v>
      </c>
      <c r="HC16" s="1">
        <v>28.213000000000001</v>
      </c>
      <c r="HD16" s="1">
        <v>80</v>
      </c>
      <c r="HE16" s="1">
        <v>15</v>
      </c>
      <c r="HF16" s="1">
        <v>24</v>
      </c>
      <c r="HG16" s="1">
        <v>40</v>
      </c>
      <c r="HH16" s="1">
        <v>18</v>
      </c>
      <c r="HI16" s="1">
        <v>24.776</v>
      </c>
      <c r="HJ16" s="1">
        <v>107</v>
      </c>
      <c r="HK16" s="1">
        <v>33</v>
      </c>
      <c r="HL16" s="1">
        <v>22</v>
      </c>
      <c r="HM16" s="1">
        <v>45</v>
      </c>
      <c r="HN16" s="1">
        <v>20</v>
      </c>
      <c r="HO16" s="1">
        <v>29.877000000000002</v>
      </c>
      <c r="HP16" s="1">
        <v>63</v>
      </c>
      <c r="HQ16" s="1">
        <v>14</v>
      </c>
      <c r="HR16" s="1">
        <v>14</v>
      </c>
      <c r="HS16" s="1">
        <v>43</v>
      </c>
      <c r="HT16" s="1">
        <v>19</v>
      </c>
      <c r="HU16" s="1">
        <v>24.171000000000003</v>
      </c>
      <c r="HV16" s="1">
        <v>83</v>
      </c>
      <c r="HW16" s="1">
        <v>14</v>
      </c>
      <c r="HX16" s="1">
        <v>19</v>
      </c>
      <c r="HY16" s="1">
        <v>42</v>
      </c>
      <c r="HZ16" s="1">
        <v>21</v>
      </c>
      <c r="IA16" s="1">
        <v>26.317</v>
      </c>
      <c r="IB16" s="1">
        <v>83</v>
      </c>
      <c r="IC16" s="1">
        <v>8</v>
      </c>
      <c r="ID16" s="1">
        <v>23</v>
      </c>
      <c r="IE16" s="1">
        <v>46</v>
      </c>
      <c r="IF16" s="1">
        <v>22</v>
      </c>
      <c r="IG16" s="1">
        <v>27.35</v>
      </c>
      <c r="IH16" s="1">
        <v>93</v>
      </c>
      <c r="II16" s="1">
        <v>19</v>
      </c>
      <c r="IJ16" s="1">
        <v>21</v>
      </c>
      <c r="IK16" s="1">
        <v>44</v>
      </c>
      <c r="IL16" s="1">
        <v>19</v>
      </c>
      <c r="IM16" s="1">
        <v>26.816000000000003</v>
      </c>
      <c r="IN16" s="1">
        <v>80</v>
      </c>
      <c r="IO16" s="1">
        <v>26</v>
      </c>
      <c r="IP16" s="1">
        <v>22</v>
      </c>
      <c r="IQ16" s="1">
        <v>43</v>
      </c>
      <c r="IR16" s="1">
        <v>21</v>
      </c>
      <c r="IS16" s="1">
        <v>26.157</v>
      </c>
      <c r="IT16" s="1">
        <v>97</v>
      </c>
      <c r="IU16" s="1">
        <v>18</v>
      </c>
      <c r="IV16" s="1">
        <v>23</v>
      </c>
      <c r="IW16" s="1">
        <v>42</v>
      </c>
      <c r="IX16" s="1">
        <v>20</v>
      </c>
      <c r="IY16" s="1">
        <v>27.616</v>
      </c>
      <c r="IZ16" s="1">
        <v>66</v>
      </c>
      <c r="JA16" s="1">
        <v>21</v>
      </c>
      <c r="JB16" s="1">
        <v>17</v>
      </c>
      <c r="JC16" s="1">
        <v>44</v>
      </c>
      <c r="JD16" s="1">
        <v>22</v>
      </c>
      <c r="JE16" s="1">
        <v>24.199000000000002</v>
      </c>
      <c r="JF16" s="1">
        <v>113</v>
      </c>
      <c r="JG16" s="1">
        <v>22</v>
      </c>
      <c r="JH16" s="1">
        <v>21</v>
      </c>
      <c r="JI16" s="1">
        <v>40</v>
      </c>
      <c r="JJ16" s="1">
        <v>20</v>
      </c>
      <c r="JK16" s="1">
        <v>28.988</v>
      </c>
      <c r="JL16" s="1">
        <v>107</v>
      </c>
      <c r="JM16" s="1">
        <v>13</v>
      </c>
      <c r="JN16" s="1">
        <v>24</v>
      </c>
      <c r="JO16" s="1">
        <v>44</v>
      </c>
      <c r="JP16" s="1">
        <v>21</v>
      </c>
      <c r="JQ16" s="1">
        <v>27.701000000000001</v>
      </c>
      <c r="JR16" s="1">
        <v>111</v>
      </c>
      <c r="JS16" s="1">
        <v>23</v>
      </c>
      <c r="JT16" s="1">
        <v>21</v>
      </c>
      <c r="JU16" s="1">
        <v>44</v>
      </c>
      <c r="JV16" s="1">
        <v>21</v>
      </c>
      <c r="JW16" s="1">
        <v>29.913</v>
      </c>
      <c r="JX16" s="1">
        <v>106</v>
      </c>
      <c r="JY16" s="1">
        <v>26</v>
      </c>
      <c r="JZ16" s="1">
        <v>24</v>
      </c>
      <c r="KA16" s="1">
        <v>46</v>
      </c>
      <c r="KB16" s="1">
        <v>18</v>
      </c>
      <c r="KC16" s="1">
        <v>26.497</v>
      </c>
      <c r="KD16" s="1">
        <v>90</v>
      </c>
      <c r="KE16" s="1">
        <v>16</v>
      </c>
      <c r="KF16" s="1">
        <v>20</v>
      </c>
      <c r="KG16" s="1">
        <v>45</v>
      </c>
      <c r="KH16" s="1">
        <v>23</v>
      </c>
      <c r="KI16" s="1">
        <v>26.281000000000002</v>
      </c>
      <c r="KJ16" s="1">
        <v>105</v>
      </c>
      <c r="KK16" s="1">
        <v>18</v>
      </c>
      <c r="KL16" s="1">
        <v>23</v>
      </c>
      <c r="KM16" s="1">
        <v>45</v>
      </c>
      <c r="KN16" s="1">
        <v>23</v>
      </c>
      <c r="KO16" s="1">
        <v>26.958000000000002</v>
      </c>
      <c r="KP16" s="1">
        <v>119</v>
      </c>
      <c r="KQ16" s="1">
        <v>24</v>
      </c>
      <c r="KR16" s="1">
        <v>28</v>
      </c>
      <c r="KS16" s="1">
        <v>45</v>
      </c>
      <c r="KT16" s="1">
        <v>22</v>
      </c>
      <c r="KU16" s="1">
        <v>29.232000000000003</v>
      </c>
      <c r="KV16" s="1">
        <v>79</v>
      </c>
      <c r="KW16" s="1">
        <v>13</v>
      </c>
      <c r="KX16" s="1">
        <v>20</v>
      </c>
      <c r="KY16" s="1">
        <v>41</v>
      </c>
      <c r="KZ16" s="1">
        <v>19</v>
      </c>
      <c r="LA16" s="1">
        <v>26.751000000000001</v>
      </c>
      <c r="LB16" s="1">
        <v>103</v>
      </c>
      <c r="LC16" s="1">
        <v>19</v>
      </c>
      <c r="LD16" s="1">
        <v>20</v>
      </c>
      <c r="LE16" s="1">
        <v>41</v>
      </c>
      <c r="LF16" s="1">
        <v>22</v>
      </c>
      <c r="LG16" s="1">
        <v>28.119</v>
      </c>
      <c r="LH16" s="1">
        <v>86</v>
      </c>
      <c r="LI16" s="1">
        <v>13</v>
      </c>
      <c r="LJ16" s="1">
        <v>20</v>
      </c>
      <c r="LK16" s="1">
        <v>46</v>
      </c>
      <c r="LL16" s="1">
        <v>19</v>
      </c>
      <c r="LM16" s="1">
        <v>26.681000000000001</v>
      </c>
      <c r="LN16" s="1">
        <v>102</v>
      </c>
      <c r="LO16" s="1">
        <v>24</v>
      </c>
      <c r="LP16" s="1">
        <v>20</v>
      </c>
      <c r="LQ16" s="1">
        <v>41</v>
      </c>
      <c r="LR16" s="1">
        <v>24</v>
      </c>
      <c r="LS16" s="1">
        <v>27.880000000000003</v>
      </c>
      <c r="LT16" s="1">
        <v>96</v>
      </c>
      <c r="LU16" s="1">
        <v>15</v>
      </c>
      <c r="LV16" s="1">
        <v>22</v>
      </c>
      <c r="LW16" s="1">
        <v>42</v>
      </c>
      <c r="LX16" s="1">
        <v>23</v>
      </c>
      <c r="LY16" s="1">
        <v>27.3</v>
      </c>
      <c r="LZ16" s="1">
        <v>97</v>
      </c>
      <c r="MA16" s="1">
        <v>22</v>
      </c>
      <c r="MB16" s="1">
        <v>27</v>
      </c>
      <c r="MC16" s="1">
        <v>46</v>
      </c>
      <c r="MD16" s="1">
        <v>18</v>
      </c>
      <c r="ME16" s="1">
        <v>26.617000000000001</v>
      </c>
      <c r="MF16" s="1">
        <v>103</v>
      </c>
      <c r="MG16" s="1">
        <v>18</v>
      </c>
      <c r="MH16" s="1">
        <v>22</v>
      </c>
      <c r="MI16" s="1">
        <v>41</v>
      </c>
      <c r="MJ16" s="1">
        <v>17</v>
      </c>
      <c r="MK16" s="1">
        <v>27.225000000000001</v>
      </c>
      <c r="ML16" s="1">
        <v>72</v>
      </c>
      <c r="MM16" s="1">
        <v>20</v>
      </c>
      <c r="MN16" s="1">
        <v>18</v>
      </c>
      <c r="MO16" s="1">
        <v>42</v>
      </c>
      <c r="MP16" s="1">
        <v>21</v>
      </c>
      <c r="MQ16" s="1">
        <v>24.813000000000002</v>
      </c>
      <c r="MR16" s="1">
        <v>109</v>
      </c>
      <c r="MS16" s="1">
        <v>26</v>
      </c>
      <c r="MT16" s="1">
        <v>20</v>
      </c>
      <c r="MU16" s="1">
        <v>42</v>
      </c>
      <c r="MV16" s="1">
        <v>18</v>
      </c>
      <c r="MW16" s="1">
        <v>27.782</v>
      </c>
    </row>
    <row r="17" spans="1:361">
      <c r="A17" s="1">
        <v>14</v>
      </c>
      <c r="B17" s="1">
        <v>120</v>
      </c>
      <c r="C17" s="1">
        <v>25</v>
      </c>
      <c r="D17" s="1">
        <v>22</v>
      </c>
      <c r="E17" s="1">
        <v>40</v>
      </c>
      <c r="F17" s="1">
        <v>16</v>
      </c>
      <c r="G17" s="1">
        <v>27.613</v>
      </c>
      <c r="H17" s="1">
        <v>125</v>
      </c>
      <c r="I17" s="1">
        <v>25</v>
      </c>
      <c r="J17" s="1">
        <v>21</v>
      </c>
      <c r="K17" s="1">
        <v>46</v>
      </c>
      <c r="L17" s="1">
        <v>20</v>
      </c>
      <c r="M17" s="1">
        <v>31.081</v>
      </c>
      <c r="N17" s="1">
        <v>127</v>
      </c>
      <c r="O17" s="1">
        <v>15</v>
      </c>
      <c r="P17" s="1">
        <v>21</v>
      </c>
      <c r="Q17" s="1">
        <v>43</v>
      </c>
      <c r="R17" s="1">
        <v>17</v>
      </c>
      <c r="S17" s="1">
        <v>30.946000000000002</v>
      </c>
      <c r="T17" s="1">
        <v>106</v>
      </c>
      <c r="U17" s="1">
        <v>17</v>
      </c>
      <c r="V17" s="1">
        <v>28</v>
      </c>
      <c r="W17" s="1">
        <v>47</v>
      </c>
      <c r="X17" s="1">
        <v>18</v>
      </c>
      <c r="Y17" s="1">
        <v>27.972000000000001</v>
      </c>
      <c r="Z17" s="1">
        <v>91</v>
      </c>
      <c r="AA17" s="1">
        <v>17</v>
      </c>
      <c r="AB17" s="1">
        <v>19</v>
      </c>
      <c r="AC17" s="1">
        <v>44</v>
      </c>
      <c r="AD17" s="1">
        <v>22</v>
      </c>
      <c r="AE17" s="1">
        <v>26.927</v>
      </c>
      <c r="AF17" s="1">
        <v>93</v>
      </c>
      <c r="AG17" s="1">
        <v>26</v>
      </c>
      <c r="AH17" s="1">
        <v>21</v>
      </c>
      <c r="AI17" s="1">
        <v>42</v>
      </c>
      <c r="AJ17" s="1">
        <v>21</v>
      </c>
      <c r="AK17" s="1">
        <v>25.990000000000002</v>
      </c>
      <c r="AL17" s="1">
        <v>77</v>
      </c>
      <c r="AM17" s="1">
        <v>19</v>
      </c>
      <c r="AN17" s="1">
        <v>17</v>
      </c>
      <c r="AO17" s="1">
        <v>43</v>
      </c>
      <c r="AP17" s="1">
        <v>18</v>
      </c>
      <c r="AQ17" s="1">
        <v>27.01</v>
      </c>
      <c r="AR17" s="1">
        <v>68</v>
      </c>
      <c r="AS17" s="1">
        <v>18</v>
      </c>
      <c r="AT17" s="1">
        <v>21</v>
      </c>
      <c r="AU17" s="1">
        <v>41</v>
      </c>
      <c r="AV17" s="1">
        <v>21</v>
      </c>
      <c r="AW17" s="1">
        <v>24.488</v>
      </c>
      <c r="AX17" s="1">
        <v>77</v>
      </c>
      <c r="AY17" s="1">
        <v>24</v>
      </c>
      <c r="AZ17" s="1">
        <v>18</v>
      </c>
      <c r="BA17" s="1">
        <v>44</v>
      </c>
      <c r="BB17" s="1">
        <v>21</v>
      </c>
      <c r="BC17" s="1">
        <v>24.617000000000001</v>
      </c>
      <c r="BD17" s="1">
        <v>82</v>
      </c>
      <c r="BE17" s="1">
        <v>11</v>
      </c>
      <c r="BF17" s="1">
        <v>21</v>
      </c>
      <c r="BG17" s="1">
        <v>44</v>
      </c>
      <c r="BH17" s="1">
        <v>18</v>
      </c>
      <c r="BI17" s="1">
        <v>25.338000000000001</v>
      </c>
      <c r="BJ17" s="1">
        <v>88</v>
      </c>
      <c r="BK17" s="1">
        <v>29</v>
      </c>
      <c r="BL17" s="1">
        <v>16</v>
      </c>
      <c r="BM17" s="1">
        <v>44</v>
      </c>
      <c r="BN17" s="1">
        <v>21</v>
      </c>
      <c r="BO17" s="1">
        <v>26.444000000000003</v>
      </c>
      <c r="BP17" s="1">
        <v>94</v>
      </c>
      <c r="BQ17" s="1">
        <v>8</v>
      </c>
      <c r="BR17" s="1">
        <v>23</v>
      </c>
      <c r="BS17" s="1">
        <v>46</v>
      </c>
      <c r="BT17" s="1">
        <v>20</v>
      </c>
      <c r="BU17" s="1">
        <v>26.543000000000003</v>
      </c>
      <c r="BV17" s="1">
        <v>69</v>
      </c>
      <c r="BW17" s="1">
        <v>15</v>
      </c>
      <c r="BX17" s="1">
        <v>21</v>
      </c>
      <c r="BY17" s="1">
        <v>44</v>
      </c>
      <c r="BZ17" s="1">
        <v>23</v>
      </c>
      <c r="CA17" s="1">
        <v>27.675000000000001</v>
      </c>
      <c r="CB17" s="1">
        <v>81</v>
      </c>
      <c r="CC17" s="1">
        <v>25</v>
      </c>
      <c r="CD17" s="1">
        <v>27</v>
      </c>
      <c r="CE17" s="1">
        <v>42</v>
      </c>
      <c r="CF17" s="1">
        <v>21</v>
      </c>
      <c r="CG17" s="1">
        <v>25.229000000000003</v>
      </c>
      <c r="CH17" s="1">
        <v>81</v>
      </c>
      <c r="CI17" s="1">
        <v>20</v>
      </c>
      <c r="CJ17" s="1">
        <v>20</v>
      </c>
      <c r="CK17" s="1">
        <v>41</v>
      </c>
      <c r="CL17" s="1">
        <v>18</v>
      </c>
      <c r="CM17" s="1">
        <v>25.184000000000001</v>
      </c>
      <c r="CN17" s="1">
        <v>109</v>
      </c>
      <c r="CO17" s="1">
        <v>20</v>
      </c>
      <c r="CP17" s="1">
        <v>21</v>
      </c>
      <c r="CQ17" s="1">
        <v>39</v>
      </c>
      <c r="CR17" s="1">
        <v>15</v>
      </c>
      <c r="CS17" s="1">
        <v>27.245000000000001</v>
      </c>
      <c r="CT17" s="1">
        <v>128</v>
      </c>
      <c r="CU17" s="1">
        <v>18</v>
      </c>
      <c r="CV17" s="1">
        <v>24</v>
      </c>
      <c r="CW17" s="1">
        <v>42</v>
      </c>
      <c r="CX17" s="1">
        <v>22</v>
      </c>
      <c r="CY17" s="1">
        <v>28.632000000000001</v>
      </c>
      <c r="CZ17" s="1">
        <v>69</v>
      </c>
      <c r="DA17" s="1">
        <v>18</v>
      </c>
      <c r="DB17" s="1">
        <v>18</v>
      </c>
      <c r="DC17" s="1">
        <v>45</v>
      </c>
      <c r="DD17" s="1">
        <v>20</v>
      </c>
      <c r="DE17" s="1">
        <v>26.85</v>
      </c>
      <c r="DF17" s="1">
        <v>103</v>
      </c>
      <c r="DG17" s="1">
        <v>25</v>
      </c>
      <c r="DH17" s="1">
        <v>23</v>
      </c>
      <c r="DI17" s="1">
        <v>40</v>
      </c>
      <c r="DJ17" s="1">
        <v>17</v>
      </c>
      <c r="DK17" s="1">
        <v>26.626000000000001</v>
      </c>
      <c r="DL17" s="1">
        <v>104</v>
      </c>
      <c r="DM17" s="1">
        <v>20</v>
      </c>
      <c r="DN17" s="1">
        <v>19</v>
      </c>
      <c r="DO17" s="1">
        <v>46</v>
      </c>
      <c r="DP17" s="1">
        <v>18</v>
      </c>
      <c r="DQ17" s="1">
        <v>29.809000000000001</v>
      </c>
      <c r="DR17" s="1">
        <v>112</v>
      </c>
      <c r="DS17" s="1">
        <v>17</v>
      </c>
      <c r="DT17" s="1">
        <v>20</v>
      </c>
      <c r="DU17" s="1">
        <v>42</v>
      </c>
      <c r="DV17" s="1">
        <v>21</v>
      </c>
      <c r="DW17" s="1">
        <v>27.663</v>
      </c>
      <c r="DX17" s="1">
        <v>89</v>
      </c>
      <c r="DY17" s="1">
        <v>14</v>
      </c>
      <c r="DZ17" s="1">
        <v>14</v>
      </c>
      <c r="EA17" s="1">
        <v>40</v>
      </c>
      <c r="EB17" s="1">
        <v>19</v>
      </c>
      <c r="EC17" s="1">
        <v>25.205000000000002</v>
      </c>
      <c r="ED17" s="1">
        <v>109</v>
      </c>
      <c r="EE17" s="1">
        <v>20</v>
      </c>
      <c r="EF17" s="1">
        <v>23</v>
      </c>
      <c r="EG17" s="1">
        <v>41</v>
      </c>
      <c r="EH17" s="1">
        <v>22</v>
      </c>
      <c r="EI17" s="1">
        <v>27.967000000000002</v>
      </c>
      <c r="EJ17" s="1">
        <v>98</v>
      </c>
      <c r="EK17" s="1">
        <v>20</v>
      </c>
      <c r="EL17" s="1">
        <v>23</v>
      </c>
      <c r="EM17" s="1">
        <v>43</v>
      </c>
      <c r="EN17" s="1">
        <v>18</v>
      </c>
      <c r="EO17" s="1">
        <v>29.066000000000003</v>
      </c>
      <c r="EP17" s="1">
        <v>91</v>
      </c>
      <c r="EQ17" s="1">
        <v>13</v>
      </c>
      <c r="ER17" s="1">
        <v>19</v>
      </c>
      <c r="ES17" s="1">
        <v>43</v>
      </c>
      <c r="ET17" s="1">
        <v>20</v>
      </c>
      <c r="EU17" s="1">
        <v>27.982000000000003</v>
      </c>
      <c r="EV17" s="1">
        <v>73</v>
      </c>
      <c r="EW17" s="1">
        <v>9</v>
      </c>
      <c r="EX17" s="1">
        <v>18</v>
      </c>
      <c r="EY17" s="1">
        <v>41</v>
      </c>
      <c r="EZ17" s="1">
        <v>20</v>
      </c>
      <c r="FA17" s="1">
        <v>25.544</v>
      </c>
      <c r="FB17" s="1">
        <v>85</v>
      </c>
      <c r="FC17" s="1">
        <v>25</v>
      </c>
      <c r="FD17" s="1">
        <v>19</v>
      </c>
      <c r="FE17" s="1">
        <v>44</v>
      </c>
      <c r="FF17" s="1">
        <v>19</v>
      </c>
      <c r="FG17" s="1">
        <v>24.949000000000002</v>
      </c>
      <c r="FH17" s="1">
        <v>111</v>
      </c>
      <c r="FI17" s="1">
        <v>24</v>
      </c>
      <c r="FJ17" s="1">
        <v>23</v>
      </c>
      <c r="FK17" s="1">
        <v>42</v>
      </c>
      <c r="FL17" s="1">
        <v>19</v>
      </c>
      <c r="FM17" s="1">
        <v>29.27</v>
      </c>
      <c r="FN17" s="1">
        <v>71</v>
      </c>
      <c r="FO17" s="1">
        <v>20</v>
      </c>
      <c r="FP17" s="1">
        <v>16</v>
      </c>
      <c r="FQ17" s="1">
        <v>44</v>
      </c>
      <c r="FR17" s="1">
        <v>22</v>
      </c>
      <c r="FS17" s="1">
        <v>24.497</v>
      </c>
      <c r="FT17" s="1">
        <v>68</v>
      </c>
      <c r="FU17" s="1">
        <v>23</v>
      </c>
      <c r="FV17" s="1">
        <v>16</v>
      </c>
      <c r="FW17" s="1">
        <v>44</v>
      </c>
      <c r="FX17" s="1">
        <v>20</v>
      </c>
      <c r="FY17" s="1">
        <v>25.224</v>
      </c>
      <c r="FZ17" s="1">
        <v>116</v>
      </c>
      <c r="GA17" s="1">
        <v>23</v>
      </c>
      <c r="GB17" s="1">
        <v>21</v>
      </c>
      <c r="GC17" s="1">
        <v>44</v>
      </c>
      <c r="GD17" s="1">
        <v>20</v>
      </c>
      <c r="GE17" s="1">
        <v>28.768000000000001</v>
      </c>
      <c r="GF17" s="1">
        <v>69</v>
      </c>
      <c r="GG17" s="1">
        <v>18</v>
      </c>
      <c r="GH17" s="1">
        <v>22</v>
      </c>
      <c r="GI17" s="1">
        <v>42</v>
      </c>
      <c r="GJ17" s="1">
        <v>21</v>
      </c>
      <c r="GK17" s="1">
        <v>25.342000000000002</v>
      </c>
      <c r="GL17" s="1">
        <v>77</v>
      </c>
      <c r="GM17" s="1">
        <v>26</v>
      </c>
      <c r="GN17" s="1">
        <v>19</v>
      </c>
      <c r="GO17" s="1">
        <v>44</v>
      </c>
      <c r="GP17" s="1">
        <v>17</v>
      </c>
      <c r="GQ17" s="1">
        <v>25.778000000000002</v>
      </c>
      <c r="GR17" s="1">
        <v>75</v>
      </c>
      <c r="GS17" s="1">
        <v>15</v>
      </c>
      <c r="GT17" s="1">
        <v>15</v>
      </c>
      <c r="GU17" s="1">
        <v>43</v>
      </c>
      <c r="GV17" s="1">
        <v>19</v>
      </c>
      <c r="GW17" s="1">
        <v>25.59</v>
      </c>
      <c r="GX17" s="1">
        <v>70</v>
      </c>
      <c r="GY17" s="1">
        <v>17</v>
      </c>
      <c r="GZ17" s="1">
        <v>22</v>
      </c>
      <c r="HA17" s="1">
        <v>42</v>
      </c>
      <c r="HB17" s="1">
        <v>18</v>
      </c>
      <c r="HC17" s="1">
        <v>24.921000000000003</v>
      </c>
      <c r="HD17" s="1">
        <v>127</v>
      </c>
      <c r="HE17" s="1">
        <v>16</v>
      </c>
      <c r="HF17" s="1">
        <v>25</v>
      </c>
      <c r="HG17" s="1">
        <v>41</v>
      </c>
      <c r="HH17" s="1">
        <v>23</v>
      </c>
      <c r="HI17" s="1">
        <v>28.591000000000001</v>
      </c>
      <c r="HJ17" s="1">
        <v>126</v>
      </c>
      <c r="HK17" s="1">
        <v>31</v>
      </c>
      <c r="HL17" s="1">
        <v>27</v>
      </c>
      <c r="HM17" s="1">
        <v>43</v>
      </c>
      <c r="HN17" s="1">
        <v>25</v>
      </c>
      <c r="HO17" s="1">
        <v>29.709</v>
      </c>
      <c r="HP17" s="1">
        <v>68</v>
      </c>
      <c r="HQ17" s="1">
        <v>19</v>
      </c>
      <c r="HR17" s="1">
        <v>21</v>
      </c>
      <c r="HS17" s="1">
        <v>44</v>
      </c>
      <c r="HT17" s="1">
        <v>22</v>
      </c>
      <c r="HU17" s="1">
        <v>26.297000000000001</v>
      </c>
      <c r="HV17" s="1">
        <v>86</v>
      </c>
      <c r="HW17" s="1">
        <v>18</v>
      </c>
      <c r="HX17" s="1">
        <v>18</v>
      </c>
      <c r="HY17" s="1">
        <v>40</v>
      </c>
      <c r="HZ17" s="1">
        <v>20</v>
      </c>
      <c r="IA17" s="1">
        <v>26.314</v>
      </c>
      <c r="IB17" s="1">
        <v>118</v>
      </c>
      <c r="IC17" s="1">
        <v>14</v>
      </c>
      <c r="ID17" s="1">
        <v>25</v>
      </c>
      <c r="IE17" s="1">
        <v>42</v>
      </c>
      <c r="IF17" s="1">
        <v>23</v>
      </c>
      <c r="IG17" s="1">
        <v>27.287000000000003</v>
      </c>
      <c r="IH17" s="1">
        <v>124</v>
      </c>
      <c r="II17" s="1">
        <v>22</v>
      </c>
      <c r="IJ17" s="1">
        <v>28</v>
      </c>
      <c r="IK17" s="1">
        <v>40</v>
      </c>
      <c r="IL17" s="1">
        <v>23</v>
      </c>
      <c r="IM17" s="1">
        <v>27.768000000000001</v>
      </c>
      <c r="IN17" s="1">
        <v>70</v>
      </c>
      <c r="IO17" s="1">
        <v>24</v>
      </c>
      <c r="IP17" s="1">
        <v>19</v>
      </c>
      <c r="IQ17" s="1">
        <v>38</v>
      </c>
      <c r="IR17" s="1">
        <v>20</v>
      </c>
      <c r="IS17" s="1">
        <v>24.613</v>
      </c>
      <c r="IT17" s="1">
        <v>85</v>
      </c>
      <c r="IU17" s="1">
        <v>15</v>
      </c>
      <c r="IV17" s="1">
        <v>24</v>
      </c>
      <c r="IW17" s="1">
        <v>43</v>
      </c>
      <c r="IX17" s="1">
        <v>20</v>
      </c>
      <c r="IY17" s="1">
        <v>25.59</v>
      </c>
      <c r="IZ17" s="1">
        <v>107</v>
      </c>
      <c r="JA17" s="1">
        <v>15</v>
      </c>
      <c r="JB17" s="1">
        <v>20</v>
      </c>
      <c r="JC17" s="1">
        <v>45</v>
      </c>
      <c r="JD17" s="1">
        <v>24</v>
      </c>
      <c r="JE17" s="1">
        <v>28.815000000000001</v>
      </c>
      <c r="JF17" s="1">
        <v>124</v>
      </c>
      <c r="JG17" s="1">
        <v>19</v>
      </c>
      <c r="JH17" s="1">
        <v>22</v>
      </c>
      <c r="JI17" s="1">
        <v>40</v>
      </c>
      <c r="JJ17" s="1">
        <v>19</v>
      </c>
      <c r="JK17" s="1">
        <v>28.758000000000003</v>
      </c>
      <c r="JL17" s="1">
        <v>102</v>
      </c>
      <c r="JM17" s="1">
        <v>25</v>
      </c>
      <c r="JN17" s="1">
        <v>23</v>
      </c>
      <c r="JO17" s="1">
        <v>42</v>
      </c>
      <c r="JP17" s="1">
        <v>25</v>
      </c>
      <c r="JQ17" s="1">
        <v>27.976000000000003</v>
      </c>
      <c r="JR17" s="1">
        <v>110</v>
      </c>
      <c r="JS17" s="1">
        <v>20</v>
      </c>
      <c r="JT17" s="1">
        <v>20</v>
      </c>
      <c r="JU17" s="1">
        <v>45</v>
      </c>
      <c r="JV17" s="1">
        <v>23</v>
      </c>
      <c r="JW17" s="1">
        <v>29.514000000000003</v>
      </c>
      <c r="JX17" s="1">
        <v>100</v>
      </c>
      <c r="JY17" s="1">
        <v>21</v>
      </c>
      <c r="JZ17" s="1">
        <v>21</v>
      </c>
      <c r="KA17" s="1">
        <v>42</v>
      </c>
      <c r="KB17" s="1">
        <v>19</v>
      </c>
      <c r="KC17" s="1">
        <v>26.408000000000001</v>
      </c>
      <c r="KD17" s="1">
        <v>87</v>
      </c>
      <c r="KE17" s="1">
        <v>22</v>
      </c>
      <c r="KF17" s="1">
        <v>14</v>
      </c>
      <c r="KG17" s="1">
        <v>45</v>
      </c>
      <c r="KH17" s="1">
        <v>19</v>
      </c>
      <c r="KI17" s="1">
        <v>26.817</v>
      </c>
      <c r="KJ17" s="1">
        <v>92</v>
      </c>
      <c r="KK17" s="1">
        <v>18</v>
      </c>
      <c r="KL17" s="1">
        <v>20</v>
      </c>
      <c r="KM17" s="1">
        <v>44</v>
      </c>
      <c r="KN17" s="1">
        <v>18</v>
      </c>
      <c r="KO17" s="1">
        <v>26.839000000000002</v>
      </c>
      <c r="KP17" s="1">
        <v>86</v>
      </c>
      <c r="KQ17" s="1">
        <v>15</v>
      </c>
      <c r="KR17" s="1">
        <v>24</v>
      </c>
      <c r="KS17" s="1">
        <v>40</v>
      </c>
      <c r="KT17" s="1">
        <v>20</v>
      </c>
      <c r="KU17" s="1">
        <v>26.589000000000002</v>
      </c>
      <c r="KV17" s="1">
        <v>73</v>
      </c>
      <c r="KW17" s="1">
        <v>12</v>
      </c>
      <c r="KX17" s="1">
        <v>20</v>
      </c>
      <c r="KY17" s="1">
        <v>44</v>
      </c>
      <c r="KZ17" s="1">
        <v>21</v>
      </c>
      <c r="LA17" s="1">
        <v>25.462</v>
      </c>
      <c r="LB17" s="1">
        <v>91</v>
      </c>
      <c r="LC17" s="1">
        <v>20</v>
      </c>
      <c r="LD17" s="1">
        <v>22</v>
      </c>
      <c r="LE17" s="1">
        <v>43</v>
      </c>
      <c r="LF17" s="1">
        <v>24</v>
      </c>
      <c r="LG17" s="1">
        <v>28.389000000000003</v>
      </c>
      <c r="LH17" s="1">
        <v>70</v>
      </c>
      <c r="LI17" s="1">
        <v>19</v>
      </c>
      <c r="LJ17" s="1">
        <v>22</v>
      </c>
      <c r="LK17" s="1">
        <v>44</v>
      </c>
      <c r="LL17" s="1">
        <v>20</v>
      </c>
      <c r="LM17" s="1">
        <v>22.991</v>
      </c>
      <c r="LN17" s="1">
        <v>88</v>
      </c>
      <c r="LO17" s="1">
        <v>27</v>
      </c>
      <c r="LP17" s="1">
        <v>25</v>
      </c>
      <c r="LQ17" s="1">
        <v>45</v>
      </c>
      <c r="LR17" s="1">
        <v>18</v>
      </c>
      <c r="LS17" s="1">
        <v>26.604000000000003</v>
      </c>
      <c r="LT17" s="1">
        <v>68</v>
      </c>
      <c r="LU17" s="1">
        <v>16</v>
      </c>
      <c r="LV17" s="1">
        <v>20</v>
      </c>
      <c r="LW17" s="1">
        <v>44</v>
      </c>
      <c r="LX17" s="1">
        <v>22</v>
      </c>
      <c r="LY17" s="1">
        <v>25.366</v>
      </c>
      <c r="LZ17" s="1">
        <v>72</v>
      </c>
      <c r="MA17" s="1">
        <v>14</v>
      </c>
      <c r="MB17" s="1">
        <v>15</v>
      </c>
      <c r="MC17" s="1">
        <v>44</v>
      </c>
      <c r="MD17" s="1">
        <v>19</v>
      </c>
      <c r="ME17" s="1">
        <v>25.859000000000002</v>
      </c>
      <c r="MF17" s="1">
        <v>85</v>
      </c>
      <c r="MG17" s="1">
        <v>24</v>
      </c>
      <c r="MH17" s="1">
        <v>18</v>
      </c>
      <c r="MI17" s="1">
        <v>40</v>
      </c>
      <c r="MJ17" s="1">
        <v>19</v>
      </c>
      <c r="MK17" s="1">
        <v>24.529</v>
      </c>
      <c r="ML17" s="1">
        <v>118</v>
      </c>
      <c r="MM17" s="1">
        <v>11</v>
      </c>
      <c r="MN17" s="1">
        <v>25</v>
      </c>
      <c r="MO17" s="1">
        <v>44</v>
      </c>
      <c r="MP17" s="1">
        <v>22</v>
      </c>
      <c r="MQ17" s="1">
        <v>28.759</v>
      </c>
      <c r="MR17" s="1">
        <v>103</v>
      </c>
      <c r="MS17" s="1">
        <v>15</v>
      </c>
      <c r="MT17" s="1">
        <v>21</v>
      </c>
      <c r="MU17" s="1">
        <v>46</v>
      </c>
      <c r="MV17" s="1">
        <v>20</v>
      </c>
      <c r="MW17" s="1">
        <v>28.664000000000001</v>
      </c>
    </row>
    <row r="18" spans="1:361">
      <c r="A18" s="1">
        <v>15</v>
      </c>
      <c r="B18" s="1">
        <v>87</v>
      </c>
      <c r="C18" s="1">
        <v>29</v>
      </c>
      <c r="D18" s="1">
        <v>22</v>
      </c>
      <c r="E18" s="1">
        <v>41</v>
      </c>
      <c r="F18" s="1">
        <v>19</v>
      </c>
      <c r="G18" s="1">
        <v>27.462</v>
      </c>
      <c r="H18" s="1">
        <v>99</v>
      </c>
      <c r="I18" s="1">
        <v>16</v>
      </c>
      <c r="J18" s="1">
        <v>21</v>
      </c>
      <c r="K18" s="1">
        <v>41</v>
      </c>
      <c r="L18" s="1">
        <v>17</v>
      </c>
      <c r="M18" s="1">
        <v>28.006</v>
      </c>
      <c r="N18" s="1">
        <v>69</v>
      </c>
      <c r="O18" s="1">
        <v>23</v>
      </c>
      <c r="P18" s="1">
        <v>19</v>
      </c>
      <c r="Q18" s="1">
        <v>41</v>
      </c>
      <c r="R18" s="1">
        <v>21</v>
      </c>
      <c r="S18" s="1">
        <v>24.196000000000002</v>
      </c>
      <c r="T18" s="1">
        <v>79</v>
      </c>
      <c r="U18" s="1">
        <v>22</v>
      </c>
      <c r="V18" s="1">
        <v>23</v>
      </c>
      <c r="W18" s="1">
        <v>41</v>
      </c>
      <c r="X18" s="1">
        <v>22</v>
      </c>
      <c r="Y18" s="1">
        <v>24.989000000000001</v>
      </c>
      <c r="Z18" s="1">
        <v>78</v>
      </c>
      <c r="AA18" s="1">
        <v>29</v>
      </c>
      <c r="AB18" s="1">
        <v>19</v>
      </c>
      <c r="AC18" s="1">
        <v>43</v>
      </c>
      <c r="AD18" s="1">
        <v>20</v>
      </c>
      <c r="AE18" s="1">
        <v>25.736000000000001</v>
      </c>
      <c r="AF18" s="1">
        <v>65</v>
      </c>
      <c r="AG18" s="1">
        <v>13</v>
      </c>
      <c r="AH18" s="1">
        <v>17</v>
      </c>
      <c r="AI18" s="1">
        <v>45</v>
      </c>
      <c r="AJ18" s="1">
        <v>17</v>
      </c>
      <c r="AK18" s="1">
        <v>25.928000000000001</v>
      </c>
      <c r="AL18" s="1">
        <v>67</v>
      </c>
      <c r="AM18" s="1">
        <v>14</v>
      </c>
      <c r="AN18" s="1">
        <v>17</v>
      </c>
      <c r="AO18" s="1">
        <v>41</v>
      </c>
      <c r="AP18" s="1">
        <v>19</v>
      </c>
      <c r="AQ18" s="1">
        <v>24.378</v>
      </c>
      <c r="AR18" s="1">
        <v>108</v>
      </c>
      <c r="AS18" s="1">
        <v>16</v>
      </c>
      <c r="AT18" s="1">
        <v>23</v>
      </c>
      <c r="AU18" s="1">
        <v>42</v>
      </c>
      <c r="AV18" s="1">
        <v>18</v>
      </c>
      <c r="AW18" s="1">
        <v>27.039000000000001</v>
      </c>
      <c r="AX18" s="1">
        <v>128</v>
      </c>
      <c r="AY18" s="1">
        <v>22</v>
      </c>
      <c r="AZ18" s="1">
        <v>25</v>
      </c>
      <c r="BA18" s="1">
        <v>45</v>
      </c>
      <c r="BB18" s="1">
        <v>19</v>
      </c>
      <c r="BC18" s="1">
        <v>29.467000000000002</v>
      </c>
      <c r="BD18" s="1">
        <v>107</v>
      </c>
      <c r="BE18" s="1">
        <v>9</v>
      </c>
      <c r="BF18" s="1">
        <v>25</v>
      </c>
      <c r="BG18" s="1">
        <v>47</v>
      </c>
      <c r="BH18" s="1">
        <v>16</v>
      </c>
      <c r="BI18" s="1">
        <v>26.853000000000002</v>
      </c>
      <c r="BJ18" s="1">
        <v>71</v>
      </c>
      <c r="BK18" s="1">
        <v>25</v>
      </c>
      <c r="BL18" s="1">
        <v>18</v>
      </c>
      <c r="BM18" s="1">
        <v>42</v>
      </c>
      <c r="BN18" s="1">
        <v>21</v>
      </c>
      <c r="BO18" s="1">
        <v>25.051000000000002</v>
      </c>
      <c r="BP18" s="1">
        <v>69</v>
      </c>
      <c r="BQ18" s="1">
        <v>24</v>
      </c>
      <c r="BR18" s="1">
        <v>22</v>
      </c>
      <c r="BS18" s="1">
        <v>45</v>
      </c>
      <c r="BT18" s="1">
        <v>19</v>
      </c>
      <c r="BU18" s="1">
        <v>25.488</v>
      </c>
      <c r="BV18" s="1">
        <v>117</v>
      </c>
      <c r="BW18" s="1">
        <v>15</v>
      </c>
      <c r="BX18" s="1">
        <v>22</v>
      </c>
      <c r="BY18" s="1">
        <v>45</v>
      </c>
      <c r="BZ18" s="1">
        <v>23</v>
      </c>
      <c r="CA18" s="1">
        <v>29.560000000000002</v>
      </c>
      <c r="CB18" s="1">
        <v>69</v>
      </c>
      <c r="CC18" s="1">
        <v>22</v>
      </c>
      <c r="CD18" s="1">
        <v>22</v>
      </c>
      <c r="CE18" s="1">
        <v>43</v>
      </c>
      <c r="CF18" s="1">
        <v>21</v>
      </c>
      <c r="CG18" s="1">
        <v>25.057000000000002</v>
      </c>
      <c r="CH18" s="1">
        <v>90</v>
      </c>
      <c r="CI18" s="1">
        <v>17</v>
      </c>
      <c r="CJ18" s="1">
        <v>21</v>
      </c>
      <c r="CK18" s="1">
        <v>46</v>
      </c>
      <c r="CL18" s="1">
        <v>22</v>
      </c>
      <c r="CM18" s="1">
        <v>27.659000000000002</v>
      </c>
      <c r="CN18" s="1">
        <v>118</v>
      </c>
      <c r="CO18" s="1">
        <v>17</v>
      </c>
      <c r="CP18" s="1">
        <v>27</v>
      </c>
      <c r="CQ18" s="1">
        <v>42</v>
      </c>
      <c r="CR18" s="1">
        <v>19</v>
      </c>
      <c r="CS18" s="1">
        <v>28.765000000000001</v>
      </c>
      <c r="CT18" s="1">
        <v>91</v>
      </c>
      <c r="CU18" s="1">
        <v>26</v>
      </c>
      <c r="CV18" s="1">
        <v>18</v>
      </c>
      <c r="CW18" s="1">
        <v>42</v>
      </c>
      <c r="CX18" s="1">
        <v>19</v>
      </c>
      <c r="CY18" s="1">
        <v>25.857000000000003</v>
      </c>
      <c r="CZ18" s="1">
        <v>91</v>
      </c>
      <c r="DA18" s="1">
        <v>15</v>
      </c>
      <c r="DB18" s="1">
        <v>19</v>
      </c>
      <c r="DC18" s="1">
        <v>40</v>
      </c>
      <c r="DD18" s="1">
        <v>21</v>
      </c>
      <c r="DE18" s="1">
        <v>25.499000000000002</v>
      </c>
      <c r="DF18" s="1">
        <v>122</v>
      </c>
      <c r="DG18" s="1">
        <v>22</v>
      </c>
      <c r="DH18" s="1">
        <v>24</v>
      </c>
      <c r="DI18" s="1">
        <v>44</v>
      </c>
      <c r="DJ18" s="1">
        <v>18</v>
      </c>
      <c r="DK18" s="1">
        <v>28.729000000000003</v>
      </c>
      <c r="DL18" s="1">
        <v>117</v>
      </c>
      <c r="DM18" s="1">
        <v>15</v>
      </c>
      <c r="DN18" s="1">
        <v>25</v>
      </c>
      <c r="DO18" s="1">
        <v>43</v>
      </c>
      <c r="DP18" s="1">
        <v>24</v>
      </c>
      <c r="DQ18" s="1">
        <v>29.078000000000003</v>
      </c>
      <c r="DR18" s="1">
        <v>115</v>
      </c>
      <c r="DS18" s="1">
        <v>15</v>
      </c>
      <c r="DT18" s="1">
        <v>26</v>
      </c>
      <c r="DU18" s="1">
        <v>43</v>
      </c>
      <c r="DV18" s="1">
        <v>22</v>
      </c>
      <c r="DW18" s="1">
        <v>30.391999999999999</v>
      </c>
      <c r="DX18" s="1">
        <v>80</v>
      </c>
      <c r="DY18" s="1">
        <v>19</v>
      </c>
      <c r="DZ18" s="1">
        <v>20</v>
      </c>
      <c r="EA18" s="1">
        <v>45</v>
      </c>
      <c r="EB18" s="1">
        <v>22</v>
      </c>
      <c r="EC18" s="1">
        <v>27.841000000000001</v>
      </c>
      <c r="ED18" s="1">
        <v>105</v>
      </c>
      <c r="EE18" s="1">
        <v>20</v>
      </c>
      <c r="EF18" s="1">
        <v>22</v>
      </c>
      <c r="EG18" s="1">
        <v>43</v>
      </c>
      <c r="EH18" s="1">
        <v>22</v>
      </c>
      <c r="EI18" s="1">
        <v>28.240000000000002</v>
      </c>
      <c r="EJ18" s="1">
        <v>127</v>
      </c>
      <c r="EK18" s="1">
        <v>14</v>
      </c>
      <c r="EL18" s="1">
        <v>22</v>
      </c>
      <c r="EM18" s="1">
        <v>41</v>
      </c>
      <c r="EN18" s="1">
        <v>22</v>
      </c>
      <c r="EO18" s="1">
        <v>28.074000000000002</v>
      </c>
      <c r="EP18" s="1">
        <v>126</v>
      </c>
      <c r="EQ18" s="1">
        <v>18</v>
      </c>
      <c r="ER18" s="1">
        <v>27</v>
      </c>
      <c r="ES18" s="1">
        <v>41</v>
      </c>
      <c r="ET18" s="1">
        <v>20</v>
      </c>
      <c r="EU18" s="1">
        <v>27.644000000000002</v>
      </c>
      <c r="EV18" s="1">
        <v>74</v>
      </c>
      <c r="EW18" s="1">
        <v>12</v>
      </c>
      <c r="EX18" s="1">
        <v>14</v>
      </c>
      <c r="EY18" s="1">
        <v>44</v>
      </c>
      <c r="EZ18" s="1">
        <v>19</v>
      </c>
      <c r="FA18" s="1">
        <v>25.055</v>
      </c>
      <c r="FB18" s="1">
        <v>100</v>
      </c>
      <c r="FC18" s="1">
        <v>24</v>
      </c>
      <c r="FD18" s="1">
        <v>23</v>
      </c>
      <c r="FE18" s="1">
        <v>41</v>
      </c>
      <c r="FF18" s="1">
        <v>17</v>
      </c>
      <c r="FG18" s="1">
        <v>27.57</v>
      </c>
      <c r="FH18" s="1">
        <v>123</v>
      </c>
      <c r="FI18" s="1">
        <v>20</v>
      </c>
      <c r="FJ18" s="1">
        <v>19</v>
      </c>
      <c r="FK18" s="1">
        <v>47</v>
      </c>
      <c r="FL18" s="1">
        <v>21</v>
      </c>
      <c r="FM18" s="1">
        <v>28.700000000000003</v>
      </c>
      <c r="FN18" s="1">
        <v>111</v>
      </c>
      <c r="FO18" s="1">
        <v>15</v>
      </c>
      <c r="FP18" s="1">
        <v>24</v>
      </c>
      <c r="FQ18" s="1">
        <v>41</v>
      </c>
      <c r="FR18" s="1">
        <v>23</v>
      </c>
      <c r="FS18" s="1">
        <v>27.566000000000003</v>
      </c>
      <c r="FT18" s="1">
        <v>100</v>
      </c>
      <c r="FU18" s="1">
        <v>15</v>
      </c>
      <c r="FV18" s="1">
        <v>21</v>
      </c>
      <c r="FW18" s="1">
        <v>40</v>
      </c>
      <c r="FX18" s="1">
        <v>17</v>
      </c>
      <c r="FY18" s="1">
        <v>27.987000000000002</v>
      </c>
      <c r="FZ18" s="1">
        <v>111</v>
      </c>
      <c r="GA18" s="1">
        <v>29</v>
      </c>
      <c r="GB18" s="1">
        <v>21</v>
      </c>
      <c r="GC18" s="1">
        <v>41</v>
      </c>
      <c r="GD18" s="1">
        <v>17</v>
      </c>
      <c r="GE18" s="1">
        <v>27.515000000000001</v>
      </c>
      <c r="GF18" s="1">
        <v>95</v>
      </c>
      <c r="GG18" s="1">
        <v>22</v>
      </c>
      <c r="GH18" s="1">
        <v>18</v>
      </c>
      <c r="GI18" s="1">
        <v>43</v>
      </c>
      <c r="GJ18" s="1">
        <v>18</v>
      </c>
      <c r="GK18" s="1">
        <v>26.53</v>
      </c>
      <c r="GL18" s="1">
        <v>74</v>
      </c>
      <c r="GM18" s="1">
        <v>19</v>
      </c>
      <c r="GN18" s="1">
        <v>20</v>
      </c>
      <c r="GO18" s="1">
        <v>42</v>
      </c>
      <c r="GP18" s="1">
        <v>18</v>
      </c>
      <c r="GQ18" s="1">
        <v>23.209</v>
      </c>
      <c r="GR18" s="1">
        <v>104</v>
      </c>
      <c r="GS18" s="1">
        <v>12</v>
      </c>
      <c r="GT18" s="1">
        <v>25</v>
      </c>
      <c r="GU18" s="1">
        <v>42</v>
      </c>
      <c r="GV18" s="1">
        <v>23</v>
      </c>
      <c r="GW18" s="1">
        <v>26.999000000000002</v>
      </c>
      <c r="GX18" s="1">
        <v>102</v>
      </c>
      <c r="GY18" s="1">
        <v>26</v>
      </c>
      <c r="GZ18" s="1">
        <v>22</v>
      </c>
      <c r="HA18" s="1">
        <v>44</v>
      </c>
      <c r="HB18" s="1">
        <v>20</v>
      </c>
      <c r="HC18" s="1">
        <v>25.264000000000003</v>
      </c>
      <c r="HD18" s="1">
        <v>93</v>
      </c>
      <c r="HE18" s="1">
        <v>19</v>
      </c>
      <c r="HF18" s="1">
        <v>21</v>
      </c>
      <c r="HG18" s="1">
        <v>41</v>
      </c>
      <c r="HH18" s="1">
        <v>18</v>
      </c>
      <c r="HI18" s="1">
        <v>27.485000000000003</v>
      </c>
      <c r="HJ18" s="1">
        <v>98</v>
      </c>
      <c r="HK18" s="1">
        <v>23</v>
      </c>
      <c r="HL18" s="1">
        <v>22</v>
      </c>
      <c r="HM18" s="1">
        <v>45</v>
      </c>
      <c r="HN18" s="1">
        <v>19</v>
      </c>
      <c r="HO18" s="1">
        <v>27.644000000000002</v>
      </c>
      <c r="HP18" s="1">
        <v>121</v>
      </c>
      <c r="HQ18" s="1">
        <v>23</v>
      </c>
      <c r="HR18" s="1">
        <v>23</v>
      </c>
      <c r="HS18" s="1">
        <v>45</v>
      </c>
      <c r="HT18" s="1">
        <v>16</v>
      </c>
      <c r="HU18" s="1">
        <v>29.405000000000001</v>
      </c>
      <c r="HV18" s="1">
        <v>81</v>
      </c>
      <c r="HW18" s="1">
        <v>14</v>
      </c>
      <c r="HX18" s="1">
        <v>20</v>
      </c>
      <c r="HY18" s="1">
        <v>46</v>
      </c>
      <c r="HZ18" s="1">
        <v>24</v>
      </c>
      <c r="IA18" s="1">
        <v>24.909000000000002</v>
      </c>
      <c r="IB18" s="1">
        <v>111</v>
      </c>
      <c r="IC18" s="1">
        <v>17</v>
      </c>
      <c r="ID18" s="1">
        <v>26</v>
      </c>
      <c r="IE18" s="1">
        <v>44</v>
      </c>
      <c r="IF18" s="1">
        <v>21</v>
      </c>
      <c r="IG18" s="1">
        <v>28.285</v>
      </c>
      <c r="IH18" s="1">
        <v>85</v>
      </c>
      <c r="II18" s="1">
        <v>12</v>
      </c>
      <c r="IJ18" s="1">
        <v>19</v>
      </c>
      <c r="IK18" s="1">
        <v>45</v>
      </c>
      <c r="IL18" s="1">
        <v>19</v>
      </c>
      <c r="IM18" s="1">
        <v>27.055</v>
      </c>
      <c r="IN18" s="1">
        <v>90</v>
      </c>
      <c r="IO18" s="1">
        <v>17</v>
      </c>
      <c r="IP18" s="1">
        <v>18</v>
      </c>
      <c r="IQ18" s="1">
        <v>40</v>
      </c>
      <c r="IR18" s="1">
        <v>19</v>
      </c>
      <c r="IS18" s="1">
        <v>25.607000000000003</v>
      </c>
      <c r="IT18" s="1">
        <v>77</v>
      </c>
      <c r="IU18" s="1">
        <v>21</v>
      </c>
      <c r="IV18" s="1">
        <v>18</v>
      </c>
      <c r="IW18" s="1">
        <v>44</v>
      </c>
      <c r="IX18" s="1">
        <v>19</v>
      </c>
      <c r="IY18" s="1">
        <v>25.264000000000003</v>
      </c>
      <c r="IZ18" s="1">
        <v>94</v>
      </c>
      <c r="JA18" s="1">
        <v>23</v>
      </c>
      <c r="JB18" s="1">
        <v>18</v>
      </c>
      <c r="JC18" s="1">
        <v>42</v>
      </c>
      <c r="JD18" s="1">
        <v>18</v>
      </c>
      <c r="JE18" s="1">
        <v>25.985000000000003</v>
      </c>
      <c r="JF18" s="1">
        <v>65</v>
      </c>
      <c r="JG18" s="1">
        <v>14</v>
      </c>
      <c r="JH18" s="1">
        <v>14</v>
      </c>
      <c r="JI18" s="1">
        <v>42</v>
      </c>
      <c r="JJ18" s="1">
        <v>18</v>
      </c>
      <c r="JK18" s="1">
        <v>24.933</v>
      </c>
      <c r="JL18" s="1">
        <v>73</v>
      </c>
      <c r="JM18" s="1">
        <v>19</v>
      </c>
      <c r="JN18" s="1">
        <v>19</v>
      </c>
      <c r="JO18" s="1">
        <v>44</v>
      </c>
      <c r="JP18" s="1">
        <v>18</v>
      </c>
      <c r="JQ18" s="1">
        <v>26.293000000000003</v>
      </c>
      <c r="JR18" s="1">
        <v>69</v>
      </c>
      <c r="JS18" s="1">
        <v>14</v>
      </c>
      <c r="JT18" s="1">
        <v>18</v>
      </c>
      <c r="JU18" s="1">
        <v>41</v>
      </c>
      <c r="JV18" s="1">
        <v>21</v>
      </c>
      <c r="JW18" s="1">
        <v>24.657</v>
      </c>
      <c r="JX18" s="1">
        <v>85</v>
      </c>
      <c r="JY18" s="1">
        <v>21</v>
      </c>
      <c r="JZ18" s="1">
        <v>20</v>
      </c>
      <c r="KA18" s="1">
        <v>41</v>
      </c>
      <c r="KB18" s="1">
        <v>21</v>
      </c>
      <c r="KC18" s="1">
        <v>26.438000000000002</v>
      </c>
      <c r="KD18" s="1">
        <v>87</v>
      </c>
      <c r="KE18" s="1">
        <v>19</v>
      </c>
      <c r="KF18" s="1">
        <v>25</v>
      </c>
      <c r="KG18" s="1">
        <v>42</v>
      </c>
      <c r="KH18" s="1">
        <v>20</v>
      </c>
      <c r="KI18" s="1">
        <v>26.281000000000002</v>
      </c>
      <c r="KJ18" s="1">
        <v>113</v>
      </c>
      <c r="KK18" s="1">
        <v>17</v>
      </c>
      <c r="KL18" s="1">
        <v>24</v>
      </c>
      <c r="KM18" s="1">
        <v>43</v>
      </c>
      <c r="KN18" s="1">
        <v>19</v>
      </c>
      <c r="KO18" s="1">
        <v>30.052</v>
      </c>
      <c r="KP18" s="1">
        <v>93</v>
      </c>
      <c r="KQ18" s="1">
        <v>14</v>
      </c>
      <c r="KR18" s="1">
        <v>17</v>
      </c>
      <c r="KS18" s="1">
        <v>45</v>
      </c>
      <c r="KT18" s="1">
        <v>18</v>
      </c>
      <c r="KU18" s="1">
        <v>26.694000000000003</v>
      </c>
      <c r="KV18" s="1">
        <v>94</v>
      </c>
      <c r="KW18" s="1">
        <v>18</v>
      </c>
      <c r="KX18" s="1">
        <v>21</v>
      </c>
      <c r="KY18" s="1">
        <v>44</v>
      </c>
      <c r="KZ18" s="1">
        <v>22</v>
      </c>
      <c r="LA18" s="1">
        <v>26.466000000000001</v>
      </c>
      <c r="LB18" s="1">
        <v>93</v>
      </c>
      <c r="LC18" s="1">
        <v>20</v>
      </c>
      <c r="LD18" s="1">
        <v>25</v>
      </c>
      <c r="LE18" s="1">
        <v>42</v>
      </c>
      <c r="LF18" s="1">
        <v>20</v>
      </c>
      <c r="LG18" s="1">
        <v>25.863</v>
      </c>
      <c r="LH18" s="1">
        <v>100</v>
      </c>
      <c r="LI18" s="1">
        <v>16</v>
      </c>
      <c r="LJ18" s="1">
        <v>18</v>
      </c>
      <c r="LK18" s="1">
        <v>42</v>
      </c>
      <c r="LL18" s="1">
        <v>22</v>
      </c>
      <c r="LM18" s="1">
        <v>25.209</v>
      </c>
      <c r="LN18" s="1">
        <v>98</v>
      </c>
      <c r="LO18" s="1">
        <v>16</v>
      </c>
      <c r="LP18" s="1">
        <v>19</v>
      </c>
      <c r="LQ18" s="1">
        <v>44</v>
      </c>
      <c r="LR18" s="1">
        <v>20</v>
      </c>
      <c r="LS18" s="1">
        <v>26.396000000000001</v>
      </c>
      <c r="LT18" s="1">
        <v>68</v>
      </c>
      <c r="LU18" s="1">
        <v>18</v>
      </c>
      <c r="LV18" s="1">
        <v>14</v>
      </c>
      <c r="LW18" s="1">
        <v>44</v>
      </c>
      <c r="LX18" s="1">
        <v>20</v>
      </c>
      <c r="LY18" s="1">
        <v>23.001000000000001</v>
      </c>
      <c r="LZ18" s="1">
        <v>90</v>
      </c>
      <c r="MA18" s="1">
        <v>17</v>
      </c>
      <c r="MB18" s="1">
        <v>22</v>
      </c>
      <c r="MC18" s="1">
        <v>42</v>
      </c>
      <c r="MD18" s="1">
        <v>18</v>
      </c>
      <c r="ME18" s="1">
        <v>27.324000000000002</v>
      </c>
      <c r="MF18" s="1">
        <v>87</v>
      </c>
      <c r="MG18" s="1">
        <v>20</v>
      </c>
      <c r="MH18" s="1">
        <v>23</v>
      </c>
      <c r="MI18" s="1">
        <v>44</v>
      </c>
      <c r="MJ18" s="1">
        <v>22</v>
      </c>
      <c r="MK18" s="1">
        <v>28.157</v>
      </c>
      <c r="ML18" s="1">
        <v>89</v>
      </c>
      <c r="MM18" s="1">
        <v>14</v>
      </c>
      <c r="MN18" s="1">
        <v>19</v>
      </c>
      <c r="MO18" s="1">
        <v>41</v>
      </c>
      <c r="MP18" s="1">
        <v>21</v>
      </c>
      <c r="MQ18" s="1">
        <v>26.355</v>
      </c>
      <c r="MR18" s="1">
        <v>76</v>
      </c>
      <c r="MS18" s="1">
        <v>9</v>
      </c>
      <c r="MT18" s="1">
        <v>19</v>
      </c>
      <c r="MU18" s="1">
        <v>41</v>
      </c>
      <c r="MV18" s="1">
        <v>24</v>
      </c>
      <c r="MW18" s="1">
        <v>24.669</v>
      </c>
    </row>
    <row r="19" spans="1:361">
      <c r="A19" s="1">
        <v>16</v>
      </c>
      <c r="B19" s="1">
        <v>66</v>
      </c>
      <c r="C19" s="1">
        <v>14</v>
      </c>
      <c r="D19" s="1">
        <v>17</v>
      </c>
      <c r="E19" s="1">
        <v>44</v>
      </c>
      <c r="F19" s="1">
        <v>19</v>
      </c>
      <c r="G19" s="1">
        <v>23.743000000000002</v>
      </c>
      <c r="H19" s="1">
        <v>126</v>
      </c>
      <c r="I19" s="1">
        <v>29</v>
      </c>
      <c r="J19" s="1">
        <v>25</v>
      </c>
      <c r="K19" s="1">
        <v>43</v>
      </c>
      <c r="L19" s="1">
        <v>21</v>
      </c>
      <c r="M19" s="1">
        <v>31.288</v>
      </c>
      <c r="N19" s="1">
        <v>93</v>
      </c>
      <c r="O19" s="1">
        <v>20</v>
      </c>
      <c r="P19" s="1">
        <v>26</v>
      </c>
      <c r="Q19" s="1">
        <v>42</v>
      </c>
      <c r="R19" s="1">
        <v>21</v>
      </c>
      <c r="S19" s="1">
        <v>24.351000000000003</v>
      </c>
      <c r="T19" s="1">
        <v>120</v>
      </c>
      <c r="U19" s="1">
        <v>20</v>
      </c>
      <c r="V19" s="1">
        <v>21</v>
      </c>
      <c r="W19" s="1">
        <v>43</v>
      </c>
      <c r="X19" s="1">
        <v>21</v>
      </c>
      <c r="Y19" s="1">
        <v>29.244</v>
      </c>
      <c r="Z19" s="1">
        <v>97</v>
      </c>
      <c r="AA19" s="1">
        <v>35</v>
      </c>
      <c r="AB19" s="1">
        <v>22</v>
      </c>
      <c r="AC19" s="1">
        <v>40</v>
      </c>
      <c r="AD19" s="1">
        <v>19</v>
      </c>
      <c r="AE19" s="1">
        <v>25.827000000000002</v>
      </c>
      <c r="AF19" s="1">
        <v>101</v>
      </c>
      <c r="AG19" s="1">
        <v>15</v>
      </c>
      <c r="AH19" s="1">
        <v>24</v>
      </c>
      <c r="AI19" s="1">
        <v>40</v>
      </c>
      <c r="AJ19" s="1">
        <v>17</v>
      </c>
      <c r="AK19" s="1">
        <v>26.291</v>
      </c>
      <c r="AL19" s="1">
        <v>127</v>
      </c>
      <c r="AM19" s="1">
        <v>20</v>
      </c>
      <c r="AN19" s="1">
        <v>21</v>
      </c>
      <c r="AO19" s="1">
        <v>45</v>
      </c>
      <c r="AP19" s="1">
        <v>17</v>
      </c>
      <c r="AQ19" s="1">
        <v>28.327000000000002</v>
      </c>
      <c r="AR19" s="1">
        <v>97</v>
      </c>
      <c r="AS19" s="1">
        <v>23</v>
      </c>
      <c r="AT19" s="1">
        <v>20</v>
      </c>
      <c r="AU19" s="1">
        <v>43</v>
      </c>
      <c r="AV19" s="1">
        <v>19</v>
      </c>
      <c r="AW19" s="1">
        <v>26.603000000000002</v>
      </c>
      <c r="AX19" s="1">
        <v>67</v>
      </c>
      <c r="AY19" s="1">
        <v>15</v>
      </c>
      <c r="AZ19" s="1">
        <v>19</v>
      </c>
      <c r="BA19" s="1">
        <v>42</v>
      </c>
      <c r="BB19" s="1">
        <v>20</v>
      </c>
      <c r="BC19" s="1">
        <v>25.227</v>
      </c>
      <c r="BD19" s="1">
        <v>102</v>
      </c>
      <c r="BE19" s="1">
        <v>20</v>
      </c>
      <c r="BF19" s="1">
        <v>19</v>
      </c>
      <c r="BG19" s="1">
        <v>42</v>
      </c>
      <c r="BH19" s="1">
        <v>20</v>
      </c>
      <c r="BI19" s="1">
        <v>26.229000000000003</v>
      </c>
      <c r="BJ19" s="1">
        <v>69</v>
      </c>
      <c r="BK19" s="1">
        <v>14</v>
      </c>
      <c r="BL19" s="1">
        <v>18</v>
      </c>
      <c r="BM19" s="1">
        <v>44</v>
      </c>
      <c r="BN19" s="1">
        <v>20</v>
      </c>
      <c r="BO19" s="1">
        <v>25.443000000000001</v>
      </c>
      <c r="BP19" s="1">
        <v>80</v>
      </c>
      <c r="BQ19" s="1">
        <v>20</v>
      </c>
      <c r="BR19" s="1">
        <v>20</v>
      </c>
      <c r="BS19" s="1">
        <v>46</v>
      </c>
      <c r="BT19" s="1">
        <v>18</v>
      </c>
      <c r="BU19" s="1">
        <v>26.68</v>
      </c>
      <c r="BV19" s="1">
        <v>100</v>
      </c>
      <c r="BW19" s="1">
        <v>16</v>
      </c>
      <c r="BX19" s="1">
        <v>23</v>
      </c>
      <c r="BY19" s="1">
        <v>44</v>
      </c>
      <c r="BZ19" s="1">
        <v>21</v>
      </c>
      <c r="CA19" s="1">
        <v>27.503</v>
      </c>
      <c r="CB19" s="1">
        <v>86</v>
      </c>
      <c r="CC19" s="1">
        <v>18</v>
      </c>
      <c r="CD19" s="1">
        <v>16</v>
      </c>
      <c r="CE19" s="1">
        <v>39</v>
      </c>
      <c r="CF19" s="1">
        <v>18</v>
      </c>
      <c r="CG19" s="1">
        <v>24.416</v>
      </c>
      <c r="CH19" s="1">
        <v>112</v>
      </c>
      <c r="CI19" s="1">
        <v>23</v>
      </c>
      <c r="CJ19" s="1">
        <v>27</v>
      </c>
      <c r="CK19" s="1">
        <v>43</v>
      </c>
      <c r="CL19" s="1">
        <v>23</v>
      </c>
      <c r="CM19" s="1">
        <v>27.829000000000001</v>
      </c>
      <c r="CN19" s="1">
        <v>82</v>
      </c>
      <c r="CO19" s="1">
        <v>11</v>
      </c>
      <c r="CP19" s="1">
        <v>21</v>
      </c>
      <c r="CQ19" s="1">
        <v>41</v>
      </c>
      <c r="CR19" s="1">
        <v>19</v>
      </c>
      <c r="CS19" s="1">
        <v>24.987000000000002</v>
      </c>
      <c r="CT19" s="1">
        <v>72</v>
      </c>
      <c r="CU19" s="1">
        <v>14</v>
      </c>
      <c r="CV19" s="1">
        <v>18</v>
      </c>
      <c r="CW19" s="1">
        <v>42</v>
      </c>
      <c r="CX19" s="1">
        <v>21</v>
      </c>
      <c r="CY19" s="1">
        <v>23.363</v>
      </c>
      <c r="CZ19" s="1">
        <v>93</v>
      </c>
      <c r="DA19" s="1">
        <v>13</v>
      </c>
      <c r="DB19" s="1">
        <v>19</v>
      </c>
      <c r="DC19" s="1">
        <v>44</v>
      </c>
      <c r="DD19" s="1">
        <v>18</v>
      </c>
      <c r="DE19" s="1">
        <v>25.636000000000003</v>
      </c>
      <c r="DF19" s="1">
        <v>119</v>
      </c>
      <c r="DG19" s="1">
        <v>27</v>
      </c>
      <c r="DH19" s="1">
        <v>21</v>
      </c>
      <c r="DI19" s="1">
        <v>43</v>
      </c>
      <c r="DJ19" s="1">
        <v>22</v>
      </c>
      <c r="DK19" s="1">
        <v>27.258000000000003</v>
      </c>
      <c r="DL19" s="1">
        <v>111</v>
      </c>
      <c r="DM19" s="1">
        <v>11</v>
      </c>
      <c r="DN19" s="1">
        <v>20</v>
      </c>
      <c r="DO19" s="1">
        <v>46</v>
      </c>
      <c r="DP19" s="1">
        <v>22</v>
      </c>
      <c r="DQ19" s="1">
        <v>29.134</v>
      </c>
      <c r="DR19" s="1">
        <v>108</v>
      </c>
      <c r="DS19" s="1">
        <v>21</v>
      </c>
      <c r="DT19" s="1">
        <v>21</v>
      </c>
      <c r="DU19" s="1">
        <v>41</v>
      </c>
      <c r="DV19" s="1">
        <v>20</v>
      </c>
      <c r="DW19" s="1">
        <v>29.528000000000002</v>
      </c>
      <c r="DX19" s="1">
        <v>105</v>
      </c>
      <c r="DY19" s="1">
        <v>20</v>
      </c>
      <c r="DZ19" s="1">
        <v>23</v>
      </c>
      <c r="EA19" s="1">
        <v>42</v>
      </c>
      <c r="EB19" s="1">
        <v>20</v>
      </c>
      <c r="EC19" s="1">
        <v>27.459</v>
      </c>
      <c r="ED19" s="1">
        <v>113</v>
      </c>
      <c r="EE19" s="1">
        <v>18</v>
      </c>
      <c r="EF19" s="1">
        <v>21</v>
      </c>
      <c r="EG19" s="1">
        <v>44</v>
      </c>
      <c r="EH19" s="1">
        <v>21</v>
      </c>
      <c r="EI19" s="1">
        <v>28.319000000000003</v>
      </c>
      <c r="EJ19" s="1">
        <v>82</v>
      </c>
      <c r="EK19" s="1">
        <v>13</v>
      </c>
      <c r="EL19" s="1">
        <v>17</v>
      </c>
      <c r="EM19" s="1">
        <v>43</v>
      </c>
      <c r="EN19" s="1">
        <v>20</v>
      </c>
      <c r="EO19" s="1">
        <v>25.931000000000001</v>
      </c>
      <c r="EP19" s="1">
        <v>79</v>
      </c>
      <c r="EQ19" s="1">
        <v>22</v>
      </c>
      <c r="ER19" s="1">
        <v>18</v>
      </c>
      <c r="ES19" s="1">
        <v>44</v>
      </c>
      <c r="ET19" s="1">
        <v>20</v>
      </c>
      <c r="EU19" s="1">
        <v>26.208000000000002</v>
      </c>
      <c r="EV19" s="1">
        <v>74</v>
      </c>
      <c r="EW19" s="1">
        <v>27</v>
      </c>
      <c r="EX19" s="1">
        <v>15</v>
      </c>
      <c r="EY19" s="1">
        <v>39</v>
      </c>
      <c r="EZ19" s="1">
        <v>19</v>
      </c>
      <c r="FA19" s="1">
        <v>26.076000000000001</v>
      </c>
      <c r="FB19" s="1">
        <v>75</v>
      </c>
      <c r="FC19" s="1">
        <v>14</v>
      </c>
      <c r="FD19" s="1">
        <v>16</v>
      </c>
      <c r="FE19" s="1">
        <v>44</v>
      </c>
      <c r="FF19" s="1">
        <v>17</v>
      </c>
      <c r="FG19" s="1">
        <v>23.864000000000001</v>
      </c>
      <c r="FH19" s="1">
        <v>94</v>
      </c>
      <c r="FI19" s="1">
        <v>22</v>
      </c>
      <c r="FJ19" s="1">
        <v>21</v>
      </c>
      <c r="FK19" s="1">
        <v>40</v>
      </c>
      <c r="FL19" s="1">
        <v>19</v>
      </c>
      <c r="FM19" s="1">
        <v>25.641000000000002</v>
      </c>
      <c r="FN19" s="1">
        <v>121</v>
      </c>
      <c r="FO19" s="1">
        <v>26</v>
      </c>
      <c r="FP19" s="1">
        <v>28</v>
      </c>
      <c r="FQ19" s="1">
        <v>41</v>
      </c>
      <c r="FR19" s="1">
        <v>19</v>
      </c>
      <c r="FS19" s="1">
        <v>28.898</v>
      </c>
      <c r="FT19" s="1">
        <v>106</v>
      </c>
      <c r="FU19" s="1">
        <v>24</v>
      </c>
      <c r="FV19" s="1">
        <v>25</v>
      </c>
      <c r="FW19" s="1">
        <v>44</v>
      </c>
      <c r="FX19" s="1">
        <v>18</v>
      </c>
      <c r="FY19" s="1">
        <v>27.107000000000003</v>
      </c>
      <c r="FZ19" s="1">
        <v>107</v>
      </c>
      <c r="GA19" s="1">
        <v>14</v>
      </c>
      <c r="GB19" s="1">
        <v>22</v>
      </c>
      <c r="GC19" s="1">
        <v>46</v>
      </c>
      <c r="GD19" s="1">
        <v>20</v>
      </c>
      <c r="GE19" s="1">
        <v>28.75</v>
      </c>
      <c r="GF19" s="1">
        <v>113</v>
      </c>
      <c r="GG19" s="1">
        <v>17</v>
      </c>
      <c r="GH19" s="1">
        <v>21</v>
      </c>
      <c r="GI19" s="1">
        <v>45</v>
      </c>
      <c r="GJ19" s="1">
        <v>18</v>
      </c>
      <c r="GK19" s="1">
        <v>29.423999999999999</v>
      </c>
      <c r="GL19" s="1">
        <v>76</v>
      </c>
      <c r="GM19" s="1">
        <v>23</v>
      </c>
      <c r="GN19" s="1">
        <v>18</v>
      </c>
      <c r="GO19" s="1">
        <v>44</v>
      </c>
      <c r="GP19" s="1">
        <v>24</v>
      </c>
      <c r="GQ19" s="1">
        <v>28.623000000000001</v>
      </c>
      <c r="GR19" s="1">
        <v>110</v>
      </c>
      <c r="GS19" s="1">
        <v>24</v>
      </c>
      <c r="GT19" s="1">
        <v>29</v>
      </c>
      <c r="GU19" s="1">
        <v>43</v>
      </c>
      <c r="GV19" s="1">
        <v>21</v>
      </c>
      <c r="GW19" s="1">
        <v>26.05</v>
      </c>
      <c r="GX19" s="1">
        <v>67</v>
      </c>
      <c r="GY19" s="1">
        <v>9</v>
      </c>
      <c r="GZ19" s="1">
        <v>19</v>
      </c>
      <c r="HA19" s="1">
        <v>42</v>
      </c>
      <c r="HB19" s="1">
        <v>21</v>
      </c>
      <c r="HC19" s="1">
        <v>26.504000000000001</v>
      </c>
      <c r="HD19" s="1">
        <v>97</v>
      </c>
      <c r="HE19" s="1">
        <v>18</v>
      </c>
      <c r="HF19" s="1">
        <v>21</v>
      </c>
      <c r="HG19" s="1">
        <v>44</v>
      </c>
      <c r="HH19" s="1">
        <v>19</v>
      </c>
      <c r="HI19" s="1">
        <v>28.138000000000002</v>
      </c>
      <c r="HJ19" s="1">
        <v>87</v>
      </c>
      <c r="HK19" s="1">
        <v>12</v>
      </c>
      <c r="HL19" s="1">
        <v>16</v>
      </c>
      <c r="HM19" s="1">
        <v>42</v>
      </c>
      <c r="HN19" s="1">
        <v>15</v>
      </c>
      <c r="HO19" s="1">
        <v>24.806000000000001</v>
      </c>
      <c r="HP19" s="1">
        <v>77</v>
      </c>
      <c r="HQ19" s="1">
        <v>12</v>
      </c>
      <c r="HR19" s="1">
        <v>23</v>
      </c>
      <c r="HS19" s="1">
        <v>45</v>
      </c>
      <c r="HT19" s="1">
        <v>21</v>
      </c>
      <c r="HU19" s="1">
        <v>24.613</v>
      </c>
      <c r="HV19" s="1">
        <v>67</v>
      </c>
      <c r="HW19" s="1">
        <v>16</v>
      </c>
      <c r="HX19" s="1">
        <v>18</v>
      </c>
      <c r="HY19" s="1">
        <v>42</v>
      </c>
      <c r="HZ19" s="1">
        <v>18</v>
      </c>
      <c r="IA19" s="1">
        <v>25.650000000000002</v>
      </c>
      <c r="IB19" s="1">
        <v>107</v>
      </c>
      <c r="IC19" s="1">
        <v>16</v>
      </c>
      <c r="ID19" s="1">
        <v>26</v>
      </c>
      <c r="IE19" s="1">
        <v>44</v>
      </c>
      <c r="IF19" s="1">
        <v>17</v>
      </c>
      <c r="IG19" s="1">
        <v>26.694000000000003</v>
      </c>
      <c r="IH19" s="1">
        <v>127</v>
      </c>
      <c r="II19" s="1">
        <v>32</v>
      </c>
      <c r="IJ19" s="1">
        <v>23</v>
      </c>
      <c r="IK19" s="1">
        <v>40</v>
      </c>
      <c r="IL19" s="1">
        <v>19</v>
      </c>
      <c r="IM19" s="1">
        <v>29.559000000000001</v>
      </c>
      <c r="IN19" s="1">
        <v>110</v>
      </c>
      <c r="IO19" s="1">
        <v>21</v>
      </c>
      <c r="IP19" s="1">
        <v>21</v>
      </c>
      <c r="IQ19" s="1">
        <v>40</v>
      </c>
      <c r="IR19" s="1">
        <v>21</v>
      </c>
      <c r="IS19" s="1">
        <v>28.831</v>
      </c>
      <c r="IT19" s="1">
        <v>127</v>
      </c>
      <c r="IU19" s="1">
        <v>18</v>
      </c>
      <c r="IV19" s="1">
        <v>27</v>
      </c>
      <c r="IW19" s="1">
        <v>46</v>
      </c>
      <c r="IX19" s="1">
        <v>19</v>
      </c>
      <c r="IY19" s="1">
        <v>28.079000000000001</v>
      </c>
      <c r="IZ19" s="1">
        <v>120</v>
      </c>
      <c r="JA19" s="1">
        <v>18</v>
      </c>
      <c r="JB19" s="1">
        <v>23</v>
      </c>
      <c r="JC19" s="1">
        <v>41</v>
      </c>
      <c r="JD19" s="1">
        <v>19</v>
      </c>
      <c r="JE19" s="1">
        <v>27.902000000000001</v>
      </c>
      <c r="JF19" s="1">
        <v>77</v>
      </c>
      <c r="JG19" s="1">
        <v>20</v>
      </c>
      <c r="JH19" s="1">
        <v>22</v>
      </c>
      <c r="JI19" s="1">
        <v>45</v>
      </c>
      <c r="JJ19" s="1">
        <v>19</v>
      </c>
      <c r="JK19" s="1">
        <v>26.152000000000001</v>
      </c>
      <c r="JL19" s="1">
        <v>128</v>
      </c>
      <c r="JM19" s="1">
        <v>15</v>
      </c>
      <c r="JN19" s="1">
        <v>27</v>
      </c>
      <c r="JO19" s="1">
        <v>47</v>
      </c>
      <c r="JP19" s="1">
        <v>23</v>
      </c>
      <c r="JQ19" s="1">
        <v>30.493000000000002</v>
      </c>
      <c r="JR19" s="1">
        <v>110</v>
      </c>
      <c r="JS19" s="1">
        <v>17</v>
      </c>
      <c r="JT19" s="1">
        <v>24</v>
      </c>
      <c r="JU19" s="1">
        <v>42</v>
      </c>
      <c r="JV19" s="1">
        <v>20</v>
      </c>
      <c r="JW19" s="1">
        <v>26.329000000000001</v>
      </c>
      <c r="JX19" s="1">
        <v>80</v>
      </c>
      <c r="JY19" s="1">
        <v>25</v>
      </c>
      <c r="JZ19" s="1">
        <v>12</v>
      </c>
      <c r="KA19" s="1">
        <v>45</v>
      </c>
      <c r="KB19" s="1">
        <v>19</v>
      </c>
      <c r="KC19" s="1">
        <v>24.798999999999999</v>
      </c>
      <c r="KD19" s="1">
        <v>93</v>
      </c>
      <c r="KE19" s="1">
        <v>16</v>
      </c>
      <c r="KF19" s="1">
        <v>20</v>
      </c>
      <c r="KG19" s="1">
        <v>41</v>
      </c>
      <c r="KH19" s="1">
        <v>16</v>
      </c>
      <c r="KI19" s="1">
        <v>25.929000000000002</v>
      </c>
      <c r="KJ19" s="1">
        <v>67</v>
      </c>
      <c r="KK19" s="1">
        <v>12</v>
      </c>
      <c r="KL19" s="1">
        <v>15</v>
      </c>
      <c r="KM19" s="1">
        <v>44</v>
      </c>
      <c r="KN19" s="1">
        <v>21</v>
      </c>
      <c r="KO19" s="1">
        <v>25.89</v>
      </c>
      <c r="KP19" s="1">
        <v>78</v>
      </c>
      <c r="KQ19" s="1">
        <v>14</v>
      </c>
      <c r="KR19" s="1">
        <v>20</v>
      </c>
      <c r="KS19" s="1">
        <v>43</v>
      </c>
      <c r="KT19" s="1">
        <v>21</v>
      </c>
      <c r="KU19" s="1">
        <v>25.399000000000001</v>
      </c>
      <c r="KV19" s="1">
        <v>110</v>
      </c>
      <c r="KW19" s="1">
        <v>21</v>
      </c>
      <c r="KX19" s="1">
        <v>27</v>
      </c>
      <c r="KY19" s="1">
        <v>41</v>
      </c>
      <c r="KZ19" s="1">
        <v>18</v>
      </c>
      <c r="LA19" s="1">
        <v>28.896000000000001</v>
      </c>
      <c r="LB19" s="1">
        <v>66</v>
      </c>
      <c r="LC19" s="1">
        <v>6</v>
      </c>
      <c r="LD19" s="1">
        <v>14</v>
      </c>
      <c r="LE19" s="1">
        <v>44</v>
      </c>
      <c r="LF19" s="1">
        <v>17</v>
      </c>
      <c r="LG19" s="1">
        <v>24.425000000000001</v>
      </c>
      <c r="LH19" s="1">
        <v>117</v>
      </c>
      <c r="LI19" s="1">
        <v>19</v>
      </c>
      <c r="LJ19" s="1">
        <v>23</v>
      </c>
      <c r="LK19" s="1">
        <v>44</v>
      </c>
      <c r="LL19" s="1">
        <v>20</v>
      </c>
      <c r="LM19" s="1">
        <v>28.855</v>
      </c>
      <c r="LN19" s="1">
        <v>103</v>
      </c>
      <c r="LO19" s="1">
        <v>20</v>
      </c>
      <c r="LP19" s="1">
        <v>19</v>
      </c>
      <c r="LQ19" s="1">
        <v>45</v>
      </c>
      <c r="LR19" s="1">
        <v>23</v>
      </c>
      <c r="LS19" s="1">
        <v>27.981000000000002</v>
      </c>
      <c r="LT19" s="1">
        <v>84</v>
      </c>
      <c r="LU19" s="1">
        <v>18</v>
      </c>
      <c r="LV19" s="1">
        <v>23</v>
      </c>
      <c r="LW19" s="1">
        <v>41</v>
      </c>
      <c r="LX19" s="1">
        <v>21</v>
      </c>
      <c r="LY19" s="1">
        <v>24.681000000000001</v>
      </c>
      <c r="LZ19" s="1">
        <v>93</v>
      </c>
      <c r="MA19" s="1">
        <v>12</v>
      </c>
      <c r="MB19" s="1">
        <v>22</v>
      </c>
      <c r="MC19" s="1">
        <v>41</v>
      </c>
      <c r="MD19" s="1">
        <v>17</v>
      </c>
      <c r="ME19" s="1">
        <v>26.531000000000002</v>
      </c>
      <c r="MF19" s="1">
        <v>110</v>
      </c>
      <c r="MG19" s="1">
        <v>26</v>
      </c>
      <c r="MH19" s="1">
        <v>20</v>
      </c>
      <c r="MI19" s="1">
        <v>42</v>
      </c>
      <c r="MJ19" s="1">
        <v>18</v>
      </c>
      <c r="MK19" s="1">
        <v>27.62</v>
      </c>
      <c r="ML19" s="1">
        <v>69</v>
      </c>
      <c r="MM19" s="1">
        <v>8</v>
      </c>
      <c r="MN19" s="1">
        <v>21</v>
      </c>
      <c r="MO19" s="1">
        <v>45</v>
      </c>
      <c r="MP19" s="1">
        <v>23</v>
      </c>
      <c r="MQ19" s="1">
        <v>23.624000000000002</v>
      </c>
      <c r="MR19" s="1">
        <v>102</v>
      </c>
      <c r="MS19" s="1">
        <v>17</v>
      </c>
      <c r="MT19" s="1">
        <v>19</v>
      </c>
      <c r="MU19" s="1">
        <v>42</v>
      </c>
      <c r="MV19" s="1">
        <v>20</v>
      </c>
      <c r="MW19" s="1">
        <v>28.748000000000001</v>
      </c>
    </row>
    <row r="20" spans="1:361">
      <c r="A20" s="1">
        <v>17</v>
      </c>
      <c r="B20" s="1">
        <v>68</v>
      </c>
      <c r="C20" s="1">
        <v>17</v>
      </c>
      <c r="D20" s="1">
        <v>14</v>
      </c>
      <c r="E20" s="1">
        <v>38</v>
      </c>
      <c r="F20" s="1">
        <v>19</v>
      </c>
      <c r="G20" s="1">
        <v>23.041</v>
      </c>
      <c r="H20" s="1">
        <v>126</v>
      </c>
      <c r="I20" s="1">
        <v>16</v>
      </c>
      <c r="J20" s="1">
        <v>28</v>
      </c>
      <c r="K20" s="1">
        <v>45</v>
      </c>
      <c r="L20" s="1">
        <v>23</v>
      </c>
      <c r="M20" s="1">
        <v>31.248000000000001</v>
      </c>
      <c r="N20" s="1">
        <v>112</v>
      </c>
      <c r="O20" s="1">
        <v>11</v>
      </c>
      <c r="P20" s="1">
        <v>24</v>
      </c>
      <c r="Q20" s="1">
        <v>40</v>
      </c>
      <c r="R20" s="1">
        <v>20</v>
      </c>
      <c r="S20" s="1">
        <v>27.678000000000001</v>
      </c>
      <c r="T20" s="1">
        <v>69</v>
      </c>
      <c r="U20" s="1">
        <v>13</v>
      </c>
      <c r="V20" s="1">
        <v>24</v>
      </c>
      <c r="W20" s="1">
        <v>40</v>
      </c>
      <c r="X20" s="1">
        <v>21</v>
      </c>
      <c r="Y20" s="1">
        <v>22.922000000000001</v>
      </c>
      <c r="Z20" s="1">
        <v>125</v>
      </c>
      <c r="AA20" s="1">
        <v>19</v>
      </c>
      <c r="AB20" s="1">
        <v>29</v>
      </c>
      <c r="AC20" s="1">
        <v>44</v>
      </c>
      <c r="AD20" s="1">
        <v>18</v>
      </c>
      <c r="AE20" s="1">
        <v>29.57</v>
      </c>
      <c r="AF20" s="1">
        <v>67</v>
      </c>
      <c r="AG20" s="1">
        <v>17</v>
      </c>
      <c r="AH20" s="1">
        <v>13</v>
      </c>
      <c r="AI20" s="1">
        <v>42</v>
      </c>
      <c r="AJ20" s="1">
        <v>20</v>
      </c>
      <c r="AK20" s="1">
        <v>24.304000000000002</v>
      </c>
      <c r="AL20" s="1">
        <v>73</v>
      </c>
      <c r="AM20" s="1">
        <v>16</v>
      </c>
      <c r="AN20" s="1">
        <v>21</v>
      </c>
      <c r="AO20" s="1">
        <v>44</v>
      </c>
      <c r="AP20" s="1">
        <v>19</v>
      </c>
      <c r="AQ20" s="1">
        <v>25.357000000000003</v>
      </c>
      <c r="AR20" s="1">
        <v>99</v>
      </c>
      <c r="AS20" s="1">
        <v>15</v>
      </c>
      <c r="AT20" s="1">
        <v>21</v>
      </c>
      <c r="AU20" s="1">
        <v>45</v>
      </c>
      <c r="AV20" s="1">
        <v>21</v>
      </c>
      <c r="AW20" s="1">
        <v>27.64</v>
      </c>
      <c r="AX20" s="1">
        <v>84</v>
      </c>
      <c r="AY20" s="1">
        <v>25</v>
      </c>
      <c r="AZ20" s="1">
        <v>20</v>
      </c>
      <c r="BA20" s="1">
        <v>44</v>
      </c>
      <c r="BB20" s="1">
        <v>17</v>
      </c>
      <c r="BC20" s="1">
        <v>25.013000000000002</v>
      </c>
      <c r="BD20" s="1">
        <v>72</v>
      </c>
      <c r="BE20" s="1">
        <v>9</v>
      </c>
      <c r="BF20" s="1">
        <v>19</v>
      </c>
      <c r="BG20" s="1">
        <v>44</v>
      </c>
      <c r="BH20" s="1">
        <v>20</v>
      </c>
      <c r="BI20" s="1">
        <v>27.126000000000001</v>
      </c>
      <c r="BJ20" s="1">
        <v>91</v>
      </c>
      <c r="BK20" s="1">
        <v>18</v>
      </c>
      <c r="BL20" s="1">
        <v>19</v>
      </c>
      <c r="BM20" s="1">
        <v>44</v>
      </c>
      <c r="BN20" s="1">
        <v>20</v>
      </c>
      <c r="BO20" s="1">
        <v>27.397000000000002</v>
      </c>
      <c r="BP20" s="1">
        <v>96</v>
      </c>
      <c r="BQ20" s="1">
        <v>20</v>
      </c>
      <c r="BR20" s="1">
        <v>21</v>
      </c>
      <c r="BS20" s="1">
        <v>43</v>
      </c>
      <c r="BT20" s="1">
        <v>15</v>
      </c>
      <c r="BU20" s="1">
        <v>26.515000000000001</v>
      </c>
      <c r="BV20" s="1">
        <v>68</v>
      </c>
      <c r="BW20" s="1">
        <v>14</v>
      </c>
      <c r="BX20" s="1">
        <v>20</v>
      </c>
      <c r="BY20" s="1">
        <v>44</v>
      </c>
      <c r="BZ20" s="1">
        <v>16</v>
      </c>
      <c r="CA20" s="1">
        <v>23.707000000000001</v>
      </c>
      <c r="CB20" s="1">
        <v>97</v>
      </c>
      <c r="CC20" s="1">
        <v>31</v>
      </c>
      <c r="CD20" s="1">
        <v>18</v>
      </c>
      <c r="CE20" s="1">
        <v>42</v>
      </c>
      <c r="CF20" s="1">
        <v>20</v>
      </c>
      <c r="CG20" s="1">
        <v>26.209</v>
      </c>
      <c r="CH20" s="1">
        <v>71</v>
      </c>
      <c r="CI20" s="1">
        <v>10</v>
      </c>
      <c r="CJ20" s="1">
        <v>20</v>
      </c>
      <c r="CK20" s="1">
        <v>42</v>
      </c>
      <c r="CL20" s="1">
        <v>20</v>
      </c>
      <c r="CM20" s="1">
        <v>24.755000000000003</v>
      </c>
      <c r="CN20" s="1">
        <v>92</v>
      </c>
      <c r="CO20" s="1">
        <v>18</v>
      </c>
      <c r="CP20" s="1">
        <v>23</v>
      </c>
      <c r="CQ20" s="1">
        <v>42</v>
      </c>
      <c r="CR20" s="1">
        <v>23</v>
      </c>
      <c r="CS20" s="1">
        <v>26.512</v>
      </c>
      <c r="CT20" s="1">
        <v>116</v>
      </c>
      <c r="CU20" s="1">
        <v>19</v>
      </c>
      <c r="CV20" s="1">
        <v>21</v>
      </c>
      <c r="CW20" s="1">
        <v>44</v>
      </c>
      <c r="CX20" s="1">
        <v>21</v>
      </c>
      <c r="CY20" s="1">
        <v>29.01</v>
      </c>
      <c r="CZ20" s="1">
        <v>72</v>
      </c>
      <c r="DA20" s="1">
        <v>18</v>
      </c>
      <c r="DB20" s="1">
        <v>21</v>
      </c>
      <c r="DC20" s="1">
        <v>43</v>
      </c>
      <c r="DD20" s="1">
        <v>19</v>
      </c>
      <c r="DE20" s="1">
        <v>24.673000000000002</v>
      </c>
      <c r="DF20" s="1">
        <v>117</v>
      </c>
      <c r="DG20" s="1">
        <v>23</v>
      </c>
      <c r="DH20" s="1">
        <v>26</v>
      </c>
      <c r="DI20" s="1">
        <v>45</v>
      </c>
      <c r="DJ20" s="1">
        <v>19</v>
      </c>
      <c r="DK20" s="1">
        <v>28.371000000000002</v>
      </c>
      <c r="DL20" s="1">
        <v>103</v>
      </c>
      <c r="DM20" s="1">
        <v>23</v>
      </c>
      <c r="DN20" s="1">
        <v>21</v>
      </c>
      <c r="DO20" s="1">
        <v>39</v>
      </c>
      <c r="DP20" s="1">
        <v>17</v>
      </c>
      <c r="DQ20" s="1">
        <v>26.372</v>
      </c>
      <c r="DR20" s="1">
        <v>93</v>
      </c>
      <c r="DS20" s="1">
        <v>13</v>
      </c>
      <c r="DT20" s="1">
        <v>25</v>
      </c>
      <c r="DU20" s="1">
        <v>43</v>
      </c>
      <c r="DV20" s="1">
        <v>20</v>
      </c>
      <c r="DW20" s="1">
        <v>28.612000000000002</v>
      </c>
      <c r="DX20" s="1">
        <v>69</v>
      </c>
      <c r="DY20" s="1">
        <v>12</v>
      </c>
      <c r="DZ20" s="1">
        <v>21</v>
      </c>
      <c r="EA20" s="1">
        <v>39</v>
      </c>
      <c r="EB20" s="1">
        <v>21</v>
      </c>
      <c r="EC20" s="1">
        <v>26.878</v>
      </c>
      <c r="ED20" s="1">
        <v>68</v>
      </c>
      <c r="EE20" s="1">
        <v>10</v>
      </c>
      <c r="EF20" s="1">
        <v>15</v>
      </c>
      <c r="EG20" s="1">
        <v>44</v>
      </c>
      <c r="EH20" s="1">
        <v>19</v>
      </c>
      <c r="EI20" s="1">
        <v>25.633000000000003</v>
      </c>
      <c r="EJ20" s="1">
        <v>78</v>
      </c>
      <c r="EK20" s="1">
        <v>24</v>
      </c>
      <c r="EL20" s="1">
        <v>20</v>
      </c>
      <c r="EM20" s="1">
        <v>47</v>
      </c>
      <c r="EN20" s="1">
        <v>20</v>
      </c>
      <c r="EO20" s="1">
        <v>25.998000000000001</v>
      </c>
      <c r="EP20" s="1">
        <v>95</v>
      </c>
      <c r="EQ20" s="1">
        <v>22</v>
      </c>
      <c r="ER20" s="1">
        <v>24</v>
      </c>
      <c r="ES20" s="1">
        <v>41</v>
      </c>
      <c r="ET20" s="1">
        <v>19</v>
      </c>
      <c r="EU20" s="1">
        <v>24.599</v>
      </c>
      <c r="EV20" s="1">
        <v>66</v>
      </c>
      <c r="EW20" s="1">
        <v>19</v>
      </c>
      <c r="EX20" s="1">
        <v>21</v>
      </c>
      <c r="EY20" s="1">
        <v>41</v>
      </c>
      <c r="EZ20" s="1">
        <v>16</v>
      </c>
      <c r="FA20" s="1">
        <v>26.108000000000001</v>
      </c>
      <c r="FB20" s="1">
        <v>121</v>
      </c>
      <c r="FC20" s="1">
        <v>23</v>
      </c>
      <c r="FD20" s="1">
        <v>25</v>
      </c>
      <c r="FE20" s="1">
        <v>40</v>
      </c>
      <c r="FF20" s="1">
        <v>22</v>
      </c>
      <c r="FG20" s="1">
        <v>27.089000000000002</v>
      </c>
      <c r="FH20" s="1">
        <v>90</v>
      </c>
      <c r="FI20" s="1">
        <v>16</v>
      </c>
      <c r="FJ20" s="1">
        <v>23</v>
      </c>
      <c r="FK20" s="1">
        <v>45</v>
      </c>
      <c r="FL20" s="1">
        <v>22</v>
      </c>
      <c r="FM20" s="1">
        <v>28.515000000000001</v>
      </c>
      <c r="FN20" s="1">
        <v>127</v>
      </c>
      <c r="FO20" s="1">
        <v>23</v>
      </c>
      <c r="FP20" s="1">
        <v>23</v>
      </c>
      <c r="FQ20" s="1">
        <v>40</v>
      </c>
      <c r="FR20" s="1">
        <v>23</v>
      </c>
      <c r="FS20" s="1">
        <v>28.633000000000003</v>
      </c>
      <c r="FT20" s="1">
        <v>116</v>
      </c>
      <c r="FU20" s="1">
        <v>29</v>
      </c>
      <c r="FV20" s="1">
        <v>24</v>
      </c>
      <c r="FW20" s="1">
        <v>44</v>
      </c>
      <c r="FX20" s="1">
        <v>22</v>
      </c>
      <c r="FY20" s="1">
        <v>31.423000000000002</v>
      </c>
      <c r="FZ20" s="1">
        <v>104</v>
      </c>
      <c r="GA20" s="1">
        <v>17</v>
      </c>
      <c r="GB20" s="1">
        <v>21</v>
      </c>
      <c r="GC20" s="1">
        <v>42</v>
      </c>
      <c r="GD20" s="1">
        <v>17</v>
      </c>
      <c r="GE20" s="1">
        <v>27.439</v>
      </c>
      <c r="GF20" s="1">
        <v>83</v>
      </c>
      <c r="GG20" s="1">
        <v>30</v>
      </c>
      <c r="GH20" s="1">
        <v>21</v>
      </c>
      <c r="GI20" s="1">
        <v>46</v>
      </c>
      <c r="GJ20" s="1">
        <v>21</v>
      </c>
      <c r="GK20" s="1">
        <v>26.075000000000003</v>
      </c>
      <c r="GL20" s="1">
        <v>93</v>
      </c>
      <c r="GM20" s="1">
        <v>21</v>
      </c>
      <c r="GN20" s="1">
        <v>23</v>
      </c>
      <c r="GO20" s="1">
        <v>44</v>
      </c>
      <c r="GP20" s="1">
        <v>19</v>
      </c>
      <c r="GQ20" s="1">
        <v>26.826000000000001</v>
      </c>
      <c r="GR20" s="1">
        <v>89</v>
      </c>
      <c r="GS20" s="1">
        <v>18</v>
      </c>
      <c r="GT20" s="1">
        <v>22</v>
      </c>
      <c r="GU20" s="1">
        <v>44</v>
      </c>
      <c r="GV20" s="1">
        <v>20</v>
      </c>
      <c r="GW20" s="1">
        <v>29.106000000000002</v>
      </c>
      <c r="GX20" s="1">
        <v>79</v>
      </c>
      <c r="GY20" s="1">
        <v>8</v>
      </c>
      <c r="GZ20" s="1">
        <v>19</v>
      </c>
      <c r="HA20" s="1">
        <v>45</v>
      </c>
      <c r="HB20" s="1">
        <v>17</v>
      </c>
      <c r="HC20" s="1">
        <v>25.787000000000003</v>
      </c>
      <c r="HD20" s="1">
        <v>75</v>
      </c>
      <c r="HE20" s="1">
        <v>17</v>
      </c>
      <c r="HF20" s="1">
        <v>20</v>
      </c>
      <c r="HG20" s="1">
        <v>41</v>
      </c>
      <c r="HH20" s="1">
        <v>24</v>
      </c>
      <c r="HI20" s="1">
        <v>25.132000000000001</v>
      </c>
      <c r="HJ20" s="1">
        <v>85</v>
      </c>
      <c r="HK20" s="1">
        <v>20</v>
      </c>
      <c r="HL20" s="1">
        <v>19</v>
      </c>
      <c r="HM20" s="1">
        <v>43</v>
      </c>
      <c r="HN20" s="1">
        <v>19</v>
      </c>
      <c r="HO20" s="1">
        <v>26.568000000000001</v>
      </c>
      <c r="HP20" s="1">
        <v>84</v>
      </c>
      <c r="HQ20" s="1">
        <v>20</v>
      </c>
      <c r="HR20" s="1">
        <v>19</v>
      </c>
      <c r="HS20" s="1">
        <v>46</v>
      </c>
      <c r="HT20" s="1">
        <v>17</v>
      </c>
      <c r="HU20" s="1">
        <v>25.071000000000002</v>
      </c>
      <c r="HV20" s="1">
        <v>83</v>
      </c>
      <c r="HW20" s="1">
        <v>19</v>
      </c>
      <c r="HX20" s="1">
        <v>20</v>
      </c>
      <c r="HY20" s="1">
        <v>43</v>
      </c>
      <c r="HZ20" s="1">
        <v>21</v>
      </c>
      <c r="IA20" s="1">
        <v>28.235000000000003</v>
      </c>
      <c r="IB20" s="1">
        <v>72</v>
      </c>
      <c r="IC20" s="1">
        <v>16</v>
      </c>
      <c r="ID20" s="1">
        <v>20</v>
      </c>
      <c r="IE20" s="1">
        <v>45</v>
      </c>
      <c r="IF20" s="1">
        <v>20</v>
      </c>
      <c r="IG20" s="1">
        <v>25.783000000000001</v>
      </c>
      <c r="IH20" s="1">
        <v>110</v>
      </c>
      <c r="II20" s="1">
        <v>18</v>
      </c>
      <c r="IJ20" s="1">
        <v>20</v>
      </c>
      <c r="IK20" s="1">
        <v>47</v>
      </c>
      <c r="IL20" s="1">
        <v>21</v>
      </c>
      <c r="IM20" s="1">
        <v>28.883000000000003</v>
      </c>
      <c r="IN20" s="1">
        <v>119</v>
      </c>
      <c r="IO20" s="1">
        <v>24</v>
      </c>
      <c r="IP20" s="1">
        <v>28</v>
      </c>
      <c r="IQ20" s="1">
        <v>43</v>
      </c>
      <c r="IR20" s="1">
        <v>21</v>
      </c>
      <c r="IS20" s="1">
        <v>29.293000000000003</v>
      </c>
      <c r="IT20" s="1">
        <v>87</v>
      </c>
      <c r="IU20" s="1">
        <v>25</v>
      </c>
      <c r="IV20" s="1">
        <v>24</v>
      </c>
      <c r="IW20" s="1">
        <v>43</v>
      </c>
      <c r="IX20" s="1">
        <v>17</v>
      </c>
      <c r="IY20" s="1">
        <v>26.217000000000002</v>
      </c>
      <c r="IZ20" s="1">
        <v>78</v>
      </c>
      <c r="JA20" s="1">
        <v>18</v>
      </c>
      <c r="JB20" s="1">
        <v>16</v>
      </c>
      <c r="JC20" s="1">
        <v>40</v>
      </c>
      <c r="JD20" s="1">
        <v>20</v>
      </c>
      <c r="JE20" s="1">
        <v>24.471</v>
      </c>
      <c r="JF20" s="1">
        <v>80</v>
      </c>
      <c r="JG20" s="1">
        <v>13</v>
      </c>
      <c r="JH20" s="1">
        <v>17</v>
      </c>
      <c r="JI20" s="1">
        <v>43</v>
      </c>
      <c r="JJ20" s="1">
        <v>19</v>
      </c>
      <c r="JK20" s="1">
        <v>26.301000000000002</v>
      </c>
      <c r="JL20" s="1">
        <v>74</v>
      </c>
      <c r="JM20" s="1">
        <v>20</v>
      </c>
      <c r="JN20" s="1">
        <v>20</v>
      </c>
      <c r="JO20" s="1">
        <v>44</v>
      </c>
      <c r="JP20" s="1">
        <v>23</v>
      </c>
      <c r="JQ20" s="1">
        <v>27.669</v>
      </c>
      <c r="JR20" s="1">
        <v>68</v>
      </c>
      <c r="JS20" s="1">
        <v>15</v>
      </c>
      <c r="JT20" s="1">
        <v>21</v>
      </c>
      <c r="JU20" s="1">
        <v>43</v>
      </c>
      <c r="JV20" s="1">
        <v>16</v>
      </c>
      <c r="JW20" s="1">
        <v>24.641999999999999</v>
      </c>
      <c r="JX20" s="1">
        <v>99</v>
      </c>
      <c r="JY20" s="1">
        <v>19</v>
      </c>
      <c r="JZ20" s="1">
        <v>20</v>
      </c>
      <c r="KA20" s="1">
        <v>40</v>
      </c>
      <c r="KB20" s="1">
        <v>18</v>
      </c>
      <c r="KC20" s="1">
        <v>27.307000000000002</v>
      </c>
      <c r="KD20" s="1">
        <v>86</v>
      </c>
      <c r="KE20" s="1">
        <v>23</v>
      </c>
      <c r="KF20" s="1">
        <v>18</v>
      </c>
      <c r="KG20" s="1">
        <v>44</v>
      </c>
      <c r="KH20" s="1">
        <v>21</v>
      </c>
      <c r="KI20" s="1">
        <v>29.972000000000001</v>
      </c>
      <c r="KJ20" s="1">
        <v>110</v>
      </c>
      <c r="KK20" s="1">
        <v>14</v>
      </c>
      <c r="KL20" s="1">
        <v>22</v>
      </c>
      <c r="KM20" s="1">
        <v>42</v>
      </c>
      <c r="KN20" s="1">
        <v>22</v>
      </c>
      <c r="KO20" s="1">
        <v>28.3</v>
      </c>
      <c r="KP20" s="1">
        <v>117</v>
      </c>
      <c r="KQ20" s="1">
        <v>18</v>
      </c>
      <c r="KR20" s="1">
        <v>21</v>
      </c>
      <c r="KS20" s="1">
        <v>46</v>
      </c>
      <c r="KT20" s="1">
        <v>21</v>
      </c>
      <c r="KU20" s="1">
        <v>26.629000000000001</v>
      </c>
      <c r="KV20" s="1">
        <v>68</v>
      </c>
      <c r="KW20" s="1">
        <v>18</v>
      </c>
      <c r="KX20" s="1">
        <v>16</v>
      </c>
      <c r="KY20" s="1">
        <v>42</v>
      </c>
      <c r="KZ20" s="1">
        <v>25</v>
      </c>
      <c r="LA20" s="1">
        <v>25.247</v>
      </c>
      <c r="LB20" s="1">
        <v>67</v>
      </c>
      <c r="LC20" s="1">
        <v>19</v>
      </c>
      <c r="LD20" s="1">
        <v>21</v>
      </c>
      <c r="LE20" s="1">
        <v>44</v>
      </c>
      <c r="LF20" s="1">
        <v>20</v>
      </c>
      <c r="LG20" s="1">
        <v>25.447000000000003</v>
      </c>
      <c r="LH20" s="1">
        <v>80</v>
      </c>
      <c r="LI20" s="1">
        <v>18</v>
      </c>
      <c r="LJ20" s="1">
        <v>19</v>
      </c>
      <c r="LK20" s="1">
        <v>47</v>
      </c>
      <c r="LL20" s="1">
        <v>21</v>
      </c>
      <c r="LM20" s="1">
        <v>26.783000000000001</v>
      </c>
      <c r="LN20" s="1">
        <v>70</v>
      </c>
      <c r="LO20" s="1">
        <v>13</v>
      </c>
      <c r="LP20" s="1">
        <v>19</v>
      </c>
      <c r="LQ20" s="1">
        <v>42</v>
      </c>
      <c r="LR20" s="1">
        <v>20</v>
      </c>
      <c r="LS20" s="1">
        <v>25.345000000000002</v>
      </c>
      <c r="LT20" s="1">
        <v>124</v>
      </c>
      <c r="LU20" s="1">
        <v>17</v>
      </c>
      <c r="LV20" s="1">
        <v>20</v>
      </c>
      <c r="LW20" s="1">
        <v>41</v>
      </c>
      <c r="LX20" s="1">
        <v>19</v>
      </c>
      <c r="LY20" s="1">
        <v>29.449000000000002</v>
      </c>
      <c r="LZ20" s="1">
        <v>96</v>
      </c>
      <c r="MA20" s="1">
        <v>17</v>
      </c>
      <c r="MB20" s="1">
        <v>21</v>
      </c>
      <c r="MC20" s="1">
        <v>41</v>
      </c>
      <c r="MD20" s="1">
        <v>19</v>
      </c>
      <c r="ME20" s="1">
        <v>26.426000000000002</v>
      </c>
      <c r="MF20" s="1">
        <v>75</v>
      </c>
      <c r="MG20" s="1">
        <v>26</v>
      </c>
      <c r="MH20" s="1">
        <v>12</v>
      </c>
      <c r="MI20" s="1">
        <v>39</v>
      </c>
      <c r="MJ20" s="1">
        <v>18</v>
      </c>
      <c r="MK20" s="1">
        <v>23.391000000000002</v>
      </c>
      <c r="ML20" s="1">
        <v>110</v>
      </c>
      <c r="MM20" s="1">
        <v>20</v>
      </c>
      <c r="MN20" s="1">
        <v>23</v>
      </c>
      <c r="MO20" s="1">
        <v>43</v>
      </c>
      <c r="MP20" s="1">
        <v>19</v>
      </c>
      <c r="MQ20" s="1">
        <v>27.833000000000002</v>
      </c>
      <c r="MR20" s="1">
        <v>74</v>
      </c>
      <c r="MS20" s="1">
        <v>18</v>
      </c>
      <c r="MT20" s="1">
        <v>22</v>
      </c>
      <c r="MU20" s="1">
        <v>38</v>
      </c>
      <c r="MV20" s="1">
        <v>20</v>
      </c>
      <c r="MW20" s="1">
        <v>22.244</v>
      </c>
    </row>
    <row r="21" spans="1:361">
      <c r="A21" s="1">
        <v>18</v>
      </c>
      <c r="B21" s="1">
        <v>73</v>
      </c>
      <c r="C21" s="1">
        <v>20</v>
      </c>
      <c r="D21" s="1">
        <v>20</v>
      </c>
      <c r="E21" s="1">
        <v>42</v>
      </c>
      <c r="F21" s="1">
        <v>20</v>
      </c>
      <c r="G21" s="1">
        <v>24.950000000000003</v>
      </c>
      <c r="H21" s="1">
        <v>109</v>
      </c>
      <c r="I21" s="1">
        <v>16</v>
      </c>
      <c r="J21" s="1">
        <v>26</v>
      </c>
      <c r="K21" s="1">
        <v>42</v>
      </c>
      <c r="L21" s="1">
        <v>19</v>
      </c>
      <c r="M21" s="1">
        <v>25.219000000000001</v>
      </c>
      <c r="N21" s="1">
        <v>74</v>
      </c>
      <c r="O21" s="1">
        <v>17</v>
      </c>
      <c r="P21" s="1">
        <v>17</v>
      </c>
      <c r="Q21" s="1">
        <v>41</v>
      </c>
      <c r="R21" s="1">
        <v>17</v>
      </c>
      <c r="S21" s="1">
        <v>26.437000000000001</v>
      </c>
      <c r="T21" s="1">
        <v>127</v>
      </c>
      <c r="U21" s="1">
        <v>16</v>
      </c>
      <c r="V21" s="1">
        <v>24</v>
      </c>
      <c r="W21" s="1">
        <v>44</v>
      </c>
      <c r="X21" s="1">
        <v>18</v>
      </c>
      <c r="Y21" s="1">
        <v>27.702000000000002</v>
      </c>
      <c r="Z21" s="1">
        <v>119</v>
      </c>
      <c r="AA21" s="1">
        <v>24</v>
      </c>
      <c r="AB21" s="1">
        <v>20</v>
      </c>
      <c r="AC21" s="1">
        <v>44</v>
      </c>
      <c r="AD21" s="1">
        <v>19</v>
      </c>
      <c r="AE21" s="1">
        <v>29.931000000000001</v>
      </c>
      <c r="AF21" s="1">
        <v>77</v>
      </c>
      <c r="AG21" s="1">
        <v>14</v>
      </c>
      <c r="AH21" s="1">
        <v>21</v>
      </c>
      <c r="AI21" s="1">
        <v>42</v>
      </c>
      <c r="AJ21" s="1">
        <v>20</v>
      </c>
      <c r="AK21" s="1">
        <v>26.481000000000002</v>
      </c>
      <c r="AL21" s="1">
        <v>83</v>
      </c>
      <c r="AM21" s="1">
        <v>16</v>
      </c>
      <c r="AN21" s="1">
        <v>20</v>
      </c>
      <c r="AO21" s="1">
        <v>43</v>
      </c>
      <c r="AP21" s="1">
        <v>20</v>
      </c>
      <c r="AQ21" s="1">
        <v>27.138000000000002</v>
      </c>
      <c r="AR21" s="1">
        <v>87</v>
      </c>
      <c r="AS21" s="1">
        <v>11</v>
      </c>
      <c r="AT21" s="1">
        <v>24</v>
      </c>
      <c r="AU21" s="1">
        <v>47</v>
      </c>
      <c r="AV21" s="1">
        <v>22</v>
      </c>
      <c r="AW21" s="1">
        <v>27.25</v>
      </c>
      <c r="AX21" s="1">
        <v>119</v>
      </c>
      <c r="AY21" s="1">
        <v>11</v>
      </c>
      <c r="AZ21" s="1">
        <v>23</v>
      </c>
      <c r="BA21" s="1">
        <v>47</v>
      </c>
      <c r="BB21" s="1">
        <v>21</v>
      </c>
      <c r="BC21" s="1">
        <v>29.216000000000001</v>
      </c>
      <c r="BD21" s="1">
        <v>116</v>
      </c>
      <c r="BE21" s="1">
        <v>30</v>
      </c>
      <c r="BF21" s="1">
        <v>27</v>
      </c>
      <c r="BG21" s="1">
        <v>43</v>
      </c>
      <c r="BH21" s="1">
        <v>20</v>
      </c>
      <c r="BI21" s="1">
        <v>28.239000000000001</v>
      </c>
      <c r="BJ21" s="1">
        <v>72</v>
      </c>
      <c r="BK21" s="1">
        <v>18</v>
      </c>
      <c r="BL21" s="1">
        <v>21</v>
      </c>
      <c r="BM21" s="1">
        <v>41</v>
      </c>
      <c r="BN21" s="1">
        <v>22</v>
      </c>
      <c r="BO21" s="1">
        <v>23.922000000000001</v>
      </c>
      <c r="BP21" s="1">
        <v>102</v>
      </c>
      <c r="BQ21" s="1">
        <v>26</v>
      </c>
      <c r="BR21" s="1">
        <v>22</v>
      </c>
      <c r="BS21" s="1">
        <v>44</v>
      </c>
      <c r="BT21" s="1">
        <v>22</v>
      </c>
      <c r="BU21" s="1">
        <v>27.024000000000001</v>
      </c>
      <c r="BV21" s="1">
        <v>88</v>
      </c>
      <c r="BW21" s="1">
        <v>12</v>
      </c>
      <c r="BX21" s="1">
        <v>16</v>
      </c>
      <c r="BY21" s="1">
        <v>44</v>
      </c>
      <c r="BZ21" s="1">
        <v>20</v>
      </c>
      <c r="CA21" s="1">
        <v>26.818000000000001</v>
      </c>
      <c r="CB21" s="1">
        <v>73</v>
      </c>
      <c r="CC21" s="1">
        <v>10</v>
      </c>
      <c r="CD21" s="1">
        <v>21</v>
      </c>
      <c r="CE21" s="1">
        <v>40</v>
      </c>
      <c r="CF21" s="1">
        <v>19</v>
      </c>
      <c r="CG21" s="1">
        <v>25.110000000000003</v>
      </c>
      <c r="CH21" s="1">
        <v>72</v>
      </c>
      <c r="CI21" s="1">
        <v>15</v>
      </c>
      <c r="CJ21" s="1">
        <v>15</v>
      </c>
      <c r="CK21" s="1">
        <v>45</v>
      </c>
      <c r="CL21" s="1">
        <v>19</v>
      </c>
      <c r="CM21" s="1">
        <v>24.673000000000002</v>
      </c>
      <c r="CN21" s="1">
        <v>98</v>
      </c>
      <c r="CO21" s="1">
        <v>19</v>
      </c>
      <c r="CP21" s="1">
        <v>21</v>
      </c>
      <c r="CQ21" s="1">
        <v>41</v>
      </c>
      <c r="CR21" s="1">
        <v>18</v>
      </c>
      <c r="CS21" s="1">
        <v>26.464000000000002</v>
      </c>
      <c r="CT21" s="1">
        <v>124</v>
      </c>
      <c r="CU21" s="1">
        <v>16</v>
      </c>
      <c r="CV21" s="1">
        <v>25</v>
      </c>
      <c r="CW21" s="1">
        <v>44</v>
      </c>
      <c r="CX21" s="1">
        <v>19</v>
      </c>
      <c r="CY21" s="1">
        <v>29.963000000000001</v>
      </c>
      <c r="CZ21" s="1">
        <v>109</v>
      </c>
      <c r="DA21" s="1">
        <v>21</v>
      </c>
      <c r="DB21" s="1">
        <v>28</v>
      </c>
      <c r="DC21" s="1">
        <v>45</v>
      </c>
      <c r="DD21" s="1">
        <v>23</v>
      </c>
      <c r="DE21" s="1">
        <v>26.298999999999999</v>
      </c>
      <c r="DF21" s="1">
        <v>70</v>
      </c>
      <c r="DG21" s="1">
        <v>17</v>
      </c>
      <c r="DH21" s="1">
        <v>16</v>
      </c>
      <c r="DI21" s="1">
        <v>43</v>
      </c>
      <c r="DJ21" s="1">
        <v>19</v>
      </c>
      <c r="DK21" s="1">
        <v>25.602</v>
      </c>
      <c r="DL21" s="1">
        <v>79</v>
      </c>
      <c r="DM21" s="1">
        <v>18</v>
      </c>
      <c r="DN21" s="1">
        <v>19</v>
      </c>
      <c r="DO21" s="1">
        <v>45</v>
      </c>
      <c r="DP21" s="1">
        <v>19</v>
      </c>
      <c r="DQ21" s="1">
        <v>27.516999999999999</v>
      </c>
      <c r="DR21" s="1">
        <v>86</v>
      </c>
      <c r="DS21" s="1">
        <v>17</v>
      </c>
      <c r="DT21" s="1">
        <v>22</v>
      </c>
      <c r="DU21" s="1">
        <v>42</v>
      </c>
      <c r="DV21" s="1">
        <v>21</v>
      </c>
      <c r="DW21" s="1">
        <v>26.177</v>
      </c>
      <c r="DX21" s="1">
        <v>93</v>
      </c>
      <c r="DY21" s="1">
        <v>23</v>
      </c>
      <c r="DZ21" s="1">
        <v>21</v>
      </c>
      <c r="EA21" s="1">
        <v>44</v>
      </c>
      <c r="EB21" s="1">
        <v>21</v>
      </c>
      <c r="EC21" s="1">
        <v>26.636000000000003</v>
      </c>
      <c r="ED21" s="1">
        <v>93</v>
      </c>
      <c r="EE21" s="1">
        <v>18</v>
      </c>
      <c r="EF21" s="1">
        <v>20</v>
      </c>
      <c r="EG21" s="1">
        <v>39</v>
      </c>
      <c r="EH21" s="1">
        <v>22</v>
      </c>
      <c r="EI21" s="1">
        <v>27.166</v>
      </c>
      <c r="EJ21" s="1">
        <v>82</v>
      </c>
      <c r="EK21" s="1">
        <v>16</v>
      </c>
      <c r="EL21" s="1">
        <v>20</v>
      </c>
      <c r="EM21" s="1">
        <v>44</v>
      </c>
      <c r="EN21" s="1">
        <v>22</v>
      </c>
      <c r="EO21" s="1">
        <v>28.675000000000001</v>
      </c>
      <c r="EP21" s="1">
        <v>67</v>
      </c>
      <c r="EQ21" s="1">
        <v>19</v>
      </c>
      <c r="ER21" s="1">
        <v>19</v>
      </c>
      <c r="ES21" s="1">
        <v>43</v>
      </c>
      <c r="ET21" s="1">
        <v>18</v>
      </c>
      <c r="EU21" s="1">
        <v>22.738</v>
      </c>
      <c r="EV21" s="1">
        <v>66</v>
      </c>
      <c r="EW21" s="1">
        <v>20</v>
      </c>
      <c r="EX21" s="1">
        <v>21</v>
      </c>
      <c r="EY21" s="1">
        <v>39</v>
      </c>
      <c r="EZ21" s="1">
        <v>21</v>
      </c>
      <c r="FA21" s="1">
        <v>23.514000000000003</v>
      </c>
      <c r="FB21" s="1">
        <v>78</v>
      </c>
      <c r="FC21" s="1">
        <v>23</v>
      </c>
      <c r="FD21" s="1">
        <v>18</v>
      </c>
      <c r="FE21" s="1">
        <v>42</v>
      </c>
      <c r="FF21" s="1">
        <v>19</v>
      </c>
      <c r="FG21" s="1">
        <v>23.772000000000002</v>
      </c>
      <c r="FH21" s="1">
        <v>79</v>
      </c>
      <c r="FI21" s="1">
        <v>15</v>
      </c>
      <c r="FJ21" s="1">
        <v>16</v>
      </c>
      <c r="FK21" s="1">
        <v>43</v>
      </c>
      <c r="FL21" s="1">
        <v>20</v>
      </c>
      <c r="FM21" s="1">
        <v>24.768000000000001</v>
      </c>
      <c r="FN21" s="1">
        <v>79</v>
      </c>
      <c r="FO21" s="1">
        <v>23</v>
      </c>
      <c r="FP21" s="1">
        <v>24</v>
      </c>
      <c r="FQ21" s="1">
        <v>45</v>
      </c>
      <c r="FR21" s="1">
        <v>23</v>
      </c>
      <c r="FS21" s="1">
        <v>27.847000000000001</v>
      </c>
      <c r="FT21" s="1">
        <v>81</v>
      </c>
      <c r="FU21" s="1">
        <v>21</v>
      </c>
      <c r="FV21" s="1">
        <v>20</v>
      </c>
      <c r="FW21" s="1">
        <v>42</v>
      </c>
      <c r="FX21" s="1">
        <v>17</v>
      </c>
      <c r="FY21" s="1">
        <v>24.274000000000001</v>
      </c>
      <c r="FZ21" s="1">
        <v>80</v>
      </c>
      <c r="GA21" s="1">
        <v>19</v>
      </c>
      <c r="GB21" s="1">
        <v>15</v>
      </c>
      <c r="GC21" s="1">
        <v>45</v>
      </c>
      <c r="GD21" s="1">
        <v>20</v>
      </c>
      <c r="GE21" s="1">
        <v>25.589000000000002</v>
      </c>
      <c r="GF21" s="1">
        <v>65</v>
      </c>
      <c r="GG21" s="1">
        <v>19</v>
      </c>
      <c r="GH21" s="1">
        <v>18</v>
      </c>
      <c r="GI21" s="1">
        <v>45</v>
      </c>
      <c r="GJ21" s="1">
        <v>22</v>
      </c>
      <c r="GK21" s="1">
        <v>24.936</v>
      </c>
      <c r="GL21" s="1">
        <v>81</v>
      </c>
      <c r="GM21" s="1">
        <v>18</v>
      </c>
      <c r="GN21" s="1">
        <v>22</v>
      </c>
      <c r="GO21" s="1">
        <v>42</v>
      </c>
      <c r="GP21" s="1">
        <v>22</v>
      </c>
      <c r="GQ21" s="1">
        <v>23.541</v>
      </c>
      <c r="GR21" s="1">
        <v>86</v>
      </c>
      <c r="GS21" s="1">
        <v>20</v>
      </c>
      <c r="GT21" s="1">
        <v>21</v>
      </c>
      <c r="GU21" s="1">
        <v>40</v>
      </c>
      <c r="GV21" s="1">
        <v>24</v>
      </c>
      <c r="GW21" s="1">
        <v>24.542000000000002</v>
      </c>
      <c r="GX21" s="1">
        <v>70</v>
      </c>
      <c r="GY21" s="1">
        <v>14</v>
      </c>
      <c r="GZ21" s="1">
        <v>20</v>
      </c>
      <c r="HA21" s="1">
        <v>42</v>
      </c>
      <c r="HB21" s="1">
        <v>18</v>
      </c>
      <c r="HC21" s="1">
        <v>25.531000000000002</v>
      </c>
      <c r="HD21" s="1">
        <v>74</v>
      </c>
      <c r="HE21" s="1">
        <v>21</v>
      </c>
      <c r="HF21" s="1">
        <v>18</v>
      </c>
      <c r="HG21" s="1">
        <v>44</v>
      </c>
      <c r="HH21" s="1">
        <v>20</v>
      </c>
      <c r="HI21" s="1">
        <v>26.879000000000001</v>
      </c>
      <c r="HJ21" s="1">
        <v>126</v>
      </c>
      <c r="HK21" s="1">
        <v>17</v>
      </c>
      <c r="HL21" s="1">
        <v>23</v>
      </c>
      <c r="HM21" s="1">
        <v>44</v>
      </c>
      <c r="HN21" s="1">
        <v>21</v>
      </c>
      <c r="HO21" s="1">
        <v>28.912000000000003</v>
      </c>
      <c r="HP21" s="1">
        <v>119</v>
      </c>
      <c r="HQ21" s="1">
        <v>15</v>
      </c>
      <c r="HR21" s="1">
        <v>24</v>
      </c>
      <c r="HS21" s="1">
        <v>44</v>
      </c>
      <c r="HT21" s="1">
        <v>23</v>
      </c>
      <c r="HU21" s="1">
        <v>30.543000000000003</v>
      </c>
      <c r="HV21" s="1">
        <v>116</v>
      </c>
      <c r="HW21" s="1">
        <v>24</v>
      </c>
      <c r="HX21" s="1">
        <v>25</v>
      </c>
      <c r="HY21" s="1">
        <v>44</v>
      </c>
      <c r="HZ21" s="1">
        <v>21</v>
      </c>
      <c r="IA21" s="1">
        <v>28.05</v>
      </c>
      <c r="IB21" s="1">
        <v>126</v>
      </c>
      <c r="IC21" s="1">
        <v>20</v>
      </c>
      <c r="ID21" s="1">
        <v>27</v>
      </c>
      <c r="IE21" s="1">
        <v>43</v>
      </c>
      <c r="IF21" s="1">
        <v>20</v>
      </c>
      <c r="IG21" s="1">
        <v>29.057000000000002</v>
      </c>
      <c r="IH21" s="1">
        <v>86</v>
      </c>
      <c r="II21" s="1">
        <v>25</v>
      </c>
      <c r="IJ21" s="1">
        <v>21</v>
      </c>
      <c r="IK21" s="1">
        <v>42</v>
      </c>
      <c r="IL21" s="1">
        <v>19</v>
      </c>
      <c r="IM21" s="1">
        <v>27.417000000000002</v>
      </c>
      <c r="IN21" s="1">
        <v>113</v>
      </c>
      <c r="IO21" s="1">
        <v>21</v>
      </c>
      <c r="IP21" s="1">
        <v>24</v>
      </c>
      <c r="IQ21" s="1">
        <v>41</v>
      </c>
      <c r="IR21" s="1">
        <v>17</v>
      </c>
      <c r="IS21" s="1">
        <v>29.507000000000001</v>
      </c>
      <c r="IT21" s="1">
        <v>118</v>
      </c>
      <c r="IU21" s="1">
        <v>20</v>
      </c>
      <c r="IV21" s="1">
        <v>25</v>
      </c>
      <c r="IW21" s="1">
        <v>43</v>
      </c>
      <c r="IX21" s="1">
        <v>19</v>
      </c>
      <c r="IY21" s="1">
        <v>28.287000000000003</v>
      </c>
      <c r="IZ21" s="1">
        <v>129</v>
      </c>
      <c r="JA21" s="1">
        <v>22</v>
      </c>
      <c r="JB21" s="1">
        <v>26</v>
      </c>
      <c r="JC21" s="1">
        <v>42</v>
      </c>
      <c r="JD21" s="1">
        <v>20</v>
      </c>
      <c r="JE21" s="1">
        <v>29.28</v>
      </c>
      <c r="JF21" s="1">
        <v>83</v>
      </c>
      <c r="JG21" s="1">
        <v>26</v>
      </c>
      <c r="JH21" s="1">
        <v>18</v>
      </c>
      <c r="JI21" s="1">
        <v>42</v>
      </c>
      <c r="JJ21" s="1">
        <v>17</v>
      </c>
      <c r="JK21" s="1">
        <v>24.691000000000003</v>
      </c>
      <c r="JL21" s="1">
        <v>71</v>
      </c>
      <c r="JM21" s="1">
        <v>21</v>
      </c>
      <c r="JN21" s="1">
        <v>19</v>
      </c>
      <c r="JO21" s="1">
        <v>45</v>
      </c>
      <c r="JP21" s="1">
        <v>21</v>
      </c>
      <c r="JQ21" s="1">
        <v>25.675000000000001</v>
      </c>
      <c r="JR21" s="1">
        <v>125</v>
      </c>
      <c r="JS21" s="1">
        <v>24</v>
      </c>
      <c r="JT21" s="1">
        <v>25</v>
      </c>
      <c r="JU21" s="1">
        <v>42</v>
      </c>
      <c r="JV21" s="1">
        <v>17</v>
      </c>
      <c r="JW21" s="1">
        <v>27.952000000000002</v>
      </c>
      <c r="JX21" s="1">
        <v>76</v>
      </c>
      <c r="JY21" s="1">
        <v>16</v>
      </c>
      <c r="JZ21" s="1">
        <v>21</v>
      </c>
      <c r="KA21" s="1">
        <v>43</v>
      </c>
      <c r="KB21" s="1">
        <v>15</v>
      </c>
      <c r="KC21" s="1">
        <v>24.790000000000003</v>
      </c>
      <c r="KD21" s="1">
        <v>75</v>
      </c>
      <c r="KE21" s="1">
        <v>13</v>
      </c>
      <c r="KF21" s="1">
        <v>17</v>
      </c>
      <c r="KG21" s="1">
        <v>41</v>
      </c>
      <c r="KH21" s="1">
        <v>19</v>
      </c>
      <c r="KI21" s="1">
        <v>24.41</v>
      </c>
      <c r="KJ21" s="1">
        <v>114</v>
      </c>
      <c r="KK21" s="1">
        <v>17</v>
      </c>
      <c r="KL21" s="1">
        <v>25</v>
      </c>
      <c r="KM21" s="1">
        <v>46</v>
      </c>
      <c r="KN21" s="1">
        <v>19</v>
      </c>
      <c r="KO21" s="1">
        <v>29.086000000000002</v>
      </c>
      <c r="KP21" s="1">
        <v>67</v>
      </c>
      <c r="KQ21" s="1">
        <v>19</v>
      </c>
      <c r="KR21" s="1">
        <v>20</v>
      </c>
      <c r="KS21" s="1">
        <v>43</v>
      </c>
      <c r="KT21" s="1">
        <v>20</v>
      </c>
      <c r="KU21" s="1">
        <v>25.965</v>
      </c>
      <c r="KV21" s="1">
        <v>103</v>
      </c>
      <c r="KW21" s="1">
        <v>17</v>
      </c>
      <c r="KX21" s="1">
        <v>21</v>
      </c>
      <c r="KY21" s="1">
        <v>44</v>
      </c>
      <c r="KZ21" s="1">
        <v>19</v>
      </c>
      <c r="LA21" s="1">
        <v>28.191000000000003</v>
      </c>
      <c r="LB21" s="1">
        <v>97</v>
      </c>
      <c r="LC21" s="1">
        <v>23</v>
      </c>
      <c r="LD21" s="1">
        <v>22</v>
      </c>
      <c r="LE21" s="1">
        <v>44</v>
      </c>
      <c r="LF21" s="1">
        <v>21</v>
      </c>
      <c r="LG21" s="1">
        <v>26.632000000000001</v>
      </c>
      <c r="LH21" s="1">
        <v>95</v>
      </c>
      <c r="LI21" s="1">
        <v>20</v>
      </c>
      <c r="LJ21" s="1">
        <v>21</v>
      </c>
      <c r="LK21" s="1">
        <v>44</v>
      </c>
      <c r="LL21" s="1">
        <v>18</v>
      </c>
      <c r="LM21" s="1">
        <v>27.353000000000002</v>
      </c>
      <c r="LN21" s="1">
        <v>70</v>
      </c>
      <c r="LO21" s="1">
        <v>19</v>
      </c>
      <c r="LP21" s="1">
        <v>13</v>
      </c>
      <c r="LQ21" s="1">
        <v>43</v>
      </c>
      <c r="LR21" s="1">
        <v>19</v>
      </c>
      <c r="LS21" s="1">
        <v>25.234000000000002</v>
      </c>
      <c r="LT21" s="1">
        <v>108</v>
      </c>
      <c r="LU21" s="1">
        <v>22</v>
      </c>
      <c r="LV21" s="1">
        <v>19</v>
      </c>
      <c r="LW21" s="1">
        <v>44</v>
      </c>
      <c r="LX21" s="1">
        <v>23</v>
      </c>
      <c r="LY21" s="1">
        <v>27.296000000000003</v>
      </c>
      <c r="LZ21" s="1">
        <v>93</v>
      </c>
      <c r="MA21" s="1">
        <v>9</v>
      </c>
      <c r="MB21" s="1">
        <v>22</v>
      </c>
      <c r="MC21" s="1">
        <v>45</v>
      </c>
      <c r="MD21" s="1">
        <v>17</v>
      </c>
      <c r="ME21" s="1">
        <v>26.468</v>
      </c>
      <c r="MF21" s="1">
        <v>109</v>
      </c>
      <c r="MG21" s="1">
        <v>14</v>
      </c>
      <c r="MH21" s="1">
        <v>24</v>
      </c>
      <c r="MI21" s="1">
        <v>41</v>
      </c>
      <c r="MJ21" s="1">
        <v>21</v>
      </c>
      <c r="MK21" s="1">
        <v>26.679000000000002</v>
      </c>
      <c r="ML21" s="1">
        <v>122</v>
      </c>
      <c r="MM21" s="1">
        <v>16</v>
      </c>
      <c r="MN21" s="1">
        <v>21</v>
      </c>
      <c r="MO21" s="1">
        <v>43</v>
      </c>
      <c r="MP21" s="1">
        <v>17</v>
      </c>
      <c r="MQ21" s="1">
        <v>26.692</v>
      </c>
      <c r="MR21" s="1">
        <v>119</v>
      </c>
      <c r="MS21" s="1">
        <v>26</v>
      </c>
      <c r="MT21" s="1">
        <v>20</v>
      </c>
      <c r="MU21" s="1">
        <v>45</v>
      </c>
      <c r="MV21" s="1">
        <v>21</v>
      </c>
      <c r="MW21" s="1">
        <v>28.801000000000002</v>
      </c>
    </row>
    <row r="22" spans="1:361">
      <c r="A22" s="1">
        <v>19</v>
      </c>
      <c r="B22" s="1">
        <v>71</v>
      </c>
      <c r="C22" s="1">
        <v>27</v>
      </c>
      <c r="D22" s="1">
        <v>18</v>
      </c>
      <c r="E22" s="1">
        <v>44</v>
      </c>
      <c r="F22" s="1">
        <v>20</v>
      </c>
      <c r="G22" s="1">
        <v>23.973000000000003</v>
      </c>
      <c r="H22" s="1">
        <v>89</v>
      </c>
      <c r="I22" s="1">
        <v>18</v>
      </c>
      <c r="J22" s="1">
        <v>21</v>
      </c>
      <c r="K22" s="1">
        <v>43</v>
      </c>
      <c r="L22" s="1">
        <v>16</v>
      </c>
      <c r="M22" s="1">
        <v>28.044</v>
      </c>
      <c r="N22" s="1">
        <v>82</v>
      </c>
      <c r="O22" s="1">
        <v>14</v>
      </c>
      <c r="P22" s="1">
        <v>22</v>
      </c>
      <c r="Q22" s="1">
        <v>41</v>
      </c>
      <c r="R22" s="1">
        <v>18</v>
      </c>
      <c r="S22" s="1">
        <v>24.632000000000001</v>
      </c>
      <c r="T22" s="1">
        <v>76</v>
      </c>
      <c r="U22" s="1">
        <v>27</v>
      </c>
      <c r="V22" s="1">
        <v>22</v>
      </c>
      <c r="W22" s="1">
        <v>42</v>
      </c>
      <c r="X22" s="1">
        <v>21</v>
      </c>
      <c r="Y22" s="1">
        <v>25.627000000000002</v>
      </c>
      <c r="Z22" s="1">
        <v>107</v>
      </c>
      <c r="AA22" s="1">
        <v>24</v>
      </c>
      <c r="AB22" s="1">
        <v>22</v>
      </c>
      <c r="AC22" s="1">
        <v>41</v>
      </c>
      <c r="AD22" s="1">
        <v>23</v>
      </c>
      <c r="AE22" s="1">
        <v>27.921000000000003</v>
      </c>
      <c r="AF22" s="1">
        <v>124</v>
      </c>
      <c r="AG22" s="1">
        <v>27</v>
      </c>
      <c r="AH22" s="1">
        <v>27</v>
      </c>
      <c r="AI22" s="1">
        <v>46</v>
      </c>
      <c r="AJ22" s="1">
        <v>21</v>
      </c>
      <c r="AK22" s="1">
        <v>30.298999999999999</v>
      </c>
      <c r="AL22" s="1">
        <v>86</v>
      </c>
      <c r="AM22" s="1">
        <v>20</v>
      </c>
      <c r="AN22" s="1">
        <v>18</v>
      </c>
      <c r="AO22" s="1">
        <v>41</v>
      </c>
      <c r="AP22" s="1">
        <v>17</v>
      </c>
      <c r="AQ22" s="1">
        <v>24.699000000000002</v>
      </c>
      <c r="AR22" s="1">
        <v>110</v>
      </c>
      <c r="AS22" s="1">
        <v>18</v>
      </c>
      <c r="AT22" s="1">
        <v>21</v>
      </c>
      <c r="AU22" s="1">
        <v>40</v>
      </c>
      <c r="AV22" s="1">
        <v>19</v>
      </c>
      <c r="AW22" s="1">
        <v>29.853000000000002</v>
      </c>
      <c r="AX22" s="1">
        <v>94</v>
      </c>
      <c r="AY22" s="1">
        <v>22</v>
      </c>
      <c r="AZ22" s="1">
        <v>23</v>
      </c>
      <c r="BA22" s="1">
        <v>41</v>
      </c>
      <c r="BB22" s="1">
        <v>20</v>
      </c>
      <c r="BC22" s="1">
        <v>25.687000000000001</v>
      </c>
      <c r="BD22" s="1">
        <v>103</v>
      </c>
      <c r="BE22" s="1">
        <v>19</v>
      </c>
      <c r="BF22" s="1">
        <v>24</v>
      </c>
      <c r="BG22" s="1">
        <v>43</v>
      </c>
      <c r="BH22" s="1">
        <v>22</v>
      </c>
      <c r="BI22" s="1">
        <v>26.654</v>
      </c>
      <c r="BJ22" s="1">
        <v>75</v>
      </c>
      <c r="BK22" s="1">
        <v>15</v>
      </c>
      <c r="BL22" s="1">
        <v>19</v>
      </c>
      <c r="BM22" s="1">
        <v>42</v>
      </c>
      <c r="BN22" s="1">
        <v>21</v>
      </c>
      <c r="BO22" s="1">
        <v>28.277000000000001</v>
      </c>
      <c r="BP22" s="1">
        <v>82</v>
      </c>
      <c r="BQ22" s="1">
        <v>20</v>
      </c>
      <c r="BR22" s="1">
        <v>25</v>
      </c>
      <c r="BS22" s="1">
        <v>46</v>
      </c>
      <c r="BT22" s="1">
        <v>21</v>
      </c>
      <c r="BU22" s="1">
        <v>25.337</v>
      </c>
      <c r="BV22" s="1">
        <v>111</v>
      </c>
      <c r="BW22" s="1">
        <v>24</v>
      </c>
      <c r="BX22" s="1">
        <v>20</v>
      </c>
      <c r="BY22" s="1">
        <v>43</v>
      </c>
      <c r="BZ22" s="1">
        <v>23</v>
      </c>
      <c r="CA22" s="1">
        <v>27.519000000000002</v>
      </c>
      <c r="CB22" s="1">
        <v>105</v>
      </c>
      <c r="CC22" s="1">
        <v>23</v>
      </c>
      <c r="CD22" s="1">
        <v>24</v>
      </c>
      <c r="CE22" s="1">
        <v>43</v>
      </c>
      <c r="CF22" s="1">
        <v>21</v>
      </c>
      <c r="CG22" s="1">
        <v>28.759</v>
      </c>
      <c r="CH22" s="1">
        <v>71</v>
      </c>
      <c r="CI22" s="1">
        <v>15</v>
      </c>
      <c r="CJ22" s="1">
        <v>17</v>
      </c>
      <c r="CK22" s="1">
        <v>44</v>
      </c>
      <c r="CL22" s="1">
        <v>18</v>
      </c>
      <c r="CM22" s="1">
        <v>24.168000000000003</v>
      </c>
      <c r="CN22" s="1">
        <v>93</v>
      </c>
      <c r="CO22" s="1">
        <v>25</v>
      </c>
      <c r="CP22" s="1">
        <v>22</v>
      </c>
      <c r="CQ22" s="1">
        <v>44</v>
      </c>
      <c r="CR22" s="1">
        <v>20</v>
      </c>
      <c r="CS22" s="1">
        <v>28.681000000000001</v>
      </c>
      <c r="CT22" s="1">
        <v>87</v>
      </c>
      <c r="CU22" s="1">
        <v>15</v>
      </c>
      <c r="CV22" s="1">
        <v>17</v>
      </c>
      <c r="CW22" s="1">
        <v>39</v>
      </c>
      <c r="CX22" s="1">
        <v>19</v>
      </c>
      <c r="CY22" s="1">
        <v>25.677</v>
      </c>
      <c r="CZ22" s="1">
        <v>113</v>
      </c>
      <c r="DA22" s="1">
        <v>19</v>
      </c>
      <c r="DB22" s="1">
        <v>29</v>
      </c>
      <c r="DC22" s="1">
        <v>42</v>
      </c>
      <c r="DD22" s="1">
        <v>22</v>
      </c>
      <c r="DE22" s="1">
        <v>27.956</v>
      </c>
      <c r="DF22" s="1">
        <v>89</v>
      </c>
      <c r="DG22" s="1">
        <v>20</v>
      </c>
      <c r="DH22" s="1">
        <v>25</v>
      </c>
      <c r="DI22" s="1">
        <v>44</v>
      </c>
      <c r="DJ22" s="1">
        <v>25</v>
      </c>
      <c r="DK22" s="1">
        <v>26.035</v>
      </c>
      <c r="DL22" s="1">
        <v>68</v>
      </c>
      <c r="DM22" s="1">
        <v>17</v>
      </c>
      <c r="DN22" s="1">
        <v>16</v>
      </c>
      <c r="DO22" s="1">
        <v>41</v>
      </c>
      <c r="DP22" s="1">
        <v>17</v>
      </c>
      <c r="DQ22" s="1">
        <v>24.229000000000003</v>
      </c>
      <c r="DR22" s="1">
        <v>87</v>
      </c>
      <c r="DS22" s="1">
        <v>26</v>
      </c>
      <c r="DT22" s="1">
        <v>15</v>
      </c>
      <c r="DU22" s="1">
        <v>41</v>
      </c>
      <c r="DV22" s="1">
        <v>19</v>
      </c>
      <c r="DW22" s="1">
        <v>25.796000000000003</v>
      </c>
      <c r="DX22" s="1">
        <v>82</v>
      </c>
      <c r="DY22" s="1">
        <v>14</v>
      </c>
      <c r="DZ22" s="1">
        <v>21</v>
      </c>
      <c r="EA22" s="1">
        <v>39</v>
      </c>
      <c r="EB22" s="1">
        <v>20</v>
      </c>
      <c r="EC22" s="1">
        <v>25.812000000000001</v>
      </c>
      <c r="ED22" s="1">
        <v>112</v>
      </c>
      <c r="EE22" s="1">
        <v>23</v>
      </c>
      <c r="EF22" s="1">
        <v>21</v>
      </c>
      <c r="EG22" s="1">
        <v>43</v>
      </c>
      <c r="EH22" s="1">
        <v>21</v>
      </c>
      <c r="EI22" s="1">
        <v>30.269000000000002</v>
      </c>
      <c r="EJ22" s="1">
        <v>71</v>
      </c>
      <c r="EK22" s="1">
        <v>11</v>
      </c>
      <c r="EL22" s="1">
        <v>13</v>
      </c>
      <c r="EM22" s="1">
        <v>41</v>
      </c>
      <c r="EN22" s="1">
        <v>18</v>
      </c>
      <c r="EO22" s="1">
        <v>24.704000000000001</v>
      </c>
      <c r="EP22" s="1">
        <v>125</v>
      </c>
      <c r="EQ22" s="1">
        <v>25</v>
      </c>
      <c r="ER22" s="1">
        <v>24</v>
      </c>
      <c r="ES22" s="1">
        <v>43</v>
      </c>
      <c r="ET22" s="1">
        <v>19</v>
      </c>
      <c r="EU22" s="1">
        <v>29.735000000000003</v>
      </c>
      <c r="EV22" s="1">
        <v>113</v>
      </c>
      <c r="EW22" s="1">
        <v>19</v>
      </c>
      <c r="EX22" s="1">
        <v>26</v>
      </c>
      <c r="EY22" s="1">
        <v>44</v>
      </c>
      <c r="EZ22" s="1">
        <v>19</v>
      </c>
      <c r="FA22" s="1">
        <v>29.835000000000001</v>
      </c>
      <c r="FB22" s="1">
        <v>104</v>
      </c>
      <c r="FC22" s="1">
        <v>15</v>
      </c>
      <c r="FD22" s="1">
        <v>20</v>
      </c>
      <c r="FE22" s="1">
        <v>42</v>
      </c>
      <c r="FF22" s="1">
        <v>17</v>
      </c>
      <c r="FG22" s="1">
        <v>27.538</v>
      </c>
      <c r="FH22" s="1">
        <v>101</v>
      </c>
      <c r="FI22" s="1">
        <v>19</v>
      </c>
      <c r="FJ22" s="1">
        <v>26</v>
      </c>
      <c r="FK22" s="1">
        <v>41</v>
      </c>
      <c r="FL22" s="1">
        <v>20</v>
      </c>
      <c r="FM22" s="1">
        <v>28.106000000000002</v>
      </c>
      <c r="FN22" s="1">
        <v>129</v>
      </c>
      <c r="FO22" s="1">
        <v>19</v>
      </c>
      <c r="FP22" s="1">
        <v>22</v>
      </c>
      <c r="FQ22" s="1">
        <v>41</v>
      </c>
      <c r="FR22" s="1">
        <v>15</v>
      </c>
      <c r="FS22" s="1">
        <v>26.39</v>
      </c>
      <c r="FT22" s="1">
        <v>119</v>
      </c>
      <c r="FU22" s="1">
        <v>21</v>
      </c>
      <c r="FV22" s="1">
        <v>25</v>
      </c>
      <c r="FW22" s="1">
        <v>42</v>
      </c>
      <c r="FX22" s="1">
        <v>18</v>
      </c>
      <c r="FY22" s="1">
        <v>25.970000000000002</v>
      </c>
      <c r="FZ22" s="1">
        <v>70</v>
      </c>
      <c r="GA22" s="1">
        <v>9</v>
      </c>
      <c r="GB22" s="1">
        <v>23</v>
      </c>
      <c r="GC22" s="1">
        <v>42</v>
      </c>
      <c r="GD22" s="1">
        <v>20</v>
      </c>
      <c r="GE22" s="1">
        <v>23.939</v>
      </c>
      <c r="GF22" s="1">
        <v>84</v>
      </c>
      <c r="GG22" s="1">
        <v>19</v>
      </c>
      <c r="GH22" s="1">
        <v>20</v>
      </c>
      <c r="GI22" s="1">
        <v>43</v>
      </c>
      <c r="GJ22" s="1">
        <v>19</v>
      </c>
      <c r="GK22" s="1">
        <v>27.419</v>
      </c>
      <c r="GL22" s="1">
        <v>106</v>
      </c>
      <c r="GM22" s="1">
        <v>24</v>
      </c>
      <c r="GN22" s="1">
        <v>23</v>
      </c>
      <c r="GO22" s="1">
        <v>40</v>
      </c>
      <c r="GP22" s="1">
        <v>19</v>
      </c>
      <c r="GQ22" s="1">
        <v>27.654</v>
      </c>
      <c r="GR22" s="1">
        <v>77</v>
      </c>
      <c r="GS22" s="1">
        <v>21</v>
      </c>
      <c r="GT22" s="1">
        <v>23</v>
      </c>
      <c r="GU22" s="1">
        <v>44</v>
      </c>
      <c r="GV22" s="1">
        <v>20</v>
      </c>
      <c r="GW22" s="1">
        <v>23.241</v>
      </c>
      <c r="GX22" s="1">
        <v>91</v>
      </c>
      <c r="GY22" s="1">
        <v>19</v>
      </c>
      <c r="GZ22" s="1">
        <v>22</v>
      </c>
      <c r="HA22" s="1">
        <v>44</v>
      </c>
      <c r="HB22" s="1">
        <v>21</v>
      </c>
      <c r="HC22" s="1">
        <v>27.249000000000002</v>
      </c>
      <c r="HD22" s="1">
        <v>90</v>
      </c>
      <c r="HE22" s="1">
        <v>4</v>
      </c>
      <c r="HF22" s="1">
        <v>18</v>
      </c>
      <c r="HG22" s="1">
        <v>41</v>
      </c>
      <c r="HH22" s="1">
        <v>23</v>
      </c>
      <c r="HI22" s="1">
        <v>25.997</v>
      </c>
      <c r="HJ22" s="1">
        <v>118</v>
      </c>
      <c r="HK22" s="1">
        <v>14</v>
      </c>
      <c r="HL22" s="1">
        <v>25</v>
      </c>
      <c r="HM22" s="1">
        <v>43</v>
      </c>
      <c r="HN22" s="1">
        <v>21</v>
      </c>
      <c r="HO22" s="1">
        <v>29.819000000000003</v>
      </c>
      <c r="HP22" s="1">
        <v>111</v>
      </c>
      <c r="HQ22" s="1">
        <v>16</v>
      </c>
      <c r="HR22" s="1">
        <v>26</v>
      </c>
      <c r="HS22" s="1">
        <v>45</v>
      </c>
      <c r="HT22" s="1">
        <v>22</v>
      </c>
      <c r="HU22" s="1">
        <v>27.004000000000001</v>
      </c>
      <c r="HV22" s="1">
        <v>92</v>
      </c>
      <c r="HW22" s="1">
        <v>10</v>
      </c>
      <c r="HX22" s="1">
        <v>21</v>
      </c>
      <c r="HY22" s="1">
        <v>42</v>
      </c>
      <c r="HZ22" s="1">
        <v>21</v>
      </c>
      <c r="IA22" s="1">
        <v>25.954000000000001</v>
      </c>
      <c r="IB22" s="1">
        <v>86</v>
      </c>
      <c r="IC22" s="1">
        <v>15</v>
      </c>
      <c r="ID22" s="1">
        <v>23</v>
      </c>
      <c r="IE22" s="1">
        <v>41</v>
      </c>
      <c r="IF22" s="1">
        <v>18</v>
      </c>
      <c r="IG22" s="1">
        <v>26.034000000000002</v>
      </c>
      <c r="IH22" s="1">
        <v>103</v>
      </c>
      <c r="II22" s="1">
        <v>16</v>
      </c>
      <c r="IJ22" s="1">
        <v>28</v>
      </c>
      <c r="IK22" s="1">
        <v>44</v>
      </c>
      <c r="IL22" s="1">
        <v>22</v>
      </c>
      <c r="IM22" s="1">
        <v>28.560000000000002</v>
      </c>
      <c r="IN22" s="1">
        <v>77</v>
      </c>
      <c r="IO22" s="1">
        <v>11</v>
      </c>
      <c r="IP22" s="1">
        <v>18</v>
      </c>
      <c r="IQ22" s="1">
        <v>47</v>
      </c>
      <c r="IR22" s="1">
        <v>20</v>
      </c>
      <c r="IS22" s="1">
        <v>25.360000000000003</v>
      </c>
      <c r="IT22" s="1">
        <v>87</v>
      </c>
      <c r="IU22" s="1">
        <v>22</v>
      </c>
      <c r="IV22" s="1">
        <v>16</v>
      </c>
      <c r="IW22" s="1">
        <v>39</v>
      </c>
      <c r="IX22" s="1">
        <v>23</v>
      </c>
      <c r="IY22" s="1">
        <v>26.227</v>
      </c>
      <c r="IZ22" s="1">
        <v>102</v>
      </c>
      <c r="JA22" s="1">
        <v>15</v>
      </c>
      <c r="JB22" s="1">
        <v>23</v>
      </c>
      <c r="JC22" s="1">
        <v>46</v>
      </c>
      <c r="JD22" s="1">
        <v>19</v>
      </c>
      <c r="JE22" s="1">
        <v>28.03</v>
      </c>
      <c r="JF22" s="1">
        <v>104</v>
      </c>
      <c r="JG22" s="1">
        <v>18</v>
      </c>
      <c r="JH22" s="1">
        <v>22</v>
      </c>
      <c r="JI22" s="1">
        <v>41</v>
      </c>
      <c r="JJ22" s="1">
        <v>18</v>
      </c>
      <c r="JK22" s="1">
        <v>27.796000000000003</v>
      </c>
      <c r="JL22" s="1">
        <v>105</v>
      </c>
      <c r="JM22" s="1">
        <v>14</v>
      </c>
      <c r="JN22" s="1">
        <v>18</v>
      </c>
      <c r="JO22" s="1">
        <v>44</v>
      </c>
      <c r="JP22" s="1">
        <v>19</v>
      </c>
      <c r="JQ22" s="1">
        <v>27.296000000000003</v>
      </c>
      <c r="JR22" s="1">
        <v>121</v>
      </c>
      <c r="JS22" s="1">
        <v>16</v>
      </c>
      <c r="JT22" s="1">
        <v>21</v>
      </c>
      <c r="JU22" s="1">
        <v>40</v>
      </c>
      <c r="JV22" s="1">
        <v>17</v>
      </c>
      <c r="JW22" s="1">
        <v>28.791</v>
      </c>
      <c r="JX22" s="1">
        <v>76</v>
      </c>
      <c r="JY22" s="1">
        <v>11</v>
      </c>
      <c r="JZ22" s="1">
        <v>18</v>
      </c>
      <c r="KA22" s="1">
        <v>42</v>
      </c>
      <c r="KB22" s="1">
        <v>18</v>
      </c>
      <c r="KC22" s="1">
        <v>24.268000000000001</v>
      </c>
      <c r="KD22" s="1">
        <v>118</v>
      </c>
      <c r="KE22" s="1">
        <v>30</v>
      </c>
      <c r="KF22" s="1">
        <v>24</v>
      </c>
      <c r="KG22" s="1">
        <v>41</v>
      </c>
      <c r="KH22" s="1">
        <v>20</v>
      </c>
      <c r="KI22" s="1">
        <v>28.531000000000002</v>
      </c>
      <c r="KJ22" s="1">
        <v>120</v>
      </c>
      <c r="KK22" s="1">
        <v>20</v>
      </c>
      <c r="KL22" s="1">
        <v>26</v>
      </c>
      <c r="KM22" s="1">
        <v>45</v>
      </c>
      <c r="KN22" s="1">
        <v>22</v>
      </c>
      <c r="KO22" s="1">
        <v>30.079000000000001</v>
      </c>
      <c r="KP22" s="1">
        <v>82</v>
      </c>
      <c r="KQ22" s="1">
        <v>21</v>
      </c>
      <c r="KR22" s="1">
        <v>20</v>
      </c>
      <c r="KS22" s="1">
        <v>40</v>
      </c>
      <c r="KT22" s="1">
        <v>20</v>
      </c>
      <c r="KU22" s="1">
        <v>25.02</v>
      </c>
      <c r="KV22" s="1">
        <v>115</v>
      </c>
      <c r="KW22" s="1">
        <v>19</v>
      </c>
      <c r="KX22" s="1">
        <v>21</v>
      </c>
      <c r="KY22" s="1">
        <v>45</v>
      </c>
      <c r="KZ22" s="1">
        <v>17</v>
      </c>
      <c r="LA22" s="1">
        <v>27.51</v>
      </c>
      <c r="LB22" s="1">
        <v>86</v>
      </c>
      <c r="LC22" s="1">
        <v>9</v>
      </c>
      <c r="LD22" s="1">
        <v>23</v>
      </c>
      <c r="LE22" s="1">
        <v>44</v>
      </c>
      <c r="LF22" s="1">
        <v>21</v>
      </c>
      <c r="LG22" s="1">
        <v>24.974</v>
      </c>
      <c r="LH22" s="1">
        <v>97</v>
      </c>
      <c r="LI22" s="1">
        <v>23</v>
      </c>
      <c r="LJ22" s="1">
        <v>26</v>
      </c>
      <c r="LK22" s="1">
        <v>41</v>
      </c>
      <c r="LL22" s="1">
        <v>21</v>
      </c>
      <c r="LM22" s="1">
        <v>24.492000000000001</v>
      </c>
      <c r="LN22" s="1">
        <v>67</v>
      </c>
      <c r="LO22" s="1">
        <v>15</v>
      </c>
      <c r="LP22" s="1">
        <v>17</v>
      </c>
      <c r="LQ22" s="1">
        <v>42</v>
      </c>
      <c r="LR22" s="1">
        <v>21</v>
      </c>
      <c r="LS22" s="1">
        <v>24.893000000000001</v>
      </c>
      <c r="LT22" s="1">
        <v>71</v>
      </c>
      <c r="LU22" s="1">
        <v>19</v>
      </c>
      <c r="LV22" s="1">
        <v>18</v>
      </c>
      <c r="LW22" s="1">
        <v>42</v>
      </c>
      <c r="LX22" s="1">
        <v>22</v>
      </c>
      <c r="LY22" s="1">
        <v>22.723000000000003</v>
      </c>
      <c r="LZ22" s="1">
        <v>113</v>
      </c>
      <c r="MA22" s="1">
        <v>11</v>
      </c>
      <c r="MB22" s="1">
        <v>25</v>
      </c>
      <c r="MC22" s="1">
        <v>42</v>
      </c>
      <c r="MD22" s="1">
        <v>18</v>
      </c>
      <c r="ME22" s="1">
        <v>27.511000000000003</v>
      </c>
      <c r="MF22" s="1">
        <v>85</v>
      </c>
      <c r="MG22" s="1">
        <v>22</v>
      </c>
      <c r="MH22" s="1">
        <v>18</v>
      </c>
      <c r="MI22" s="1">
        <v>41</v>
      </c>
      <c r="MJ22" s="1">
        <v>21</v>
      </c>
      <c r="MK22" s="1">
        <v>25.474</v>
      </c>
      <c r="ML22" s="1">
        <v>87</v>
      </c>
      <c r="MM22" s="1">
        <v>12</v>
      </c>
      <c r="MN22" s="1">
        <v>20</v>
      </c>
      <c r="MO22" s="1">
        <v>40</v>
      </c>
      <c r="MP22" s="1">
        <v>18</v>
      </c>
      <c r="MQ22" s="1">
        <v>25.187000000000001</v>
      </c>
      <c r="MR22" s="1">
        <v>113</v>
      </c>
      <c r="MS22" s="1">
        <v>25</v>
      </c>
      <c r="MT22" s="1">
        <v>23</v>
      </c>
      <c r="MU22" s="1">
        <v>44</v>
      </c>
      <c r="MV22" s="1">
        <v>20</v>
      </c>
      <c r="MW22" s="1">
        <v>28.187000000000001</v>
      </c>
    </row>
    <row r="23" spans="1:361">
      <c r="A23" s="1">
        <v>20</v>
      </c>
      <c r="B23" s="1">
        <v>104</v>
      </c>
      <c r="C23" s="1">
        <v>15</v>
      </c>
      <c r="D23" s="1">
        <v>29</v>
      </c>
      <c r="E23" s="1">
        <v>40</v>
      </c>
      <c r="F23" s="1">
        <v>19</v>
      </c>
      <c r="G23" s="1">
        <v>25.898</v>
      </c>
      <c r="H23" s="1">
        <v>118</v>
      </c>
      <c r="I23" s="1">
        <v>28</v>
      </c>
      <c r="J23" s="1">
        <v>22</v>
      </c>
      <c r="K23" s="1">
        <v>42</v>
      </c>
      <c r="L23" s="1">
        <v>21</v>
      </c>
      <c r="M23" s="1">
        <v>26.14</v>
      </c>
      <c r="N23" s="1">
        <v>107</v>
      </c>
      <c r="O23" s="1">
        <v>14</v>
      </c>
      <c r="P23" s="1">
        <v>22</v>
      </c>
      <c r="Q23" s="1">
        <v>47</v>
      </c>
      <c r="R23" s="1">
        <v>22</v>
      </c>
      <c r="S23" s="1">
        <v>28.335000000000001</v>
      </c>
      <c r="T23" s="1">
        <v>93</v>
      </c>
      <c r="U23" s="1">
        <v>20</v>
      </c>
      <c r="V23" s="1">
        <v>20</v>
      </c>
      <c r="W23" s="1">
        <v>45</v>
      </c>
      <c r="X23" s="1">
        <v>18</v>
      </c>
      <c r="Y23" s="1">
        <v>26.926000000000002</v>
      </c>
      <c r="Z23" s="1">
        <v>124</v>
      </c>
      <c r="AA23" s="1">
        <v>23</v>
      </c>
      <c r="AB23" s="1">
        <v>26</v>
      </c>
      <c r="AC23" s="1">
        <v>42</v>
      </c>
      <c r="AD23" s="1">
        <v>21</v>
      </c>
      <c r="AE23" s="1">
        <v>29.89</v>
      </c>
      <c r="AF23" s="1">
        <v>94</v>
      </c>
      <c r="AG23" s="1">
        <v>25</v>
      </c>
      <c r="AH23" s="1">
        <v>24</v>
      </c>
      <c r="AI23" s="1">
        <v>42</v>
      </c>
      <c r="AJ23" s="1">
        <v>22</v>
      </c>
      <c r="AK23" s="1">
        <v>25.852</v>
      </c>
      <c r="AL23" s="1">
        <v>101</v>
      </c>
      <c r="AM23" s="1">
        <v>17</v>
      </c>
      <c r="AN23" s="1">
        <v>24</v>
      </c>
      <c r="AO23" s="1">
        <v>46</v>
      </c>
      <c r="AP23" s="1">
        <v>22</v>
      </c>
      <c r="AQ23" s="1">
        <v>29.167000000000002</v>
      </c>
      <c r="AR23" s="1">
        <v>75</v>
      </c>
      <c r="AS23" s="1">
        <v>19</v>
      </c>
      <c r="AT23" s="1">
        <v>22</v>
      </c>
      <c r="AU23" s="1">
        <v>45</v>
      </c>
      <c r="AV23" s="1">
        <v>24</v>
      </c>
      <c r="AW23" s="1">
        <v>25.830000000000002</v>
      </c>
      <c r="AX23" s="1">
        <v>116</v>
      </c>
      <c r="AY23" s="1">
        <v>14</v>
      </c>
      <c r="AZ23" s="1">
        <v>25</v>
      </c>
      <c r="BA23" s="1">
        <v>42</v>
      </c>
      <c r="BB23" s="1">
        <v>21</v>
      </c>
      <c r="BC23" s="1">
        <v>28.272000000000002</v>
      </c>
      <c r="BD23" s="1">
        <v>71</v>
      </c>
      <c r="BE23" s="1">
        <v>26</v>
      </c>
      <c r="BF23" s="1">
        <v>16</v>
      </c>
      <c r="BG23" s="1">
        <v>44</v>
      </c>
      <c r="BH23" s="1">
        <v>21</v>
      </c>
      <c r="BI23" s="1">
        <v>25.805</v>
      </c>
      <c r="BJ23" s="1">
        <v>111</v>
      </c>
      <c r="BK23" s="1">
        <v>18</v>
      </c>
      <c r="BL23" s="1">
        <v>22</v>
      </c>
      <c r="BM23" s="1">
        <v>44</v>
      </c>
      <c r="BN23" s="1">
        <v>22</v>
      </c>
      <c r="BO23" s="1">
        <v>29.686</v>
      </c>
      <c r="BP23" s="1">
        <v>91</v>
      </c>
      <c r="BQ23" s="1">
        <v>12</v>
      </c>
      <c r="BR23" s="1">
        <v>18</v>
      </c>
      <c r="BS23" s="1">
        <v>45</v>
      </c>
      <c r="BT23" s="1">
        <v>23</v>
      </c>
      <c r="BU23" s="1">
        <v>24.591000000000001</v>
      </c>
      <c r="BV23" s="1">
        <v>125</v>
      </c>
      <c r="BW23" s="1">
        <v>21</v>
      </c>
      <c r="BX23" s="1">
        <v>27</v>
      </c>
      <c r="BY23" s="1">
        <v>41</v>
      </c>
      <c r="BZ23" s="1">
        <v>20</v>
      </c>
      <c r="CA23" s="1">
        <v>28.206</v>
      </c>
      <c r="CB23" s="1">
        <v>117</v>
      </c>
      <c r="CC23" s="1">
        <v>17</v>
      </c>
      <c r="CD23" s="1">
        <v>22</v>
      </c>
      <c r="CE23" s="1">
        <v>44</v>
      </c>
      <c r="CF23" s="1">
        <v>19</v>
      </c>
      <c r="CG23" s="1">
        <v>28.683</v>
      </c>
      <c r="CH23" s="1">
        <v>119</v>
      </c>
      <c r="CI23" s="1">
        <v>20</v>
      </c>
      <c r="CJ23" s="1">
        <v>24</v>
      </c>
      <c r="CK23" s="1">
        <v>44</v>
      </c>
      <c r="CL23" s="1">
        <v>18</v>
      </c>
      <c r="CM23" s="1">
        <v>29.224</v>
      </c>
      <c r="CN23" s="1">
        <v>117</v>
      </c>
      <c r="CO23" s="1">
        <v>17</v>
      </c>
      <c r="CP23" s="1">
        <v>23</v>
      </c>
      <c r="CQ23" s="1">
        <v>41</v>
      </c>
      <c r="CR23" s="1">
        <v>22</v>
      </c>
      <c r="CS23" s="1">
        <v>29.153000000000002</v>
      </c>
      <c r="CT23" s="1">
        <v>66</v>
      </c>
      <c r="CU23" s="1">
        <v>16</v>
      </c>
      <c r="CV23" s="1">
        <v>15</v>
      </c>
      <c r="CW23" s="1">
        <v>46</v>
      </c>
      <c r="CX23" s="1">
        <v>22</v>
      </c>
      <c r="CY23" s="1">
        <v>25.806000000000001</v>
      </c>
      <c r="CZ23" s="1">
        <v>89</v>
      </c>
      <c r="DA23" s="1">
        <v>26</v>
      </c>
      <c r="DB23" s="1">
        <v>21</v>
      </c>
      <c r="DC23" s="1">
        <v>43</v>
      </c>
      <c r="DD23" s="1">
        <v>21</v>
      </c>
      <c r="DE23" s="1">
        <v>26.855</v>
      </c>
      <c r="DF23" s="1">
        <v>70</v>
      </c>
      <c r="DG23" s="1">
        <v>19</v>
      </c>
      <c r="DH23" s="1">
        <v>17</v>
      </c>
      <c r="DI23" s="1">
        <v>42</v>
      </c>
      <c r="DJ23" s="1">
        <v>21</v>
      </c>
      <c r="DK23" s="1">
        <v>23.378</v>
      </c>
      <c r="DL23" s="1">
        <v>127</v>
      </c>
      <c r="DM23" s="1">
        <v>16</v>
      </c>
      <c r="DN23" s="1">
        <v>23</v>
      </c>
      <c r="DO23" s="1">
        <v>45</v>
      </c>
      <c r="DP23" s="1">
        <v>20</v>
      </c>
      <c r="DQ23" s="1">
        <v>31.522000000000002</v>
      </c>
      <c r="DR23" s="1">
        <v>74</v>
      </c>
      <c r="DS23" s="1">
        <v>16</v>
      </c>
      <c r="DT23" s="1">
        <v>19</v>
      </c>
      <c r="DU23" s="1">
        <v>45</v>
      </c>
      <c r="DV23" s="1">
        <v>18</v>
      </c>
      <c r="DW23" s="1">
        <v>26.52</v>
      </c>
      <c r="DX23" s="1">
        <v>127</v>
      </c>
      <c r="DY23" s="1">
        <v>11</v>
      </c>
      <c r="DZ23" s="1">
        <v>23</v>
      </c>
      <c r="EA23" s="1">
        <v>45</v>
      </c>
      <c r="EB23" s="1">
        <v>20</v>
      </c>
      <c r="EC23" s="1">
        <v>29.069000000000003</v>
      </c>
      <c r="ED23" s="1">
        <v>124</v>
      </c>
      <c r="EE23" s="1">
        <v>18</v>
      </c>
      <c r="EF23" s="1">
        <v>22</v>
      </c>
      <c r="EG23" s="1">
        <v>41</v>
      </c>
      <c r="EH23" s="1">
        <v>20</v>
      </c>
      <c r="EI23" s="1">
        <v>27.232000000000003</v>
      </c>
      <c r="EJ23" s="1">
        <v>105</v>
      </c>
      <c r="EK23" s="1">
        <v>15</v>
      </c>
      <c r="EL23" s="1">
        <v>23</v>
      </c>
      <c r="EM23" s="1">
        <v>43</v>
      </c>
      <c r="EN23" s="1">
        <v>20</v>
      </c>
      <c r="EO23" s="1">
        <v>27.391000000000002</v>
      </c>
      <c r="EP23" s="1">
        <v>84</v>
      </c>
      <c r="EQ23" s="1">
        <v>20</v>
      </c>
      <c r="ER23" s="1">
        <v>20</v>
      </c>
      <c r="ES23" s="1">
        <v>42</v>
      </c>
      <c r="ET23" s="1">
        <v>19</v>
      </c>
      <c r="EU23" s="1">
        <v>25.919</v>
      </c>
      <c r="EV23" s="1">
        <v>80</v>
      </c>
      <c r="EW23" s="1">
        <v>16</v>
      </c>
      <c r="EX23" s="1">
        <v>19</v>
      </c>
      <c r="EY23" s="1">
        <v>42</v>
      </c>
      <c r="EZ23" s="1">
        <v>18</v>
      </c>
      <c r="FA23" s="1">
        <v>26.662000000000003</v>
      </c>
      <c r="FB23" s="1">
        <v>85</v>
      </c>
      <c r="FC23" s="1">
        <v>13</v>
      </c>
      <c r="FD23" s="1">
        <v>18</v>
      </c>
      <c r="FE23" s="1">
        <v>43</v>
      </c>
      <c r="FF23" s="1">
        <v>19</v>
      </c>
      <c r="FG23" s="1">
        <v>26.43</v>
      </c>
      <c r="FH23" s="1">
        <v>84</v>
      </c>
      <c r="FI23" s="1">
        <v>26</v>
      </c>
      <c r="FJ23" s="1">
        <v>21</v>
      </c>
      <c r="FK23" s="1">
        <v>41</v>
      </c>
      <c r="FL23" s="1">
        <v>20</v>
      </c>
      <c r="FM23" s="1">
        <v>26.217000000000002</v>
      </c>
      <c r="FN23" s="1">
        <v>90</v>
      </c>
      <c r="FO23" s="1">
        <v>11</v>
      </c>
      <c r="FP23" s="1">
        <v>20</v>
      </c>
      <c r="FQ23" s="1">
        <v>46</v>
      </c>
      <c r="FR23" s="1">
        <v>22</v>
      </c>
      <c r="FS23" s="1">
        <v>27.89</v>
      </c>
      <c r="FT23" s="1">
        <v>86</v>
      </c>
      <c r="FU23" s="1">
        <v>20</v>
      </c>
      <c r="FV23" s="1">
        <v>21</v>
      </c>
      <c r="FW23" s="1">
        <v>43</v>
      </c>
      <c r="FX23" s="1">
        <v>23</v>
      </c>
      <c r="FY23" s="1">
        <v>23.361000000000001</v>
      </c>
      <c r="FZ23" s="1">
        <v>87</v>
      </c>
      <c r="GA23" s="1">
        <v>15</v>
      </c>
      <c r="GB23" s="1">
        <v>19</v>
      </c>
      <c r="GC23" s="1">
        <v>39</v>
      </c>
      <c r="GD23" s="1">
        <v>20</v>
      </c>
      <c r="GE23" s="1">
        <v>25.598000000000003</v>
      </c>
      <c r="GF23" s="1">
        <v>95</v>
      </c>
      <c r="GG23" s="1">
        <v>12</v>
      </c>
      <c r="GH23" s="1">
        <v>27</v>
      </c>
      <c r="GI23" s="1">
        <v>41</v>
      </c>
      <c r="GJ23" s="1">
        <v>19</v>
      </c>
      <c r="GK23" s="1">
        <v>29.196000000000002</v>
      </c>
      <c r="GL23" s="1">
        <v>68</v>
      </c>
      <c r="GM23" s="1">
        <v>20</v>
      </c>
      <c r="GN23" s="1">
        <v>18</v>
      </c>
      <c r="GO23" s="1">
        <v>43</v>
      </c>
      <c r="GP23" s="1">
        <v>20</v>
      </c>
      <c r="GQ23" s="1">
        <v>25.601000000000003</v>
      </c>
      <c r="GR23" s="1">
        <v>108</v>
      </c>
      <c r="GS23" s="1">
        <v>8</v>
      </c>
      <c r="GT23" s="1">
        <v>24</v>
      </c>
      <c r="GU23" s="1">
        <v>43</v>
      </c>
      <c r="GV23" s="1">
        <v>19</v>
      </c>
      <c r="GW23" s="1">
        <v>28.584</v>
      </c>
      <c r="GX23" s="1">
        <v>101</v>
      </c>
      <c r="GY23" s="1">
        <v>21</v>
      </c>
      <c r="GZ23" s="1">
        <v>24</v>
      </c>
      <c r="HA23" s="1">
        <v>41</v>
      </c>
      <c r="HB23" s="1">
        <v>14</v>
      </c>
      <c r="HC23" s="1">
        <v>26.513000000000002</v>
      </c>
      <c r="HD23" s="1">
        <v>118</v>
      </c>
      <c r="HE23" s="1">
        <v>18</v>
      </c>
      <c r="HF23" s="1">
        <v>27</v>
      </c>
      <c r="HG23" s="1">
        <v>44</v>
      </c>
      <c r="HH23" s="1">
        <v>21</v>
      </c>
      <c r="HI23" s="1">
        <v>29.099</v>
      </c>
      <c r="HJ23" s="1">
        <v>102</v>
      </c>
      <c r="HK23" s="1">
        <v>12</v>
      </c>
      <c r="HL23" s="1">
        <v>23</v>
      </c>
      <c r="HM23" s="1">
        <v>46</v>
      </c>
      <c r="HN23" s="1">
        <v>22</v>
      </c>
      <c r="HO23" s="1">
        <v>28.645</v>
      </c>
      <c r="HP23" s="1">
        <v>98</v>
      </c>
      <c r="HQ23" s="1">
        <v>22</v>
      </c>
      <c r="HR23" s="1">
        <v>18</v>
      </c>
      <c r="HS23" s="1">
        <v>45</v>
      </c>
      <c r="HT23" s="1">
        <v>22</v>
      </c>
      <c r="HU23" s="1">
        <v>28.664000000000001</v>
      </c>
      <c r="HV23" s="1">
        <v>124</v>
      </c>
      <c r="HW23" s="1">
        <v>10</v>
      </c>
      <c r="HX23" s="1">
        <v>30</v>
      </c>
      <c r="HY23" s="1">
        <v>42</v>
      </c>
      <c r="HZ23" s="1">
        <v>20</v>
      </c>
      <c r="IA23" s="1">
        <v>27.518000000000001</v>
      </c>
      <c r="IB23" s="1">
        <v>126</v>
      </c>
      <c r="IC23" s="1">
        <v>26</v>
      </c>
      <c r="ID23" s="1">
        <v>27</v>
      </c>
      <c r="IE23" s="1">
        <v>42</v>
      </c>
      <c r="IF23" s="1">
        <v>17</v>
      </c>
      <c r="IG23" s="1">
        <v>27.935000000000002</v>
      </c>
      <c r="IH23" s="1">
        <v>79</v>
      </c>
      <c r="II23" s="1">
        <v>22</v>
      </c>
      <c r="IJ23" s="1">
        <v>20</v>
      </c>
      <c r="IK23" s="1">
        <v>43</v>
      </c>
      <c r="IL23" s="1">
        <v>20</v>
      </c>
      <c r="IM23" s="1">
        <v>26.249000000000002</v>
      </c>
      <c r="IN23" s="1">
        <v>66</v>
      </c>
      <c r="IO23" s="1">
        <v>13</v>
      </c>
      <c r="IP23" s="1">
        <v>22</v>
      </c>
      <c r="IQ23" s="1">
        <v>42</v>
      </c>
      <c r="IR23" s="1">
        <v>18</v>
      </c>
      <c r="IS23" s="1">
        <v>24.247</v>
      </c>
      <c r="IT23" s="1">
        <v>121</v>
      </c>
      <c r="IU23" s="1">
        <v>14</v>
      </c>
      <c r="IV23" s="1">
        <v>25</v>
      </c>
      <c r="IW23" s="1">
        <v>41</v>
      </c>
      <c r="IX23" s="1">
        <v>17</v>
      </c>
      <c r="IY23" s="1">
        <v>30.179000000000002</v>
      </c>
      <c r="IZ23" s="1">
        <v>67</v>
      </c>
      <c r="JA23" s="1">
        <v>20</v>
      </c>
      <c r="JB23" s="1">
        <v>16</v>
      </c>
      <c r="JC23" s="1">
        <v>44</v>
      </c>
      <c r="JD23" s="1">
        <v>20</v>
      </c>
      <c r="JE23" s="1">
        <v>25.673999999999999</v>
      </c>
      <c r="JF23" s="1">
        <v>91</v>
      </c>
      <c r="JG23" s="1">
        <v>21</v>
      </c>
      <c r="JH23" s="1">
        <v>19</v>
      </c>
      <c r="JI23" s="1">
        <v>41</v>
      </c>
      <c r="JJ23" s="1">
        <v>21</v>
      </c>
      <c r="JK23" s="1">
        <v>25.302</v>
      </c>
      <c r="JL23" s="1">
        <v>103</v>
      </c>
      <c r="JM23" s="1">
        <v>21</v>
      </c>
      <c r="JN23" s="1">
        <v>22</v>
      </c>
      <c r="JO23" s="1">
        <v>43</v>
      </c>
      <c r="JP23" s="1">
        <v>19</v>
      </c>
      <c r="JQ23" s="1">
        <v>26.716000000000001</v>
      </c>
      <c r="JR23" s="1">
        <v>86</v>
      </c>
      <c r="JS23" s="1">
        <v>23</v>
      </c>
      <c r="JT23" s="1">
        <v>26</v>
      </c>
      <c r="JU23" s="1">
        <v>46</v>
      </c>
      <c r="JV23" s="1">
        <v>23</v>
      </c>
      <c r="JW23" s="1">
        <v>26.628</v>
      </c>
      <c r="JX23" s="1">
        <v>128</v>
      </c>
      <c r="JY23" s="1">
        <v>24</v>
      </c>
      <c r="JZ23" s="1">
        <v>22</v>
      </c>
      <c r="KA23" s="1">
        <v>41</v>
      </c>
      <c r="KB23" s="1">
        <v>20</v>
      </c>
      <c r="KC23" s="1">
        <v>27.512</v>
      </c>
      <c r="KD23" s="1">
        <v>120</v>
      </c>
      <c r="KE23" s="1">
        <v>23</v>
      </c>
      <c r="KF23" s="1">
        <v>23</v>
      </c>
      <c r="KG23" s="1">
        <v>39</v>
      </c>
      <c r="KH23" s="1">
        <v>20</v>
      </c>
      <c r="KI23" s="1">
        <v>28.764000000000003</v>
      </c>
      <c r="KJ23" s="1">
        <v>93</v>
      </c>
      <c r="KK23" s="1">
        <v>16</v>
      </c>
      <c r="KL23" s="1">
        <v>25</v>
      </c>
      <c r="KM23" s="1">
        <v>40</v>
      </c>
      <c r="KN23" s="1">
        <v>22</v>
      </c>
      <c r="KO23" s="1">
        <v>27.55</v>
      </c>
      <c r="KP23" s="1">
        <v>98</v>
      </c>
      <c r="KQ23" s="1">
        <v>11</v>
      </c>
      <c r="KR23" s="1">
        <v>18</v>
      </c>
      <c r="KS23" s="1">
        <v>42</v>
      </c>
      <c r="KT23" s="1">
        <v>18</v>
      </c>
      <c r="KU23" s="1">
        <v>26.635000000000002</v>
      </c>
      <c r="KV23" s="1">
        <v>83</v>
      </c>
      <c r="KW23" s="1">
        <v>18</v>
      </c>
      <c r="KX23" s="1">
        <v>23</v>
      </c>
      <c r="KY23" s="1">
        <v>42</v>
      </c>
      <c r="KZ23" s="1">
        <v>23</v>
      </c>
      <c r="LA23" s="1">
        <v>27.128</v>
      </c>
      <c r="LB23" s="1">
        <v>85</v>
      </c>
      <c r="LC23" s="1">
        <v>6</v>
      </c>
      <c r="LD23" s="1">
        <v>21</v>
      </c>
      <c r="LE23" s="1">
        <v>42</v>
      </c>
      <c r="LF23" s="1">
        <v>22</v>
      </c>
      <c r="LG23" s="1">
        <v>26.01</v>
      </c>
      <c r="LH23" s="1">
        <v>88</v>
      </c>
      <c r="LI23" s="1">
        <v>25</v>
      </c>
      <c r="LJ23" s="1">
        <v>19</v>
      </c>
      <c r="LK23" s="1">
        <v>43</v>
      </c>
      <c r="LL23" s="1">
        <v>21</v>
      </c>
      <c r="LM23" s="1">
        <v>25.002000000000002</v>
      </c>
      <c r="LN23" s="1">
        <v>126</v>
      </c>
      <c r="LO23" s="1">
        <v>27</v>
      </c>
      <c r="LP23" s="1">
        <v>20</v>
      </c>
      <c r="LQ23" s="1">
        <v>41</v>
      </c>
      <c r="LR23" s="1">
        <v>17</v>
      </c>
      <c r="LS23" s="1">
        <v>28.644000000000002</v>
      </c>
      <c r="LT23" s="1">
        <v>115</v>
      </c>
      <c r="LU23" s="1">
        <v>26</v>
      </c>
      <c r="LV23" s="1">
        <v>23</v>
      </c>
      <c r="LW23" s="1">
        <v>41</v>
      </c>
      <c r="LX23" s="1">
        <v>23</v>
      </c>
      <c r="LY23" s="1">
        <v>28.329000000000001</v>
      </c>
      <c r="LZ23" s="1">
        <v>95</v>
      </c>
      <c r="MA23" s="1">
        <v>23</v>
      </c>
      <c r="MB23" s="1">
        <v>19</v>
      </c>
      <c r="MC23" s="1">
        <v>45</v>
      </c>
      <c r="MD23" s="1">
        <v>18</v>
      </c>
      <c r="ME23" s="1">
        <v>26.407</v>
      </c>
      <c r="MF23" s="1">
        <v>123</v>
      </c>
      <c r="MG23" s="1">
        <v>22</v>
      </c>
      <c r="MH23" s="1">
        <v>22</v>
      </c>
      <c r="MI23" s="1">
        <v>45</v>
      </c>
      <c r="MJ23" s="1">
        <v>16</v>
      </c>
      <c r="MK23" s="1">
        <v>28.501000000000001</v>
      </c>
      <c r="ML23" s="1">
        <v>86</v>
      </c>
      <c r="MM23" s="1">
        <v>25</v>
      </c>
      <c r="MN23" s="1">
        <v>21</v>
      </c>
      <c r="MO23" s="1">
        <v>43</v>
      </c>
      <c r="MP23" s="1">
        <v>22</v>
      </c>
      <c r="MQ23" s="1">
        <v>26.85</v>
      </c>
      <c r="MR23" s="1">
        <v>121</v>
      </c>
      <c r="MS23" s="1">
        <v>23</v>
      </c>
      <c r="MT23" s="1">
        <v>23</v>
      </c>
      <c r="MU23" s="1">
        <v>44</v>
      </c>
      <c r="MV23" s="1">
        <v>19</v>
      </c>
      <c r="MW23" s="1">
        <v>28.166</v>
      </c>
    </row>
    <row r="24" spans="1:361">
      <c r="A24" s="1">
        <v>21</v>
      </c>
      <c r="B24" s="1">
        <v>94</v>
      </c>
      <c r="C24" s="1">
        <v>29</v>
      </c>
      <c r="D24" s="1">
        <v>24</v>
      </c>
      <c r="E24" s="1">
        <v>44</v>
      </c>
      <c r="F24" s="1">
        <v>19</v>
      </c>
      <c r="G24" s="1">
        <v>28.339000000000002</v>
      </c>
      <c r="H24" s="1">
        <v>107</v>
      </c>
      <c r="I24" s="1">
        <v>21</v>
      </c>
      <c r="J24" s="1">
        <v>20</v>
      </c>
      <c r="K24" s="1">
        <v>39</v>
      </c>
      <c r="L24" s="1">
        <v>18</v>
      </c>
      <c r="M24" s="1">
        <v>26.733000000000001</v>
      </c>
      <c r="N24" s="1">
        <v>97</v>
      </c>
      <c r="O24" s="1">
        <v>14</v>
      </c>
      <c r="P24" s="1">
        <v>21</v>
      </c>
      <c r="Q24" s="1">
        <v>45</v>
      </c>
      <c r="R24" s="1">
        <v>18</v>
      </c>
      <c r="S24" s="1">
        <v>27.313000000000002</v>
      </c>
      <c r="T24" s="1">
        <v>103</v>
      </c>
      <c r="U24" s="1">
        <v>12</v>
      </c>
      <c r="V24" s="1">
        <v>24</v>
      </c>
      <c r="W24" s="1">
        <v>42</v>
      </c>
      <c r="X24" s="1">
        <v>21</v>
      </c>
      <c r="Y24" s="1">
        <v>28.296000000000003</v>
      </c>
      <c r="Z24" s="1">
        <v>106</v>
      </c>
      <c r="AA24" s="1">
        <v>8</v>
      </c>
      <c r="AB24" s="1">
        <v>21</v>
      </c>
      <c r="AC24" s="1">
        <v>40</v>
      </c>
      <c r="AD24" s="1">
        <v>18</v>
      </c>
      <c r="AE24" s="1">
        <v>28.919</v>
      </c>
      <c r="AF24" s="1">
        <v>77</v>
      </c>
      <c r="AG24" s="1">
        <v>22</v>
      </c>
      <c r="AH24" s="1">
        <v>17</v>
      </c>
      <c r="AI24" s="1">
        <v>42</v>
      </c>
      <c r="AJ24" s="1">
        <v>20</v>
      </c>
      <c r="AK24" s="1">
        <v>25.244</v>
      </c>
      <c r="AL24" s="1">
        <v>103</v>
      </c>
      <c r="AM24" s="1">
        <v>25</v>
      </c>
      <c r="AN24" s="1">
        <v>20</v>
      </c>
      <c r="AO24" s="1">
        <v>42</v>
      </c>
      <c r="AP24" s="1">
        <v>19</v>
      </c>
      <c r="AQ24" s="1">
        <v>27.553000000000001</v>
      </c>
      <c r="AR24" s="1">
        <v>124</v>
      </c>
      <c r="AS24" s="1">
        <v>18</v>
      </c>
      <c r="AT24" s="1">
        <v>19</v>
      </c>
      <c r="AU24" s="1">
        <v>39</v>
      </c>
      <c r="AV24" s="1">
        <v>22</v>
      </c>
      <c r="AW24" s="1">
        <v>27.732000000000003</v>
      </c>
      <c r="AX24" s="1">
        <v>112</v>
      </c>
      <c r="AY24" s="1">
        <v>24</v>
      </c>
      <c r="AZ24" s="1">
        <v>18</v>
      </c>
      <c r="BA24" s="1">
        <v>42</v>
      </c>
      <c r="BB24" s="1">
        <v>20</v>
      </c>
      <c r="BC24" s="1">
        <v>26.783000000000001</v>
      </c>
      <c r="BD24" s="1">
        <v>123</v>
      </c>
      <c r="BE24" s="1">
        <v>27</v>
      </c>
      <c r="BF24" s="1">
        <v>24</v>
      </c>
      <c r="BG24" s="1">
        <v>43</v>
      </c>
      <c r="BH24" s="1">
        <v>15</v>
      </c>
      <c r="BI24" s="1">
        <v>28.669</v>
      </c>
      <c r="BJ24" s="1">
        <v>77</v>
      </c>
      <c r="BK24" s="1">
        <v>16</v>
      </c>
      <c r="BL24" s="1">
        <v>19</v>
      </c>
      <c r="BM24" s="1">
        <v>46</v>
      </c>
      <c r="BN24" s="1">
        <v>20</v>
      </c>
      <c r="BO24" s="1">
        <v>24.677</v>
      </c>
      <c r="BP24" s="1">
        <v>118</v>
      </c>
      <c r="BQ24" s="1">
        <v>23</v>
      </c>
      <c r="BR24" s="1">
        <v>24</v>
      </c>
      <c r="BS24" s="1">
        <v>42</v>
      </c>
      <c r="BT24" s="1">
        <v>20</v>
      </c>
      <c r="BU24" s="1">
        <v>27.884</v>
      </c>
      <c r="BV24" s="1">
        <v>75</v>
      </c>
      <c r="BW24" s="1">
        <v>11</v>
      </c>
      <c r="BX24" s="1">
        <v>17</v>
      </c>
      <c r="BY24" s="1">
        <v>44</v>
      </c>
      <c r="BZ24" s="1">
        <v>21</v>
      </c>
      <c r="CA24" s="1">
        <v>24.861000000000001</v>
      </c>
      <c r="CB24" s="1">
        <v>115</v>
      </c>
      <c r="CC24" s="1">
        <v>19</v>
      </c>
      <c r="CD24" s="1">
        <v>26</v>
      </c>
      <c r="CE24" s="1">
        <v>43</v>
      </c>
      <c r="CF24" s="1">
        <v>19</v>
      </c>
      <c r="CG24" s="1">
        <v>26.325000000000003</v>
      </c>
      <c r="CH24" s="1">
        <v>74</v>
      </c>
      <c r="CI24" s="1">
        <v>18</v>
      </c>
      <c r="CJ24" s="1">
        <v>20</v>
      </c>
      <c r="CK24" s="1">
        <v>45</v>
      </c>
      <c r="CL24" s="1">
        <v>23</v>
      </c>
      <c r="CM24" s="1">
        <v>26.285</v>
      </c>
      <c r="CN24" s="1">
        <v>102</v>
      </c>
      <c r="CO24" s="1">
        <v>14</v>
      </c>
      <c r="CP24" s="1">
        <v>27</v>
      </c>
      <c r="CQ24" s="1">
        <v>41</v>
      </c>
      <c r="CR24" s="1">
        <v>20</v>
      </c>
      <c r="CS24" s="1">
        <v>27.253</v>
      </c>
      <c r="CT24" s="1">
        <v>111</v>
      </c>
      <c r="CU24" s="1">
        <v>23</v>
      </c>
      <c r="CV24" s="1">
        <v>20</v>
      </c>
      <c r="CW24" s="1">
        <v>42</v>
      </c>
      <c r="CX24" s="1">
        <v>19</v>
      </c>
      <c r="CY24" s="1">
        <v>26.231000000000002</v>
      </c>
      <c r="CZ24" s="1">
        <v>110</v>
      </c>
      <c r="DA24" s="1">
        <v>20</v>
      </c>
      <c r="DB24" s="1">
        <v>20</v>
      </c>
      <c r="DC24" s="1">
        <v>46</v>
      </c>
      <c r="DD24" s="1">
        <v>18</v>
      </c>
      <c r="DE24" s="1">
        <v>29.688000000000002</v>
      </c>
      <c r="DF24" s="1">
        <v>88</v>
      </c>
      <c r="DG24" s="1">
        <v>19</v>
      </c>
      <c r="DH24" s="1">
        <v>21</v>
      </c>
      <c r="DI24" s="1">
        <v>44</v>
      </c>
      <c r="DJ24" s="1">
        <v>16</v>
      </c>
      <c r="DK24" s="1">
        <v>28.393000000000001</v>
      </c>
      <c r="DL24" s="1">
        <v>95</v>
      </c>
      <c r="DM24" s="1">
        <v>19</v>
      </c>
      <c r="DN24" s="1">
        <v>17</v>
      </c>
      <c r="DO24" s="1">
        <v>41</v>
      </c>
      <c r="DP24" s="1">
        <v>23</v>
      </c>
      <c r="DQ24" s="1">
        <v>25.556000000000001</v>
      </c>
      <c r="DR24" s="1">
        <v>85</v>
      </c>
      <c r="DS24" s="1">
        <v>22</v>
      </c>
      <c r="DT24" s="1">
        <v>23</v>
      </c>
      <c r="DU24" s="1">
        <v>43</v>
      </c>
      <c r="DV24" s="1">
        <v>21</v>
      </c>
      <c r="DW24" s="1">
        <v>28.240000000000002</v>
      </c>
      <c r="DX24" s="1">
        <v>84</v>
      </c>
      <c r="DY24" s="1">
        <v>16</v>
      </c>
      <c r="DZ24" s="1">
        <v>20</v>
      </c>
      <c r="EA24" s="1">
        <v>42</v>
      </c>
      <c r="EB24" s="1">
        <v>24</v>
      </c>
      <c r="EC24" s="1">
        <v>26.109000000000002</v>
      </c>
      <c r="ED24" s="1">
        <v>116</v>
      </c>
      <c r="EE24" s="1">
        <v>23</v>
      </c>
      <c r="EF24" s="1">
        <v>22</v>
      </c>
      <c r="EG24" s="1">
        <v>42</v>
      </c>
      <c r="EH24" s="1">
        <v>20</v>
      </c>
      <c r="EI24" s="1">
        <v>28.563000000000002</v>
      </c>
      <c r="EJ24" s="1">
        <v>101</v>
      </c>
      <c r="EK24" s="1">
        <v>23</v>
      </c>
      <c r="EL24" s="1">
        <v>22</v>
      </c>
      <c r="EM24" s="1">
        <v>42</v>
      </c>
      <c r="EN24" s="1">
        <v>18</v>
      </c>
      <c r="EO24" s="1">
        <v>28.028000000000002</v>
      </c>
      <c r="EP24" s="1">
        <v>76</v>
      </c>
      <c r="EQ24" s="1">
        <v>20</v>
      </c>
      <c r="ER24" s="1">
        <v>18</v>
      </c>
      <c r="ES24" s="1">
        <v>47</v>
      </c>
      <c r="ET24" s="1">
        <v>17</v>
      </c>
      <c r="EU24" s="1">
        <v>25.422000000000001</v>
      </c>
      <c r="EV24" s="1">
        <v>109</v>
      </c>
      <c r="EW24" s="1">
        <v>24</v>
      </c>
      <c r="EX24" s="1">
        <v>24</v>
      </c>
      <c r="EY24" s="1">
        <v>44</v>
      </c>
      <c r="EZ24" s="1">
        <v>20</v>
      </c>
      <c r="FA24" s="1">
        <v>28.382000000000001</v>
      </c>
      <c r="FB24" s="1">
        <v>92</v>
      </c>
      <c r="FC24" s="1">
        <v>28</v>
      </c>
      <c r="FD24" s="1">
        <v>19</v>
      </c>
      <c r="FE24" s="1">
        <v>45</v>
      </c>
      <c r="FF24" s="1">
        <v>20</v>
      </c>
      <c r="FG24" s="1">
        <v>28.983000000000001</v>
      </c>
      <c r="FH24" s="1">
        <v>83</v>
      </c>
      <c r="FI24" s="1">
        <v>16</v>
      </c>
      <c r="FJ24" s="1">
        <v>15</v>
      </c>
      <c r="FK24" s="1">
        <v>43</v>
      </c>
      <c r="FL24" s="1">
        <v>24</v>
      </c>
      <c r="FM24" s="1">
        <v>23.745000000000001</v>
      </c>
      <c r="FN24" s="1">
        <v>66</v>
      </c>
      <c r="FO24" s="1">
        <v>20</v>
      </c>
      <c r="FP24" s="1">
        <v>21</v>
      </c>
      <c r="FQ24" s="1">
        <v>44</v>
      </c>
      <c r="FR24" s="1">
        <v>23</v>
      </c>
      <c r="FS24" s="1">
        <v>25.331</v>
      </c>
      <c r="FT24" s="1">
        <v>105</v>
      </c>
      <c r="FU24" s="1">
        <v>26</v>
      </c>
      <c r="FV24" s="1">
        <v>20</v>
      </c>
      <c r="FW24" s="1">
        <v>42</v>
      </c>
      <c r="FX24" s="1">
        <v>18</v>
      </c>
      <c r="FY24" s="1">
        <v>26.461000000000002</v>
      </c>
      <c r="FZ24" s="1">
        <v>117</v>
      </c>
      <c r="GA24" s="1">
        <v>12</v>
      </c>
      <c r="GB24" s="1">
        <v>19</v>
      </c>
      <c r="GC24" s="1">
        <v>44</v>
      </c>
      <c r="GD24" s="1">
        <v>21</v>
      </c>
      <c r="GE24" s="1">
        <v>29.630000000000003</v>
      </c>
      <c r="GF24" s="1">
        <v>91</v>
      </c>
      <c r="GG24" s="1">
        <v>16</v>
      </c>
      <c r="GH24" s="1">
        <v>22</v>
      </c>
      <c r="GI24" s="1">
        <v>41</v>
      </c>
      <c r="GJ24" s="1">
        <v>24</v>
      </c>
      <c r="GK24" s="1">
        <v>26.231000000000002</v>
      </c>
      <c r="GL24" s="1">
        <v>74</v>
      </c>
      <c r="GM24" s="1">
        <v>16</v>
      </c>
      <c r="GN24" s="1">
        <v>16</v>
      </c>
      <c r="GO24" s="1">
        <v>45</v>
      </c>
      <c r="GP24" s="1">
        <v>17</v>
      </c>
      <c r="GQ24" s="1">
        <v>26.594000000000001</v>
      </c>
      <c r="GR24" s="1">
        <v>98</v>
      </c>
      <c r="GS24" s="1">
        <v>23</v>
      </c>
      <c r="GT24" s="1">
        <v>22</v>
      </c>
      <c r="GU24" s="1">
        <v>44</v>
      </c>
      <c r="GV24" s="1">
        <v>22</v>
      </c>
      <c r="GW24" s="1">
        <v>28.162000000000003</v>
      </c>
      <c r="GX24" s="1">
        <v>68</v>
      </c>
      <c r="GY24" s="1">
        <v>25</v>
      </c>
      <c r="GZ24" s="1">
        <v>18</v>
      </c>
      <c r="HA24" s="1">
        <v>43</v>
      </c>
      <c r="HB24" s="1">
        <v>21</v>
      </c>
      <c r="HC24" s="1">
        <v>24.878</v>
      </c>
      <c r="HD24" s="1">
        <v>113</v>
      </c>
      <c r="HE24" s="1">
        <v>10</v>
      </c>
      <c r="HF24" s="1">
        <v>25</v>
      </c>
      <c r="HG24" s="1">
        <v>44</v>
      </c>
      <c r="HH24" s="1">
        <v>18</v>
      </c>
      <c r="HI24" s="1">
        <v>29.727</v>
      </c>
      <c r="HJ24" s="1">
        <v>115</v>
      </c>
      <c r="HK24" s="1">
        <v>4</v>
      </c>
      <c r="HL24" s="1">
        <v>21</v>
      </c>
      <c r="HM24" s="1">
        <v>44</v>
      </c>
      <c r="HN24" s="1">
        <v>18</v>
      </c>
      <c r="HO24" s="1">
        <v>29.629000000000001</v>
      </c>
      <c r="HP24" s="1">
        <v>127</v>
      </c>
      <c r="HQ24" s="1">
        <v>20</v>
      </c>
      <c r="HR24" s="1">
        <v>26</v>
      </c>
      <c r="HS24" s="1">
        <v>43</v>
      </c>
      <c r="HT24" s="1">
        <v>19</v>
      </c>
      <c r="HU24" s="1">
        <v>30.768000000000001</v>
      </c>
      <c r="HV24" s="1">
        <v>81</v>
      </c>
      <c r="HW24" s="1">
        <v>20</v>
      </c>
      <c r="HX24" s="1">
        <v>18</v>
      </c>
      <c r="HY24" s="1">
        <v>41</v>
      </c>
      <c r="HZ24" s="1">
        <v>22</v>
      </c>
      <c r="IA24" s="1">
        <v>25.855</v>
      </c>
      <c r="IB24" s="1">
        <v>71</v>
      </c>
      <c r="IC24" s="1">
        <v>23</v>
      </c>
      <c r="ID24" s="1">
        <v>21</v>
      </c>
      <c r="IE24" s="1">
        <v>44</v>
      </c>
      <c r="IF24" s="1">
        <v>18</v>
      </c>
      <c r="IG24" s="1">
        <v>23.306000000000001</v>
      </c>
      <c r="IH24" s="1">
        <v>88</v>
      </c>
      <c r="II24" s="1">
        <v>29</v>
      </c>
      <c r="IJ24" s="1">
        <v>24</v>
      </c>
      <c r="IK24" s="1">
        <v>40</v>
      </c>
      <c r="IL24" s="1">
        <v>17</v>
      </c>
      <c r="IM24" s="1">
        <v>27.757000000000001</v>
      </c>
      <c r="IN24" s="1">
        <v>102</v>
      </c>
      <c r="IO24" s="1">
        <v>10</v>
      </c>
      <c r="IP24" s="1">
        <v>24</v>
      </c>
      <c r="IQ24" s="1">
        <v>46</v>
      </c>
      <c r="IR24" s="1">
        <v>19</v>
      </c>
      <c r="IS24" s="1">
        <v>26.289000000000001</v>
      </c>
      <c r="IT24" s="1">
        <v>107</v>
      </c>
      <c r="IU24" s="1">
        <v>11</v>
      </c>
      <c r="IV24" s="1">
        <v>21</v>
      </c>
      <c r="IW24" s="1">
        <v>46</v>
      </c>
      <c r="IX24" s="1">
        <v>18</v>
      </c>
      <c r="IY24" s="1">
        <v>27.277000000000001</v>
      </c>
      <c r="IZ24" s="1">
        <v>93</v>
      </c>
      <c r="JA24" s="1">
        <v>16</v>
      </c>
      <c r="JB24" s="1">
        <v>23</v>
      </c>
      <c r="JC24" s="1">
        <v>47</v>
      </c>
      <c r="JD24" s="1">
        <v>20</v>
      </c>
      <c r="JE24" s="1">
        <v>28.369</v>
      </c>
      <c r="JF24" s="1">
        <v>88</v>
      </c>
      <c r="JG24" s="1">
        <v>23</v>
      </c>
      <c r="JH24" s="1">
        <v>17</v>
      </c>
      <c r="JI24" s="1">
        <v>42</v>
      </c>
      <c r="JJ24" s="1">
        <v>21</v>
      </c>
      <c r="JK24" s="1">
        <v>25.469000000000001</v>
      </c>
      <c r="JL24" s="1">
        <v>107</v>
      </c>
      <c r="JM24" s="1">
        <v>25</v>
      </c>
      <c r="JN24" s="1">
        <v>21</v>
      </c>
      <c r="JO24" s="1">
        <v>42</v>
      </c>
      <c r="JP24" s="1">
        <v>19</v>
      </c>
      <c r="JQ24" s="1">
        <v>28.361000000000001</v>
      </c>
      <c r="JR24" s="1">
        <v>90</v>
      </c>
      <c r="JS24" s="1">
        <v>20</v>
      </c>
      <c r="JT24" s="1">
        <v>27</v>
      </c>
      <c r="JU24" s="1">
        <v>41</v>
      </c>
      <c r="JV24" s="1">
        <v>22</v>
      </c>
      <c r="JW24" s="1">
        <v>24.988</v>
      </c>
      <c r="JX24" s="1">
        <v>118</v>
      </c>
      <c r="JY24" s="1">
        <v>18</v>
      </c>
      <c r="JZ24" s="1">
        <v>25</v>
      </c>
      <c r="KA24" s="1">
        <v>43</v>
      </c>
      <c r="KB24" s="1">
        <v>23</v>
      </c>
      <c r="KC24" s="1">
        <v>29.077000000000002</v>
      </c>
      <c r="KD24" s="1">
        <v>126</v>
      </c>
      <c r="KE24" s="1">
        <v>21</v>
      </c>
      <c r="KF24" s="1">
        <v>24</v>
      </c>
      <c r="KG24" s="1">
        <v>42</v>
      </c>
      <c r="KH24" s="1">
        <v>15</v>
      </c>
      <c r="KI24" s="1">
        <v>30.51</v>
      </c>
      <c r="KJ24" s="1">
        <v>122</v>
      </c>
      <c r="KK24" s="1">
        <v>18</v>
      </c>
      <c r="KL24" s="1">
        <v>26</v>
      </c>
      <c r="KM24" s="1">
        <v>41</v>
      </c>
      <c r="KN24" s="1">
        <v>21</v>
      </c>
      <c r="KO24" s="1">
        <v>27.644000000000002</v>
      </c>
      <c r="KP24" s="1">
        <v>124</v>
      </c>
      <c r="KQ24" s="1">
        <v>20</v>
      </c>
      <c r="KR24" s="1">
        <v>19</v>
      </c>
      <c r="KS24" s="1">
        <v>46</v>
      </c>
      <c r="KT24" s="1">
        <v>18</v>
      </c>
      <c r="KU24" s="1">
        <v>29.880000000000003</v>
      </c>
      <c r="KV24" s="1">
        <v>77</v>
      </c>
      <c r="KW24" s="1">
        <v>13</v>
      </c>
      <c r="KX24" s="1">
        <v>23</v>
      </c>
      <c r="KY24" s="1">
        <v>41</v>
      </c>
      <c r="KZ24" s="1">
        <v>23</v>
      </c>
      <c r="LA24" s="1">
        <v>25.816000000000003</v>
      </c>
      <c r="LB24" s="1">
        <v>85</v>
      </c>
      <c r="LC24" s="1">
        <v>9</v>
      </c>
      <c r="LD24" s="1">
        <v>19</v>
      </c>
      <c r="LE24" s="1">
        <v>43</v>
      </c>
      <c r="LF24" s="1">
        <v>20</v>
      </c>
      <c r="LG24" s="1">
        <v>26.830000000000002</v>
      </c>
      <c r="LH24" s="1">
        <v>83</v>
      </c>
      <c r="LI24" s="1">
        <v>14</v>
      </c>
      <c r="LJ24" s="1">
        <v>17</v>
      </c>
      <c r="LK24" s="1">
        <v>41</v>
      </c>
      <c r="LL24" s="1">
        <v>17</v>
      </c>
      <c r="LM24" s="1">
        <v>26.831</v>
      </c>
      <c r="LN24" s="1">
        <v>102</v>
      </c>
      <c r="LO24" s="1">
        <v>15</v>
      </c>
      <c r="LP24" s="1">
        <v>18</v>
      </c>
      <c r="LQ24" s="1">
        <v>41</v>
      </c>
      <c r="LR24" s="1">
        <v>16</v>
      </c>
      <c r="LS24" s="1">
        <v>25.773</v>
      </c>
      <c r="LT24" s="1">
        <v>105</v>
      </c>
      <c r="LU24" s="1">
        <v>19</v>
      </c>
      <c r="LV24" s="1">
        <v>24</v>
      </c>
      <c r="LW24" s="1">
        <v>43</v>
      </c>
      <c r="LX24" s="1">
        <v>19</v>
      </c>
      <c r="LY24" s="1">
        <v>28.512</v>
      </c>
      <c r="LZ24" s="1">
        <v>74</v>
      </c>
      <c r="MA24" s="1">
        <v>26</v>
      </c>
      <c r="MB24" s="1">
        <v>21</v>
      </c>
      <c r="MC24" s="1">
        <v>43</v>
      </c>
      <c r="MD24" s="1">
        <v>22</v>
      </c>
      <c r="ME24" s="1">
        <v>27.117000000000001</v>
      </c>
      <c r="MF24" s="1">
        <v>71</v>
      </c>
      <c r="MG24" s="1">
        <v>23</v>
      </c>
      <c r="MH24" s="1">
        <v>20</v>
      </c>
      <c r="MI24" s="1">
        <v>44</v>
      </c>
      <c r="MJ24" s="1">
        <v>21</v>
      </c>
      <c r="MK24" s="1">
        <v>25.011000000000003</v>
      </c>
      <c r="ML24" s="1">
        <v>83</v>
      </c>
      <c r="MM24" s="1">
        <v>13</v>
      </c>
      <c r="MN24" s="1">
        <v>25</v>
      </c>
      <c r="MO24" s="1">
        <v>45</v>
      </c>
      <c r="MP24" s="1">
        <v>21</v>
      </c>
      <c r="MQ24" s="1">
        <v>26.191000000000003</v>
      </c>
      <c r="MR24" s="1">
        <v>100</v>
      </c>
      <c r="MS24" s="1">
        <v>24</v>
      </c>
      <c r="MT24" s="1">
        <v>19</v>
      </c>
      <c r="MU24" s="1">
        <v>40</v>
      </c>
      <c r="MV24" s="1">
        <v>19</v>
      </c>
      <c r="MW24" s="1">
        <v>26.234000000000002</v>
      </c>
    </row>
    <row r="25" spans="1:361">
      <c r="A25" s="1">
        <v>22</v>
      </c>
      <c r="B25" s="1">
        <v>76</v>
      </c>
      <c r="C25" s="1">
        <v>18</v>
      </c>
      <c r="D25" s="1">
        <v>14</v>
      </c>
      <c r="E25" s="1">
        <v>43</v>
      </c>
      <c r="F25" s="1">
        <v>15</v>
      </c>
      <c r="G25" s="1">
        <v>26.42</v>
      </c>
      <c r="H25" s="1">
        <v>68</v>
      </c>
      <c r="I25" s="1">
        <v>21</v>
      </c>
      <c r="J25" s="1">
        <v>14</v>
      </c>
      <c r="K25" s="1">
        <v>40</v>
      </c>
      <c r="L25" s="1">
        <v>19</v>
      </c>
      <c r="M25" s="1">
        <v>24.364000000000001</v>
      </c>
      <c r="N25" s="1">
        <v>83</v>
      </c>
      <c r="O25" s="1">
        <v>23</v>
      </c>
      <c r="P25" s="1">
        <v>21</v>
      </c>
      <c r="Q25" s="1">
        <v>42</v>
      </c>
      <c r="R25" s="1">
        <v>20</v>
      </c>
      <c r="S25" s="1">
        <v>27.183</v>
      </c>
      <c r="T25" s="1">
        <v>72</v>
      </c>
      <c r="U25" s="1">
        <v>23</v>
      </c>
      <c r="V25" s="1">
        <v>19</v>
      </c>
      <c r="W25" s="1">
        <v>40</v>
      </c>
      <c r="X25" s="1">
        <v>20</v>
      </c>
      <c r="Y25" s="1">
        <v>25.898</v>
      </c>
      <c r="Z25" s="1">
        <v>80</v>
      </c>
      <c r="AA25" s="1">
        <v>20</v>
      </c>
      <c r="AB25" s="1">
        <v>21</v>
      </c>
      <c r="AC25" s="1">
        <v>45</v>
      </c>
      <c r="AD25" s="1">
        <v>16</v>
      </c>
      <c r="AE25" s="1">
        <v>26.676000000000002</v>
      </c>
      <c r="AF25" s="1">
        <v>69</v>
      </c>
      <c r="AG25" s="1">
        <v>17</v>
      </c>
      <c r="AH25" s="1">
        <v>19</v>
      </c>
      <c r="AI25" s="1">
        <v>43</v>
      </c>
      <c r="AJ25" s="1">
        <v>21</v>
      </c>
      <c r="AK25" s="1">
        <v>26.893000000000001</v>
      </c>
      <c r="AL25" s="1">
        <v>70</v>
      </c>
      <c r="AM25" s="1">
        <v>19</v>
      </c>
      <c r="AN25" s="1">
        <v>17</v>
      </c>
      <c r="AO25" s="1">
        <v>45</v>
      </c>
      <c r="AP25" s="1">
        <v>22</v>
      </c>
      <c r="AQ25" s="1">
        <v>26.356000000000002</v>
      </c>
      <c r="AR25" s="1">
        <v>108</v>
      </c>
      <c r="AS25" s="1">
        <v>21</v>
      </c>
      <c r="AT25" s="1">
        <v>25</v>
      </c>
      <c r="AU25" s="1">
        <v>45</v>
      </c>
      <c r="AV25" s="1">
        <v>19</v>
      </c>
      <c r="AW25" s="1">
        <v>29.748000000000001</v>
      </c>
      <c r="AX25" s="1">
        <v>78</v>
      </c>
      <c r="AY25" s="1">
        <v>13</v>
      </c>
      <c r="AZ25" s="1">
        <v>18</v>
      </c>
      <c r="BA25" s="1">
        <v>41</v>
      </c>
      <c r="BB25" s="1">
        <v>20</v>
      </c>
      <c r="BC25" s="1">
        <v>25.159000000000002</v>
      </c>
      <c r="BD25" s="1">
        <v>81</v>
      </c>
      <c r="BE25" s="1">
        <v>18</v>
      </c>
      <c r="BF25" s="1">
        <v>21</v>
      </c>
      <c r="BG25" s="1">
        <v>44</v>
      </c>
      <c r="BH25" s="1">
        <v>20</v>
      </c>
      <c r="BI25" s="1">
        <v>27.033000000000001</v>
      </c>
      <c r="BJ25" s="1">
        <v>72</v>
      </c>
      <c r="BK25" s="1">
        <v>18</v>
      </c>
      <c r="BL25" s="1">
        <v>17</v>
      </c>
      <c r="BM25" s="1">
        <v>47</v>
      </c>
      <c r="BN25" s="1">
        <v>21</v>
      </c>
      <c r="BO25" s="1">
        <v>25.861000000000001</v>
      </c>
      <c r="BP25" s="1">
        <v>126</v>
      </c>
      <c r="BQ25" s="1">
        <v>19</v>
      </c>
      <c r="BR25" s="1">
        <v>22</v>
      </c>
      <c r="BS25" s="1">
        <v>43</v>
      </c>
      <c r="BT25" s="1">
        <v>19</v>
      </c>
      <c r="BU25" s="1">
        <v>29.344000000000001</v>
      </c>
      <c r="BV25" s="1">
        <v>125</v>
      </c>
      <c r="BW25" s="1">
        <v>30</v>
      </c>
      <c r="BX25" s="1">
        <v>27</v>
      </c>
      <c r="BY25" s="1">
        <v>43</v>
      </c>
      <c r="BZ25" s="1">
        <v>21</v>
      </c>
      <c r="CA25" s="1">
        <v>27.652000000000001</v>
      </c>
      <c r="CB25" s="1">
        <v>79</v>
      </c>
      <c r="CC25" s="1">
        <v>15</v>
      </c>
      <c r="CD25" s="1">
        <v>18</v>
      </c>
      <c r="CE25" s="1">
        <v>41</v>
      </c>
      <c r="CF25" s="1">
        <v>23</v>
      </c>
      <c r="CG25" s="1">
        <v>25.269000000000002</v>
      </c>
      <c r="CH25" s="1">
        <v>68</v>
      </c>
      <c r="CI25" s="1">
        <v>21</v>
      </c>
      <c r="CJ25" s="1">
        <v>21</v>
      </c>
      <c r="CK25" s="1">
        <v>41</v>
      </c>
      <c r="CL25" s="1">
        <v>18</v>
      </c>
      <c r="CM25" s="1">
        <v>24.077000000000002</v>
      </c>
      <c r="CN25" s="1">
        <v>119</v>
      </c>
      <c r="CO25" s="1">
        <v>21</v>
      </c>
      <c r="CP25" s="1">
        <v>26</v>
      </c>
      <c r="CQ25" s="1">
        <v>42</v>
      </c>
      <c r="CR25" s="1">
        <v>19</v>
      </c>
      <c r="CS25" s="1">
        <v>29.740000000000002</v>
      </c>
      <c r="CT25" s="1">
        <v>105</v>
      </c>
      <c r="CU25" s="1">
        <v>21</v>
      </c>
      <c r="CV25" s="1">
        <v>23</v>
      </c>
      <c r="CW25" s="1">
        <v>44</v>
      </c>
      <c r="CX25" s="1">
        <v>19</v>
      </c>
      <c r="CY25" s="1">
        <v>27.368000000000002</v>
      </c>
      <c r="CZ25" s="1">
        <v>88</v>
      </c>
      <c r="DA25" s="1">
        <v>19</v>
      </c>
      <c r="DB25" s="1">
        <v>20</v>
      </c>
      <c r="DC25" s="1">
        <v>42</v>
      </c>
      <c r="DD25" s="1">
        <v>18</v>
      </c>
      <c r="DE25" s="1">
        <v>26.098000000000003</v>
      </c>
      <c r="DF25" s="1">
        <v>71</v>
      </c>
      <c r="DG25" s="1">
        <v>12</v>
      </c>
      <c r="DH25" s="1">
        <v>17</v>
      </c>
      <c r="DI25" s="1">
        <v>45</v>
      </c>
      <c r="DJ25" s="1">
        <v>19</v>
      </c>
      <c r="DK25" s="1">
        <v>25.405000000000001</v>
      </c>
      <c r="DL25" s="1">
        <v>94</v>
      </c>
      <c r="DM25" s="1">
        <v>15</v>
      </c>
      <c r="DN25" s="1">
        <v>22</v>
      </c>
      <c r="DO25" s="1">
        <v>41</v>
      </c>
      <c r="DP25" s="1">
        <v>19</v>
      </c>
      <c r="DQ25" s="1">
        <v>26.065000000000001</v>
      </c>
      <c r="DR25" s="1">
        <v>78</v>
      </c>
      <c r="DS25" s="1">
        <v>11</v>
      </c>
      <c r="DT25" s="1">
        <v>19</v>
      </c>
      <c r="DU25" s="1">
        <v>45</v>
      </c>
      <c r="DV25" s="1">
        <v>19</v>
      </c>
      <c r="DW25" s="1">
        <v>25.015000000000001</v>
      </c>
      <c r="DX25" s="1">
        <v>80</v>
      </c>
      <c r="DY25" s="1">
        <v>17</v>
      </c>
      <c r="DZ25" s="1">
        <v>21</v>
      </c>
      <c r="EA25" s="1">
        <v>42</v>
      </c>
      <c r="EB25" s="1">
        <v>16</v>
      </c>
      <c r="EC25" s="1">
        <v>24.393000000000001</v>
      </c>
      <c r="ED25" s="1">
        <v>90</v>
      </c>
      <c r="EE25" s="1">
        <v>12</v>
      </c>
      <c r="EF25" s="1">
        <v>19</v>
      </c>
      <c r="EG25" s="1">
        <v>44</v>
      </c>
      <c r="EH25" s="1">
        <v>17</v>
      </c>
      <c r="EI25" s="1">
        <v>27.537000000000003</v>
      </c>
      <c r="EJ25" s="1">
        <v>86</v>
      </c>
      <c r="EK25" s="1">
        <v>21</v>
      </c>
      <c r="EL25" s="1">
        <v>23</v>
      </c>
      <c r="EM25" s="1">
        <v>42</v>
      </c>
      <c r="EN25" s="1">
        <v>19</v>
      </c>
      <c r="EO25" s="1">
        <v>24.571000000000002</v>
      </c>
      <c r="EP25" s="1">
        <v>100</v>
      </c>
      <c r="EQ25" s="1">
        <v>24</v>
      </c>
      <c r="ER25" s="1">
        <v>22</v>
      </c>
      <c r="ES25" s="1">
        <v>41</v>
      </c>
      <c r="ET25" s="1">
        <v>21</v>
      </c>
      <c r="EU25" s="1">
        <v>28.713000000000001</v>
      </c>
      <c r="EV25" s="1">
        <v>82</v>
      </c>
      <c r="EW25" s="1">
        <v>16</v>
      </c>
      <c r="EX25" s="1">
        <v>23</v>
      </c>
      <c r="EY25" s="1">
        <v>44</v>
      </c>
      <c r="EZ25" s="1">
        <v>19</v>
      </c>
      <c r="FA25" s="1">
        <v>27.048000000000002</v>
      </c>
      <c r="FB25" s="1">
        <v>94</v>
      </c>
      <c r="FC25" s="1">
        <v>28</v>
      </c>
      <c r="FD25" s="1">
        <v>19</v>
      </c>
      <c r="FE25" s="1">
        <v>47</v>
      </c>
      <c r="FF25" s="1">
        <v>24</v>
      </c>
      <c r="FG25" s="1">
        <v>29.5</v>
      </c>
      <c r="FH25" s="1">
        <v>109</v>
      </c>
      <c r="FI25" s="1">
        <v>18</v>
      </c>
      <c r="FJ25" s="1">
        <v>22</v>
      </c>
      <c r="FK25" s="1">
        <v>44</v>
      </c>
      <c r="FL25" s="1">
        <v>20</v>
      </c>
      <c r="FM25" s="1">
        <v>29.088000000000001</v>
      </c>
      <c r="FN25" s="1">
        <v>113</v>
      </c>
      <c r="FO25" s="1">
        <v>22</v>
      </c>
      <c r="FP25" s="1">
        <v>24</v>
      </c>
      <c r="FQ25" s="1">
        <v>44</v>
      </c>
      <c r="FR25" s="1">
        <v>19</v>
      </c>
      <c r="FS25" s="1">
        <v>28.706</v>
      </c>
      <c r="FT25" s="1">
        <v>101</v>
      </c>
      <c r="FU25" s="1">
        <v>26</v>
      </c>
      <c r="FV25" s="1">
        <v>26</v>
      </c>
      <c r="FW25" s="1">
        <v>42</v>
      </c>
      <c r="FX25" s="1">
        <v>20</v>
      </c>
      <c r="FY25" s="1">
        <v>27.721</v>
      </c>
      <c r="FZ25" s="1">
        <v>123</v>
      </c>
      <c r="GA25" s="1">
        <v>18</v>
      </c>
      <c r="GB25" s="1">
        <v>25</v>
      </c>
      <c r="GC25" s="1">
        <v>41</v>
      </c>
      <c r="GD25" s="1">
        <v>20</v>
      </c>
      <c r="GE25" s="1">
        <v>30.368000000000002</v>
      </c>
      <c r="GF25" s="1">
        <v>87</v>
      </c>
      <c r="GG25" s="1">
        <v>16</v>
      </c>
      <c r="GH25" s="1">
        <v>18</v>
      </c>
      <c r="GI25" s="1">
        <v>46</v>
      </c>
      <c r="GJ25" s="1">
        <v>19</v>
      </c>
      <c r="GK25" s="1">
        <v>26.834</v>
      </c>
      <c r="GL25" s="1">
        <v>100</v>
      </c>
      <c r="GM25" s="1">
        <v>23</v>
      </c>
      <c r="GN25" s="1">
        <v>18</v>
      </c>
      <c r="GO25" s="1">
        <v>43</v>
      </c>
      <c r="GP25" s="1">
        <v>18</v>
      </c>
      <c r="GQ25" s="1">
        <v>27.540000000000003</v>
      </c>
      <c r="GR25" s="1">
        <v>129</v>
      </c>
      <c r="GS25" s="1">
        <v>24</v>
      </c>
      <c r="GT25" s="1">
        <v>25</v>
      </c>
      <c r="GU25" s="1">
        <v>45</v>
      </c>
      <c r="GV25" s="1">
        <v>22</v>
      </c>
      <c r="GW25" s="1">
        <v>30.6</v>
      </c>
      <c r="GX25" s="1">
        <v>84</v>
      </c>
      <c r="GY25" s="1">
        <v>24</v>
      </c>
      <c r="GZ25" s="1">
        <v>19</v>
      </c>
      <c r="HA25" s="1">
        <v>44</v>
      </c>
      <c r="HB25" s="1">
        <v>15</v>
      </c>
      <c r="HC25" s="1">
        <v>25.766999999999999</v>
      </c>
      <c r="HD25" s="1">
        <v>68</v>
      </c>
      <c r="HE25" s="1">
        <v>9</v>
      </c>
      <c r="HF25" s="1">
        <v>15</v>
      </c>
      <c r="HG25" s="1">
        <v>41</v>
      </c>
      <c r="HH25" s="1">
        <v>18</v>
      </c>
      <c r="HI25" s="1">
        <v>25.288</v>
      </c>
      <c r="HJ25" s="1">
        <v>112</v>
      </c>
      <c r="HK25" s="1">
        <v>24</v>
      </c>
      <c r="HL25" s="1">
        <v>25</v>
      </c>
      <c r="HM25" s="1">
        <v>47</v>
      </c>
      <c r="HN25" s="1">
        <v>22</v>
      </c>
      <c r="HO25" s="1">
        <v>29.516000000000002</v>
      </c>
      <c r="HP25" s="1">
        <v>110</v>
      </c>
      <c r="HQ25" s="1">
        <v>17</v>
      </c>
      <c r="HR25" s="1">
        <v>24</v>
      </c>
      <c r="HS25" s="1">
        <v>50</v>
      </c>
      <c r="HT25" s="1">
        <v>19</v>
      </c>
      <c r="HU25" s="1">
        <v>28.221</v>
      </c>
      <c r="HV25" s="1">
        <v>106</v>
      </c>
      <c r="HW25" s="1">
        <v>29</v>
      </c>
      <c r="HX25" s="1">
        <v>18</v>
      </c>
      <c r="HY25" s="1">
        <v>44</v>
      </c>
      <c r="HZ25" s="1">
        <v>18</v>
      </c>
      <c r="IA25" s="1">
        <v>27.295000000000002</v>
      </c>
      <c r="IB25" s="1">
        <v>110</v>
      </c>
      <c r="IC25" s="1">
        <v>13</v>
      </c>
      <c r="ID25" s="1">
        <v>24</v>
      </c>
      <c r="IE25" s="1">
        <v>42</v>
      </c>
      <c r="IF25" s="1">
        <v>22</v>
      </c>
      <c r="IG25" s="1">
        <v>27.961000000000002</v>
      </c>
      <c r="IH25" s="1">
        <v>91</v>
      </c>
      <c r="II25" s="1">
        <v>10</v>
      </c>
      <c r="IJ25" s="1">
        <v>22</v>
      </c>
      <c r="IK25" s="1">
        <v>45</v>
      </c>
      <c r="IL25" s="1">
        <v>18</v>
      </c>
      <c r="IM25" s="1">
        <v>27.963000000000001</v>
      </c>
      <c r="IN25" s="1">
        <v>71</v>
      </c>
      <c r="IO25" s="1">
        <v>14</v>
      </c>
      <c r="IP25" s="1">
        <v>17</v>
      </c>
      <c r="IQ25" s="1">
        <v>45</v>
      </c>
      <c r="IR25" s="1">
        <v>24</v>
      </c>
      <c r="IS25" s="1">
        <v>23.619</v>
      </c>
      <c r="IT25" s="1">
        <v>106</v>
      </c>
      <c r="IU25" s="1">
        <v>14</v>
      </c>
      <c r="IV25" s="1">
        <v>21</v>
      </c>
      <c r="IW25" s="1">
        <v>45</v>
      </c>
      <c r="IX25" s="1">
        <v>22</v>
      </c>
      <c r="IY25" s="1">
        <v>28.456</v>
      </c>
      <c r="IZ25" s="1">
        <v>72</v>
      </c>
      <c r="JA25" s="1">
        <v>18</v>
      </c>
      <c r="JB25" s="1">
        <v>17</v>
      </c>
      <c r="JC25" s="1">
        <v>43</v>
      </c>
      <c r="JD25" s="1">
        <v>18</v>
      </c>
      <c r="JE25" s="1">
        <v>25.470000000000002</v>
      </c>
      <c r="JF25" s="1">
        <v>97</v>
      </c>
      <c r="JG25" s="1">
        <v>22</v>
      </c>
      <c r="JH25" s="1">
        <v>25</v>
      </c>
      <c r="JI25" s="1">
        <v>45</v>
      </c>
      <c r="JJ25" s="1">
        <v>21</v>
      </c>
      <c r="JK25" s="1">
        <v>29.992000000000001</v>
      </c>
      <c r="JL25" s="1">
        <v>89</v>
      </c>
      <c r="JM25" s="1">
        <v>19</v>
      </c>
      <c r="JN25" s="1">
        <v>20</v>
      </c>
      <c r="JO25" s="1">
        <v>47</v>
      </c>
      <c r="JP25" s="1">
        <v>20</v>
      </c>
      <c r="JQ25" s="1">
        <v>26.630000000000003</v>
      </c>
      <c r="JR25" s="1">
        <v>75</v>
      </c>
      <c r="JS25" s="1">
        <v>24</v>
      </c>
      <c r="JT25" s="1">
        <v>20</v>
      </c>
      <c r="JU25" s="1">
        <v>44</v>
      </c>
      <c r="JV25" s="1">
        <v>22</v>
      </c>
      <c r="JW25" s="1">
        <v>25.054000000000002</v>
      </c>
      <c r="JX25" s="1">
        <v>71</v>
      </c>
      <c r="JY25" s="1">
        <v>10</v>
      </c>
      <c r="JZ25" s="1">
        <v>21</v>
      </c>
      <c r="KA25" s="1">
        <v>41</v>
      </c>
      <c r="KB25" s="1">
        <v>21</v>
      </c>
      <c r="KC25" s="1">
        <v>24.98</v>
      </c>
      <c r="KD25" s="1">
        <v>70</v>
      </c>
      <c r="KE25" s="1">
        <v>18</v>
      </c>
      <c r="KF25" s="1">
        <v>22</v>
      </c>
      <c r="KG25" s="1">
        <v>43</v>
      </c>
      <c r="KH25" s="1">
        <v>20</v>
      </c>
      <c r="KI25" s="1">
        <v>26.309000000000001</v>
      </c>
      <c r="KJ25" s="1">
        <v>113</v>
      </c>
      <c r="KK25" s="1">
        <v>21</v>
      </c>
      <c r="KL25" s="1">
        <v>21</v>
      </c>
      <c r="KM25" s="1">
        <v>42</v>
      </c>
      <c r="KN25" s="1">
        <v>20</v>
      </c>
      <c r="KO25" s="1">
        <v>26.487000000000002</v>
      </c>
      <c r="KP25" s="1">
        <v>107</v>
      </c>
      <c r="KQ25" s="1">
        <v>14</v>
      </c>
      <c r="KR25" s="1">
        <v>20</v>
      </c>
      <c r="KS25" s="1">
        <v>44</v>
      </c>
      <c r="KT25" s="1">
        <v>20</v>
      </c>
      <c r="KU25" s="1">
        <v>27.316000000000003</v>
      </c>
      <c r="KV25" s="1">
        <v>75</v>
      </c>
      <c r="KW25" s="1">
        <v>17</v>
      </c>
      <c r="KX25" s="1">
        <v>16</v>
      </c>
      <c r="KY25" s="1">
        <v>47</v>
      </c>
      <c r="KZ25" s="1">
        <v>21</v>
      </c>
      <c r="LA25" s="1">
        <v>25.173000000000002</v>
      </c>
      <c r="LB25" s="1">
        <v>118</v>
      </c>
      <c r="LC25" s="1">
        <v>12</v>
      </c>
      <c r="LD25" s="1">
        <v>22</v>
      </c>
      <c r="LE25" s="1">
        <v>41</v>
      </c>
      <c r="LF25" s="1">
        <v>18</v>
      </c>
      <c r="LG25" s="1">
        <v>28.302</v>
      </c>
      <c r="LH25" s="1">
        <v>92</v>
      </c>
      <c r="LI25" s="1">
        <v>15</v>
      </c>
      <c r="LJ25" s="1">
        <v>17</v>
      </c>
      <c r="LK25" s="1">
        <v>42</v>
      </c>
      <c r="LL25" s="1">
        <v>22</v>
      </c>
      <c r="LM25" s="1">
        <v>26.915000000000003</v>
      </c>
      <c r="LN25" s="1">
        <v>70</v>
      </c>
      <c r="LO25" s="1">
        <v>14</v>
      </c>
      <c r="LP25" s="1">
        <v>21</v>
      </c>
      <c r="LQ25" s="1">
        <v>47</v>
      </c>
      <c r="LR25" s="1">
        <v>23</v>
      </c>
      <c r="LS25" s="1">
        <v>25.845000000000002</v>
      </c>
      <c r="LT25" s="1">
        <v>114</v>
      </c>
      <c r="LU25" s="1">
        <v>23</v>
      </c>
      <c r="LV25" s="1">
        <v>23</v>
      </c>
      <c r="LW25" s="1">
        <v>45</v>
      </c>
      <c r="LX25" s="1">
        <v>23</v>
      </c>
      <c r="LY25" s="1">
        <v>30.238</v>
      </c>
      <c r="LZ25" s="1">
        <v>74</v>
      </c>
      <c r="MA25" s="1">
        <v>21</v>
      </c>
      <c r="MB25" s="1">
        <v>17</v>
      </c>
      <c r="MC25" s="1">
        <v>44</v>
      </c>
      <c r="MD25" s="1">
        <v>20</v>
      </c>
      <c r="ME25" s="1">
        <v>25.141999999999999</v>
      </c>
      <c r="MF25" s="1">
        <v>121</v>
      </c>
      <c r="MG25" s="1">
        <v>19</v>
      </c>
      <c r="MH25" s="1">
        <v>25</v>
      </c>
      <c r="MI25" s="1">
        <v>46</v>
      </c>
      <c r="MJ25" s="1">
        <v>17</v>
      </c>
      <c r="MK25" s="1">
        <v>30.814</v>
      </c>
      <c r="ML25" s="1">
        <v>112</v>
      </c>
      <c r="MM25" s="1">
        <v>24</v>
      </c>
      <c r="MN25" s="1">
        <v>27</v>
      </c>
      <c r="MO25" s="1">
        <v>43</v>
      </c>
      <c r="MP25" s="1">
        <v>20</v>
      </c>
      <c r="MQ25" s="1">
        <v>27.581</v>
      </c>
      <c r="MR25" s="1">
        <v>99</v>
      </c>
      <c r="MS25" s="1">
        <v>23</v>
      </c>
      <c r="MT25" s="1">
        <v>21</v>
      </c>
      <c r="MU25" s="1">
        <v>43</v>
      </c>
      <c r="MV25" s="1">
        <v>21</v>
      </c>
      <c r="MW25" s="1">
        <v>27.057000000000002</v>
      </c>
    </row>
    <row r="26" spans="1:361">
      <c r="A26" s="1">
        <v>23</v>
      </c>
      <c r="B26" s="1">
        <v>100</v>
      </c>
      <c r="C26" s="1">
        <v>18</v>
      </c>
      <c r="D26" s="1">
        <v>21</v>
      </c>
      <c r="E26" s="1">
        <v>42</v>
      </c>
      <c r="F26" s="1">
        <v>20</v>
      </c>
      <c r="G26" s="1">
        <v>26.037000000000003</v>
      </c>
      <c r="H26" s="1">
        <v>110</v>
      </c>
      <c r="I26" s="1">
        <v>17</v>
      </c>
      <c r="J26" s="1">
        <v>28</v>
      </c>
      <c r="K26" s="1">
        <v>45</v>
      </c>
      <c r="L26" s="1">
        <v>23</v>
      </c>
      <c r="M26" s="1">
        <v>28.019000000000002</v>
      </c>
      <c r="N26" s="1">
        <v>75</v>
      </c>
      <c r="O26" s="1">
        <v>17</v>
      </c>
      <c r="P26" s="1">
        <v>19</v>
      </c>
      <c r="Q26" s="1">
        <v>44</v>
      </c>
      <c r="R26" s="1">
        <v>22</v>
      </c>
      <c r="S26" s="1">
        <v>25.784000000000002</v>
      </c>
      <c r="T26" s="1">
        <v>101</v>
      </c>
      <c r="U26" s="1">
        <v>23</v>
      </c>
      <c r="V26" s="1">
        <v>21</v>
      </c>
      <c r="W26" s="1">
        <v>43</v>
      </c>
      <c r="X26" s="1">
        <v>21</v>
      </c>
      <c r="Y26" s="1">
        <v>28.139000000000003</v>
      </c>
      <c r="Z26" s="1">
        <v>108</v>
      </c>
      <c r="AA26" s="1">
        <v>24</v>
      </c>
      <c r="AB26" s="1">
        <v>23</v>
      </c>
      <c r="AC26" s="1">
        <v>39</v>
      </c>
      <c r="AD26" s="1">
        <v>19</v>
      </c>
      <c r="AE26" s="1">
        <v>28.944000000000003</v>
      </c>
      <c r="AF26" s="1">
        <v>123</v>
      </c>
      <c r="AG26" s="1">
        <v>17</v>
      </c>
      <c r="AH26" s="1">
        <v>23</v>
      </c>
      <c r="AI26" s="1">
        <v>42</v>
      </c>
      <c r="AJ26" s="1">
        <v>17</v>
      </c>
      <c r="AK26" s="1">
        <v>27.721</v>
      </c>
      <c r="AL26" s="1">
        <v>97</v>
      </c>
      <c r="AM26" s="1">
        <v>14</v>
      </c>
      <c r="AN26" s="1">
        <v>22</v>
      </c>
      <c r="AO26" s="1">
        <v>44</v>
      </c>
      <c r="AP26" s="1">
        <v>16</v>
      </c>
      <c r="AQ26" s="1">
        <v>29.080000000000002</v>
      </c>
      <c r="AR26" s="1">
        <v>109</v>
      </c>
      <c r="AS26" s="1">
        <v>23</v>
      </c>
      <c r="AT26" s="1">
        <v>26</v>
      </c>
      <c r="AU26" s="1">
        <v>40</v>
      </c>
      <c r="AV26" s="1">
        <v>23</v>
      </c>
      <c r="AW26" s="1">
        <v>29.476000000000003</v>
      </c>
      <c r="AX26" s="1">
        <v>74</v>
      </c>
      <c r="AY26" s="1">
        <v>14</v>
      </c>
      <c r="AZ26" s="1">
        <v>11</v>
      </c>
      <c r="BA26" s="1">
        <v>44</v>
      </c>
      <c r="BB26" s="1">
        <v>21</v>
      </c>
      <c r="BC26" s="1">
        <v>24.793000000000003</v>
      </c>
      <c r="BD26" s="1">
        <v>67</v>
      </c>
      <c r="BE26" s="1">
        <v>23</v>
      </c>
      <c r="BF26" s="1">
        <v>16</v>
      </c>
      <c r="BG26" s="1">
        <v>40</v>
      </c>
      <c r="BH26" s="1">
        <v>17</v>
      </c>
      <c r="BI26" s="1">
        <v>23.739000000000001</v>
      </c>
      <c r="BJ26" s="1">
        <v>77</v>
      </c>
      <c r="BK26" s="1">
        <v>20</v>
      </c>
      <c r="BL26" s="1">
        <v>22</v>
      </c>
      <c r="BM26" s="1">
        <v>40</v>
      </c>
      <c r="BN26" s="1">
        <v>22</v>
      </c>
      <c r="BO26" s="1">
        <v>23.942</v>
      </c>
      <c r="BP26" s="1">
        <v>113</v>
      </c>
      <c r="BQ26" s="1">
        <v>11</v>
      </c>
      <c r="BR26" s="1">
        <v>21</v>
      </c>
      <c r="BS26" s="1">
        <v>44</v>
      </c>
      <c r="BT26" s="1">
        <v>19</v>
      </c>
      <c r="BU26" s="1">
        <v>29.314</v>
      </c>
      <c r="BV26" s="1">
        <v>83</v>
      </c>
      <c r="BW26" s="1">
        <v>13</v>
      </c>
      <c r="BX26" s="1">
        <v>22</v>
      </c>
      <c r="BY26" s="1">
        <v>41</v>
      </c>
      <c r="BZ26" s="1">
        <v>21</v>
      </c>
      <c r="CA26" s="1">
        <v>26.508000000000003</v>
      </c>
      <c r="CB26" s="1">
        <v>96</v>
      </c>
      <c r="CC26" s="1">
        <v>25</v>
      </c>
      <c r="CD26" s="1">
        <v>21</v>
      </c>
      <c r="CE26" s="1">
        <v>48</v>
      </c>
      <c r="CF26" s="1">
        <v>16</v>
      </c>
      <c r="CG26" s="1">
        <v>25.569000000000003</v>
      </c>
      <c r="CH26" s="1">
        <v>123</v>
      </c>
      <c r="CI26" s="1">
        <v>18</v>
      </c>
      <c r="CJ26" s="1">
        <v>21</v>
      </c>
      <c r="CK26" s="1">
        <v>43</v>
      </c>
      <c r="CL26" s="1">
        <v>20</v>
      </c>
      <c r="CM26" s="1">
        <v>29.141000000000002</v>
      </c>
      <c r="CN26" s="1">
        <v>113</v>
      </c>
      <c r="CO26" s="1">
        <v>19</v>
      </c>
      <c r="CP26" s="1">
        <v>21</v>
      </c>
      <c r="CQ26" s="1">
        <v>43</v>
      </c>
      <c r="CR26" s="1">
        <v>18</v>
      </c>
      <c r="CS26" s="1">
        <v>28.391999999999999</v>
      </c>
      <c r="CT26" s="1">
        <v>68</v>
      </c>
      <c r="CU26" s="1">
        <v>13</v>
      </c>
      <c r="CV26" s="1">
        <v>15</v>
      </c>
      <c r="CW26" s="1">
        <v>44</v>
      </c>
      <c r="CX26" s="1">
        <v>21</v>
      </c>
      <c r="CY26" s="1">
        <v>24.519000000000002</v>
      </c>
      <c r="CZ26" s="1">
        <v>113</v>
      </c>
      <c r="DA26" s="1">
        <v>20</v>
      </c>
      <c r="DB26" s="1">
        <v>24</v>
      </c>
      <c r="DC26" s="1">
        <v>43</v>
      </c>
      <c r="DD26" s="1">
        <v>18</v>
      </c>
      <c r="DE26" s="1">
        <v>27.373000000000001</v>
      </c>
      <c r="DF26" s="1">
        <v>109</v>
      </c>
      <c r="DG26" s="1">
        <v>12</v>
      </c>
      <c r="DH26" s="1">
        <v>18</v>
      </c>
      <c r="DI26" s="1">
        <v>41</v>
      </c>
      <c r="DJ26" s="1">
        <v>24</v>
      </c>
      <c r="DK26" s="1">
        <v>29.200000000000003</v>
      </c>
      <c r="DL26" s="1">
        <v>82</v>
      </c>
      <c r="DM26" s="1">
        <v>12</v>
      </c>
      <c r="DN26" s="1">
        <v>18</v>
      </c>
      <c r="DO26" s="1">
        <v>41</v>
      </c>
      <c r="DP26" s="1">
        <v>18</v>
      </c>
      <c r="DQ26" s="1">
        <v>27.211000000000002</v>
      </c>
      <c r="DR26" s="1">
        <v>112</v>
      </c>
      <c r="DS26" s="1">
        <v>12</v>
      </c>
      <c r="DT26" s="1">
        <v>23</v>
      </c>
      <c r="DU26" s="1">
        <v>44</v>
      </c>
      <c r="DV26" s="1">
        <v>24</v>
      </c>
      <c r="DW26" s="1">
        <v>26.688000000000002</v>
      </c>
      <c r="DX26" s="1">
        <v>81</v>
      </c>
      <c r="DY26" s="1">
        <v>17</v>
      </c>
      <c r="DZ26" s="1">
        <v>24</v>
      </c>
      <c r="EA26" s="1">
        <v>42</v>
      </c>
      <c r="EB26" s="1">
        <v>17</v>
      </c>
      <c r="EC26" s="1">
        <v>26.153000000000002</v>
      </c>
      <c r="ED26" s="1">
        <v>116</v>
      </c>
      <c r="EE26" s="1">
        <v>22</v>
      </c>
      <c r="EF26" s="1">
        <v>27</v>
      </c>
      <c r="EG26" s="1">
        <v>39</v>
      </c>
      <c r="EH26" s="1">
        <v>22</v>
      </c>
      <c r="EI26" s="1">
        <v>27.994</v>
      </c>
      <c r="EJ26" s="1">
        <v>65</v>
      </c>
      <c r="EK26" s="1">
        <v>17</v>
      </c>
      <c r="EL26" s="1">
        <v>16</v>
      </c>
      <c r="EM26" s="1">
        <v>42</v>
      </c>
      <c r="EN26" s="1">
        <v>18</v>
      </c>
      <c r="EO26" s="1">
        <v>24.899000000000001</v>
      </c>
      <c r="EP26" s="1">
        <v>97</v>
      </c>
      <c r="EQ26" s="1">
        <v>23</v>
      </c>
      <c r="ER26" s="1">
        <v>19</v>
      </c>
      <c r="ES26" s="1">
        <v>44</v>
      </c>
      <c r="ET26" s="1">
        <v>20</v>
      </c>
      <c r="EU26" s="1">
        <v>27.294</v>
      </c>
      <c r="EV26" s="1">
        <v>69</v>
      </c>
      <c r="EW26" s="1">
        <v>19</v>
      </c>
      <c r="EX26" s="1">
        <v>16</v>
      </c>
      <c r="EY26" s="1">
        <v>45</v>
      </c>
      <c r="EZ26" s="1">
        <v>20</v>
      </c>
      <c r="FA26" s="1">
        <v>26.533000000000001</v>
      </c>
      <c r="FB26" s="1">
        <v>95</v>
      </c>
      <c r="FC26" s="1">
        <v>9</v>
      </c>
      <c r="FD26" s="1">
        <v>20</v>
      </c>
      <c r="FE26" s="1">
        <v>41</v>
      </c>
      <c r="FF26" s="1">
        <v>22</v>
      </c>
      <c r="FG26" s="1">
        <v>26.364000000000001</v>
      </c>
      <c r="FH26" s="1">
        <v>118</v>
      </c>
      <c r="FI26" s="1">
        <v>19</v>
      </c>
      <c r="FJ26" s="1">
        <v>25</v>
      </c>
      <c r="FK26" s="1">
        <v>41</v>
      </c>
      <c r="FL26" s="1">
        <v>19</v>
      </c>
      <c r="FM26" s="1">
        <v>30.188000000000002</v>
      </c>
      <c r="FN26" s="1">
        <v>101</v>
      </c>
      <c r="FO26" s="1">
        <v>23</v>
      </c>
      <c r="FP26" s="1">
        <v>21</v>
      </c>
      <c r="FQ26" s="1">
        <v>45</v>
      </c>
      <c r="FR26" s="1">
        <v>20</v>
      </c>
      <c r="FS26" s="1">
        <v>29.406000000000002</v>
      </c>
      <c r="FT26" s="1">
        <v>103</v>
      </c>
      <c r="FU26" s="1">
        <v>22</v>
      </c>
      <c r="FV26" s="1">
        <v>23</v>
      </c>
      <c r="FW26" s="1">
        <v>44</v>
      </c>
      <c r="FX26" s="1">
        <v>23</v>
      </c>
      <c r="FY26" s="1">
        <v>27.983000000000001</v>
      </c>
      <c r="FZ26" s="1">
        <v>73</v>
      </c>
      <c r="GA26" s="1">
        <v>28</v>
      </c>
      <c r="GB26" s="1">
        <v>20</v>
      </c>
      <c r="GC26" s="1">
        <v>40</v>
      </c>
      <c r="GD26" s="1">
        <v>20</v>
      </c>
      <c r="GE26" s="1">
        <v>25.499000000000002</v>
      </c>
      <c r="GF26" s="1">
        <v>107</v>
      </c>
      <c r="GG26" s="1">
        <v>11</v>
      </c>
      <c r="GH26" s="1">
        <v>24</v>
      </c>
      <c r="GI26" s="1">
        <v>47</v>
      </c>
      <c r="GJ26" s="1">
        <v>19</v>
      </c>
      <c r="GK26" s="1">
        <v>26.706</v>
      </c>
      <c r="GL26" s="1">
        <v>88</v>
      </c>
      <c r="GM26" s="1">
        <v>16</v>
      </c>
      <c r="GN26" s="1">
        <v>23</v>
      </c>
      <c r="GO26" s="1">
        <v>40</v>
      </c>
      <c r="GP26" s="1">
        <v>21</v>
      </c>
      <c r="GQ26" s="1">
        <v>25.277000000000001</v>
      </c>
      <c r="GR26" s="1">
        <v>108</v>
      </c>
      <c r="GS26" s="1">
        <v>22</v>
      </c>
      <c r="GT26" s="1">
        <v>24</v>
      </c>
      <c r="GU26" s="1">
        <v>41</v>
      </c>
      <c r="GV26" s="1">
        <v>15</v>
      </c>
      <c r="GW26" s="1">
        <v>29.62</v>
      </c>
      <c r="GX26" s="1">
        <v>79</v>
      </c>
      <c r="GY26" s="1">
        <v>18</v>
      </c>
      <c r="GZ26" s="1">
        <v>18</v>
      </c>
      <c r="HA26" s="1">
        <v>45</v>
      </c>
      <c r="HB26" s="1">
        <v>21</v>
      </c>
      <c r="HC26" s="1">
        <v>26.061</v>
      </c>
      <c r="HD26" s="1">
        <v>121</v>
      </c>
      <c r="HE26" s="1">
        <v>34</v>
      </c>
      <c r="HF26" s="1">
        <v>23</v>
      </c>
      <c r="HG26" s="1">
        <v>46</v>
      </c>
      <c r="HH26" s="1">
        <v>20</v>
      </c>
      <c r="HI26" s="1">
        <v>29.639000000000003</v>
      </c>
      <c r="HJ26" s="1">
        <v>86</v>
      </c>
      <c r="HK26" s="1">
        <v>24</v>
      </c>
      <c r="HL26" s="1">
        <v>21</v>
      </c>
      <c r="HM26" s="1">
        <v>45</v>
      </c>
      <c r="HN26" s="1">
        <v>20</v>
      </c>
      <c r="HO26" s="1">
        <v>27.652000000000001</v>
      </c>
      <c r="HP26" s="1">
        <v>101</v>
      </c>
      <c r="HQ26" s="1">
        <v>11</v>
      </c>
      <c r="HR26" s="1">
        <v>24</v>
      </c>
      <c r="HS26" s="1">
        <v>40</v>
      </c>
      <c r="HT26" s="1">
        <v>23</v>
      </c>
      <c r="HU26" s="1">
        <v>26.306000000000001</v>
      </c>
      <c r="HV26" s="1">
        <v>121</v>
      </c>
      <c r="HW26" s="1">
        <v>16</v>
      </c>
      <c r="HX26" s="1">
        <v>24</v>
      </c>
      <c r="HY26" s="1">
        <v>43</v>
      </c>
      <c r="HZ26" s="1">
        <v>19</v>
      </c>
      <c r="IA26" s="1">
        <v>27.951000000000001</v>
      </c>
      <c r="IB26" s="1">
        <v>108</v>
      </c>
      <c r="IC26" s="1">
        <v>20</v>
      </c>
      <c r="ID26" s="1">
        <v>20</v>
      </c>
      <c r="IE26" s="1">
        <v>42</v>
      </c>
      <c r="IF26" s="1">
        <v>18</v>
      </c>
      <c r="IG26" s="1">
        <v>28.087</v>
      </c>
      <c r="IH26" s="1">
        <v>118</v>
      </c>
      <c r="II26" s="1">
        <v>17</v>
      </c>
      <c r="IJ26" s="1">
        <v>26</v>
      </c>
      <c r="IK26" s="1">
        <v>40</v>
      </c>
      <c r="IL26" s="1">
        <v>16</v>
      </c>
      <c r="IM26" s="1">
        <v>29.453000000000003</v>
      </c>
      <c r="IN26" s="1">
        <v>74</v>
      </c>
      <c r="IO26" s="1">
        <v>20</v>
      </c>
      <c r="IP26" s="1">
        <v>21</v>
      </c>
      <c r="IQ26" s="1">
        <v>40</v>
      </c>
      <c r="IR26" s="1">
        <v>19</v>
      </c>
      <c r="IS26" s="1">
        <v>24.837</v>
      </c>
      <c r="IT26" s="1">
        <v>104</v>
      </c>
      <c r="IU26" s="1">
        <v>17</v>
      </c>
      <c r="IV26" s="1">
        <v>19</v>
      </c>
      <c r="IW26" s="1">
        <v>42</v>
      </c>
      <c r="IX26" s="1">
        <v>20</v>
      </c>
      <c r="IY26" s="1">
        <v>27.732000000000003</v>
      </c>
      <c r="IZ26" s="1">
        <v>79</v>
      </c>
      <c r="JA26" s="1">
        <v>23</v>
      </c>
      <c r="JB26" s="1">
        <v>18</v>
      </c>
      <c r="JC26" s="1">
        <v>45</v>
      </c>
      <c r="JD26" s="1">
        <v>22</v>
      </c>
      <c r="JE26" s="1">
        <v>26.271000000000001</v>
      </c>
      <c r="JF26" s="1">
        <v>98</v>
      </c>
      <c r="JG26" s="1">
        <v>16</v>
      </c>
      <c r="JH26" s="1">
        <v>27</v>
      </c>
      <c r="JI26" s="1">
        <v>43</v>
      </c>
      <c r="JJ26" s="1">
        <v>24</v>
      </c>
      <c r="JK26" s="1">
        <v>28.724</v>
      </c>
      <c r="JL26" s="1">
        <v>120</v>
      </c>
      <c r="JM26" s="1">
        <v>24</v>
      </c>
      <c r="JN26" s="1">
        <v>27</v>
      </c>
      <c r="JO26" s="1">
        <v>42</v>
      </c>
      <c r="JP26" s="1">
        <v>21</v>
      </c>
      <c r="JQ26" s="1">
        <v>29.234000000000002</v>
      </c>
      <c r="JR26" s="1">
        <v>102</v>
      </c>
      <c r="JS26" s="1">
        <v>22</v>
      </c>
      <c r="JT26" s="1">
        <v>24</v>
      </c>
      <c r="JU26" s="1">
        <v>44</v>
      </c>
      <c r="JV26" s="1">
        <v>18</v>
      </c>
      <c r="JW26" s="1">
        <v>27.756</v>
      </c>
      <c r="JX26" s="1">
        <v>85</v>
      </c>
      <c r="JY26" s="1">
        <v>15</v>
      </c>
      <c r="JZ26" s="1">
        <v>21</v>
      </c>
      <c r="KA26" s="1">
        <v>43</v>
      </c>
      <c r="KB26" s="1">
        <v>24</v>
      </c>
      <c r="KC26" s="1">
        <v>25.982000000000003</v>
      </c>
      <c r="KD26" s="1">
        <v>105</v>
      </c>
      <c r="KE26" s="1">
        <v>26</v>
      </c>
      <c r="KF26" s="1">
        <v>23</v>
      </c>
      <c r="KG26" s="1">
        <v>41</v>
      </c>
      <c r="KH26" s="1">
        <v>22</v>
      </c>
      <c r="KI26" s="1">
        <v>28.629000000000001</v>
      </c>
      <c r="KJ26" s="1">
        <v>109</v>
      </c>
      <c r="KK26" s="1">
        <v>17</v>
      </c>
      <c r="KL26" s="1">
        <v>23</v>
      </c>
      <c r="KM26" s="1">
        <v>41</v>
      </c>
      <c r="KN26" s="1">
        <v>21</v>
      </c>
      <c r="KO26" s="1">
        <v>28.192</v>
      </c>
      <c r="KP26" s="1">
        <v>117</v>
      </c>
      <c r="KQ26" s="1">
        <v>24</v>
      </c>
      <c r="KR26" s="1">
        <v>23</v>
      </c>
      <c r="KS26" s="1">
        <v>44</v>
      </c>
      <c r="KT26" s="1">
        <v>23</v>
      </c>
      <c r="KU26" s="1">
        <v>28.003</v>
      </c>
      <c r="KV26" s="1">
        <v>69</v>
      </c>
      <c r="KW26" s="1">
        <v>28</v>
      </c>
      <c r="KX26" s="1">
        <v>19</v>
      </c>
      <c r="KY26" s="1">
        <v>42</v>
      </c>
      <c r="KZ26" s="1">
        <v>21</v>
      </c>
      <c r="LA26" s="1">
        <v>24.973000000000003</v>
      </c>
      <c r="LB26" s="1">
        <v>121</v>
      </c>
      <c r="LC26" s="1">
        <v>24</v>
      </c>
      <c r="LD26" s="1">
        <v>23</v>
      </c>
      <c r="LE26" s="1">
        <v>43</v>
      </c>
      <c r="LF26" s="1">
        <v>22</v>
      </c>
      <c r="LG26" s="1">
        <v>27.952000000000002</v>
      </c>
      <c r="LH26" s="1">
        <v>106</v>
      </c>
      <c r="LI26" s="1">
        <v>12</v>
      </c>
      <c r="LJ26" s="1">
        <v>25</v>
      </c>
      <c r="LK26" s="1">
        <v>44</v>
      </c>
      <c r="LL26" s="1">
        <v>18</v>
      </c>
      <c r="LM26" s="1">
        <v>28.691000000000003</v>
      </c>
      <c r="LN26" s="1">
        <v>126</v>
      </c>
      <c r="LO26" s="1">
        <v>24</v>
      </c>
      <c r="LP26" s="1">
        <v>21</v>
      </c>
      <c r="LQ26" s="1">
        <v>42</v>
      </c>
      <c r="LR26" s="1">
        <v>18</v>
      </c>
      <c r="LS26" s="1">
        <v>28.048999999999999</v>
      </c>
      <c r="LT26" s="1">
        <v>80</v>
      </c>
      <c r="LU26" s="1">
        <v>23</v>
      </c>
      <c r="LV26" s="1">
        <v>25</v>
      </c>
      <c r="LW26" s="1">
        <v>45</v>
      </c>
      <c r="LX26" s="1">
        <v>19</v>
      </c>
      <c r="LY26" s="1">
        <v>26.896000000000001</v>
      </c>
      <c r="LZ26" s="1">
        <v>81</v>
      </c>
      <c r="MA26" s="1">
        <v>20</v>
      </c>
      <c r="MB26" s="1">
        <v>17</v>
      </c>
      <c r="MC26" s="1">
        <v>42</v>
      </c>
      <c r="MD26" s="1">
        <v>22</v>
      </c>
      <c r="ME26" s="1">
        <v>24.756</v>
      </c>
      <c r="MF26" s="1">
        <v>68</v>
      </c>
      <c r="MG26" s="1">
        <v>12</v>
      </c>
      <c r="MH26" s="1">
        <v>19</v>
      </c>
      <c r="MI26" s="1">
        <v>43</v>
      </c>
      <c r="MJ26" s="1">
        <v>21</v>
      </c>
      <c r="MK26" s="1">
        <v>26.085000000000001</v>
      </c>
      <c r="ML26" s="1">
        <v>122</v>
      </c>
      <c r="MM26" s="1">
        <v>25</v>
      </c>
      <c r="MN26" s="1">
        <v>23</v>
      </c>
      <c r="MO26" s="1">
        <v>44</v>
      </c>
      <c r="MP26" s="1">
        <v>21</v>
      </c>
      <c r="MQ26" s="1">
        <v>29.1</v>
      </c>
      <c r="MR26" s="1">
        <v>119</v>
      </c>
      <c r="MS26" s="1">
        <v>27</v>
      </c>
      <c r="MT26" s="1">
        <v>23</v>
      </c>
      <c r="MU26" s="1">
        <v>46</v>
      </c>
      <c r="MV26" s="1">
        <v>25</v>
      </c>
      <c r="MW26" s="1">
        <v>29.472000000000001</v>
      </c>
    </row>
    <row r="27" spans="1:361">
      <c r="A27" s="1">
        <v>24</v>
      </c>
      <c r="B27" s="1">
        <v>69</v>
      </c>
      <c r="C27" s="1">
        <v>14</v>
      </c>
      <c r="D27" s="1">
        <v>17</v>
      </c>
      <c r="E27" s="1">
        <v>44</v>
      </c>
      <c r="F27" s="1">
        <v>20</v>
      </c>
      <c r="G27" s="1">
        <v>25.523</v>
      </c>
      <c r="H27" s="1">
        <v>102</v>
      </c>
      <c r="I27" s="1">
        <v>11</v>
      </c>
      <c r="J27" s="1">
        <v>22</v>
      </c>
      <c r="K27" s="1">
        <v>43</v>
      </c>
      <c r="L27" s="1">
        <v>22</v>
      </c>
      <c r="M27" s="1">
        <v>26.282</v>
      </c>
      <c r="N27" s="1">
        <v>113</v>
      </c>
      <c r="O27" s="1">
        <v>27</v>
      </c>
      <c r="P27" s="1">
        <v>19</v>
      </c>
      <c r="Q27" s="1">
        <v>42</v>
      </c>
      <c r="R27" s="1">
        <v>18</v>
      </c>
      <c r="S27" s="1">
        <v>27.104000000000003</v>
      </c>
      <c r="T27" s="1">
        <v>74</v>
      </c>
      <c r="U27" s="1">
        <v>21</v>
      </c>
      <c r="V27" s="1">
        <v>23</v>
      </c>
      <c r="W27" s="1">
        <v>42</v>
      </c>
      <c r="X27" s="1">
        <v>22</v>
      </c>
      <c r="Y27" s="1">
        <v>25.794</v>
      </c>
      <c r="Z27" s="1">
        <v>85</v>
      </c>
      <c r="AA27" s="1">
        <v>14</v>
      </c>
      <c r="AB27" s="1">
        <v>15</v>
      </c>
      <c r="AC27" s="1">
        <v>40</v>
      </c>
      <c r="AD27" s="1">
        <v>22</v>
      </c>
      <c r="AE27" s="1">
        <v>26.388000000000002</v>
      </c>
      <c r="AF27" s="1">
        <v>122</v>
      </c>
      <c r="AG27" s="1">
        <v>19</v>
      </c>
      <c r="AH27" s="1">
        <v>26</v>
      </c>
      <c r="AI27" s="1">
        <v>41</v>
      </c>
      <c r="AJ27" s="1">
        <v>19</v>
      </c>
      <c r="AK27" s="1">
        <v>28.537000000000003</v>
      </c>
      <c r="AL27" s="1">
        <v>113</v>
      </c>
      <c r="AM27" s="1">
        <v>15</v>
      </c>
      <c r="AN27" s="1">
        <v>27</v>
      </c>
      <c r="AO27" s="1">
        <v>44</v>
      </c>
      <c r="AP27" s="1">
        <v>21</v>
      </c>
      <c r="AQ27" s="1">
        <v>27.564</v>
      </c>
      <c r="AR27" s="1">
        <v>102</v>
      </c>
      <c r="AS27" s="1">
        <v>22</v>
      </c>
      <c r="AT27" s="1">
        <v>19</v>
      </c>
      <c r="AU27" s="1">
        <v>46</v>
      </c>
      <c r="AV27" s="1">
        <v>19</v>
      </c>
      <c r="AW27" s="1">
        <v>28.179000000000002</v>
      </c>
      <c r="AX27" s="1">
        <v>97</v>
      </c>
      <c r="AY27" s="1">
        <v>18</v>
      </c>
      <c r="AZ27" s="1">
        <v>19</v>
      </c>
      <c r="BA27" s="1">
        <v>42</v>
      </c>
      <c r="BB27" s="1">
        <v>18</v>
      </c>
      <c r="BC27" s="1">
        <v>25.913</v>
      </c>
      <c r="BD27" s="1">
        <v>86</v>
      </c>
      <c r="BE27" s="1">
        <v>21</v>
      </c>
      <c r="BF27" s="1">
        <v>22</v>
      </c>
      <c r="BG27" s="1">
        <v>46</v>
      </c>
      <c r="BH27" s="1">
        <v>23</v>
      </c>
      <c r="BI27" s="1">
        <v>26.673999999999999</v>
      </c>
      <c r="BJ27" s="1">
        <v>88</v>
      </c>
      <c r="BK27" s="1">
        <v>14</v>
      </c>
      <c r="BL27" s="1">
        <v>20</v>
      </c>
      <c r="BM27" s="1">
        <v>43</v>
      </c>
      <c r="BN27" s="1">
        <v>17</v>
      </c>
      <c r="BO27" s="1">
        <v>25.098000000000003</v>
      </c>
      <c r="BP27" s="1">
        <v>98</v>
      </c>
      <c r="BQ27" s="1">
        <v>18</v>
      </c>
      <c r="BR27" s="1">
        <v>19</v>
      </c>
      <c r="BS27" s="1">
        <v>44</v>
      </c>
      <c r="BT27" s="1">
        <v>20</v>
      </c>
      <c r="BU27" s="1">
        <v>26.908000000000001</v>
      </c>
      <c r="BV27" s="1">
        <v>84</v>
      </c>
      <c r="BW27" s="1">
        <v>17</v>
      </c>
      <c r="BX27" s="1">
        <v>24</v>
      </c>
      <c r="BY27" s="1">
        <v>42</v>
      </c>
      <c r="BZ27" s="1">
        <v>20</v>
      </c>
      <c r="CA27" s="1">
        <v>25.932000000000002</v>
      </c>
      <c r="CB27" s="1">
        <v>107</v>
      </c>
      <c r="CC27" s="1">
        <v>1</v>
      </c>
      <c r="CD27" s="1">
        <v>25</v>
      </c>
      <c r="CE27" s="1">
        <v>43</v>
      </c>
      <c r="CF27" s="1">
        <v>20</v>
      </c>
      <c r="CG27" s="1">
        <v>29.169</v>
      </c>
      <c r="CH27" s="1">
        <v>85</v>
      </c>
      <c r="CI27" s="1">
        <v>14</v>
      </c>
      <c r="CJ27" s="1">
        <v>20</v>
      </c>
      <c r="CK27" s="1">
        <v>42</v>
      </c>
      <c r="CL27" s="1">
        <v>22</v>
      </c>
      <c r="CM27" s="1">
        <v>26.191000000000003</v>
      </c>
      <c r="CN27" s="1">
        <v>71</v>
      </c>
      <c r="CO27" s="1">
        <v>19</v>
      </c>
      <c r="CP27" s="1">
        <v>19</v>
      </c>
      <c r="CQ27" s="1">
        <v>42</v>
      </c>
      <c r="CR27" s="1">
        <v>16</v>
      </c>
      <c r="CS27" s="1">
        <v>24.992000000000001</v>
      </c>
      <c r="CT27" s="1">
        <v>119</v>
      </c>
      <c r="CU27" s="1">
        <v>19</v>
      </c>
      <c r="CV27" s="1">
        <v>21</v>
      </c>
      <c r="CW27" s="1">
        <v>44</v>
      </c>
      <c r="CX27" s="1">
        <v>18</v>
      </c>
      <c r="CY27" s="1">
        <v>27.327000000000002</v>
      </c>
      <c r="CZ27" s="1">
        <v>121</v>
      </c>
      <c r="DA27" s="1">
        <v>20</v>
      </c>
      <c r="DB27" s="1">
        <v>23</v>
      </c>
      <c r="DC27" s="1">
        <v>42</v>
      </c>
      <c r="DD27" s="1">
        <v>20</v>
      </c>
      <c r="DE27" s="1">
        <v>26.935000000000002</v>
      </c>
      <c r="DF27" s="1">
        <v>115</v>
      </c>
      <c r="DG27" s="1">
        <v>21</v>
      </c>
      <c r="DH27" s="1">
        <v>26</v>
      </c>
      <c r="DI27" s="1">
        <v>41</v>
      </c>
      <c r="DJ27" s="1">
        <v>19</v>
      </c>
      <c r="DK27" s="1">
        <v>29.149000000000001</v>
      </c>
      <c r="DL27" s="1">
        <v>127</v>
      </c>
      <c r="DM27" s="1">
        <v>16</v>
      </c>
      <c r="DN27" s="1">
        <v>22</v>
      </c>
      <c r="DO27" s="1">
        <v>44</v>
      </c>
      <c r="DP27" s="1">
        <v>22</v>
      </c>
      <c r="DQ27" s="1">
        <v>30.405000000000001</v>
      </c>
      <c r="DR27" s="1">
        <v>96</v>
      </c>
      <c r="DS27" s="1">
        <v>22</v>
      </c>
      <c r="DT27" s="1">
        <v>22</v>
      </c>
      <c r="DU27" s="1">
        <v>45</v>
      </c>
      <c r="DV27" s="1">
        <v>18</v>
      </c>
      <c r="DW27" s="1">
        <v>26.395</v>
      </c>
      <c r="DX27" s="1">
        <v>68</v>
      </c>
      <c r="DY27" s="1">
        <v>8</v>
      </c>
      <c r="DZ27" s="1">
        <v>19</v>
      </c>
      <c r="EA27" s="1">
        <v>42</v>
      </c>
      <c r="EB27" s="1">
        <v>22</v>
      </c>
      <c r="EC27" s="1">
        <v>24.931000000000001</v>
      </c>
      <c r="ED27" s="1">
        <v>93</v>
      </c>
      <c r="EE27" s="1">
        <v>18</v>
      </c>
      <c r="EF27" s="1">
        <v>21</v>
      </c>
      <c r="EG27" s="1">
        <v>43</v>
      </c>
      <c r="EH27" s="1">
        <v>21</v>
      </c>
      <c r="EI27" s="1">
        <v>25.981000000000002</v>
      </c>
      <c r="EJ27" s="1">
        <v>125</v>
      </c>
      <c r="EK27" s="1">
        <v>17</v>
      </c>
      <c r="EL27" s="1">
        <v>25</v>
      </c>
      <c r="EM27" s="1">
        <v>45</v>
      </c>
      <c r="EN27" s="1">
        <v>19</v>
      </c>
      <c r="EO27" s="1">
        <v>30.911000000000001</v>
      </c>
      <c r="EP27" s="1">
        <v>110</v>
      </c>
      <c r="EQ27" s="1">
        <v>17</v>
      </c>
      <c r="ER27" s="1">
        <v>23</v>
      </c>
      <c r="ES27" s="1">
        <v>45</v>
      </c>
      <c r="ET27" s="1">
        <v>20</v>
      </c>
      <c r="EU27" s="1">
        <v>28.078000000000003</v>
      </c>
      <c r="EV27" s="1">
        <v>110</v>
      </c>
      <c r="EW27" s="1">
        <v>11</v>
      </c>
      <c r="EX27" s="1">
        <v>27</v>
      </c>
      <c r="EY27" s="1">
        <v>43</v>
      </c>
      <c r="EZ27" s="1">
        <v>17</v>
      </c>
      <c r="FA27" s="1">
        <v>27.46</v>
      </c>
      <c r="FB27" s="1">
        <v>92</v>
      </c>
      <c r="FC27" s="1">
        <v>19</v>
      </c>
      <c r="FD27" s="1">
        <v>20</v>
      </c>
      <c r="FE27" s="1">
        <v>43</v>
      </c>
      <c r="FF27" s="1">
        <v>18</v>
      </c>
      <c r="FG27" s="1">
        <v>27.41</v>
      </c>
      <c r="FH27" s="1">
        <v>108</v>
      </c>
      <c r="FI27" s="1">
        <v>18</v>
      </c>
      <c r="FJ27" s="1">
        <v>20</v>
      </c>
      <c r="FK27" s="1">
        <v>40</v>
      </c>
      <c r="FL27" s="1">
        <v>21</v>
      </c>
      <c r="FM27" s="1">
        <v>26.699000000000002</v>
      </c>
      <c r="FN27" s="1">
        <v>79</v>
      </c>
      <c r="FO27" s="1">
        <v>23</v>
      </c>
      <c r="FP27" s="1">
        <v>16</v>
      </c>
      <c r="FQ27" s="1">
        <v>43</v>
      </c>
      <c r="FR27" s="1">
        <v>18</v>
      </c>
      <c r="FS27" s="1">
        <v>25.322000000000003</v>
      </c>
      <c r="FT27" s="1">
        <v>121</v>
      </c>
      <c r="FU27" s="1">
        <v>21</v>
      </c>
      <c r="FV27" s="1">
        <v>22</v>
      </c>
      <c r="FW27" s="1">
        <v>42</v>
      </c>
      <c r="FX27" s="1">
        <v>24</v>
      </c>
      <c r="FY27" s="1">
        <v>30.866</v>
      </c>
      <c r="FZ27" s="1">
        <v>81</v>
      </c>
      <c r="GA27" s="1">
        <v>18</v>
      </c>
      <c r="GB27" s="1">
        <v>18</v>
      </c>
      <c r="GC27" s="1">
        <v>42</v>
      </c>
      <c r="GD27" s="1">
        <v>16</v>
      </c>
      <c r="GE27" s="1">
        <v>25.209</v>
      </c>
      <c r="GF27" s="1">
        <v>67</v>
      </c>
      <c r="GG27" s="1">
        <v>13</v>
      </c>
      <c r="GH27" s="1">
        <v>19</v>
      </c>
      <c r="GI27" s="1">
        <v>40</v>
      </c>
      <c r="GJ27" s="1">
        <v>20</v>
      </c>
      <c r="GK27" s="1">
        <v>24.582000000000001</v>
      </c>
      <c r="GL27" s="1">
        <v>100</v>
      </c>
      <c r="GM27" s="1">
        <v>19</v>
      </c>
      <c r="GN27" s="1">
        <v>20</v>
      </c>
      <c r="GO27" s="1">
        <v>42</v>
      </c>
      <c r="GP27" s="1">
        <v>21</v>
      </c>
      <c r="GQ27" s="1">
        <v>26.830000000000002</v>
      </c>
      <c r="GR27" s="1">
        <v>111</v>
      </c>
      <c r="GS27" s="1">
        <v>20</v>
      </c>
      <c r="GT27" s="1">
        <v>27</v>
      </c>
      <c r="GU27" s="1">
        <v>45</v>
      </c>
      <c r="GV27" s="1">
        <v>19</v>
      </c>
      <c r="GW27" s="1">
        <v>26.393000000000001</v>
      </c>
      <c r="GX27" s="1">
        <v>82</v>
      </c>
      <c r="GY27" s="1">
        <v>21</v>
      </c>
      <c r="GZ27" s="1">
        <v>21</v>
      </c>
      <c r="HA27" s="1">
        <v>44</v>
      </c>
      <c r="HB27" s="1">
        <v>15</v>
      </c>
      <c r="HC27" s="1">
        <v>26.150000000000002</v>
      </c>
      <c r="HD27" s="1">
        <v>124</v>
      </c>
      <c r="HE27" s="1">
        <v>19</v>
      </c>
      <c r="HF27" s="1">
        <v>26</v>
      </c>
      <c r="HG27" s="1">
        <v>45</v>
      </c>
      <c r="HH27" s="1">
        <v>19</v>
      </c>
      <c r="HI27" s="1">
        <v>30.143000000000001</v>
      </c>
      <c r="HJ27" s="1">
        <v>122</v>
      </c>
      <c r="HK27" s="1">
        <v>17</v>
      </c>
      <c r="HL27" s="1">
        <v>26</v>
      </c>
      <c r="HM27" s="1">
        <v>47</v>
      </c>
      <c r="HN27" s="1">
        <v>20</v>
      </c>
      <c r="HO27" s="1">
        <v>29.556000000000001</v>
      </c>
      <c r="HP27" s="1">
        <v>105</v>
      </c>
      <c r="HQ27" s="1">
        <v>16</v>
      </c>
      <c r="HR27" s="1">
        <v>23</v>
      </c>
      <c r="HS27" s="1">
        <v>40</v>
      </c>
      <c r="HT27" s="1">
        <v>19</v>
      </c>
      <c r="HU27" s="1">
        <v>28.676000000000002</v>
      </c>
      <c r="HV27" s="1">
        <v>82</v>
      </c>
      <c r="HW27" s="1">
        <v>14</v>
      </c>
      <c r="HX27" s="1">
        <v>21</v>
      </c>
      <c r="HY27" s="1">
        <v>41</v>
      </c>
      <c r="HZ27" s="1">
        <v>19</v>
      </c>
      <c r="IA27" s="1">
        <v>26.675000000000001</v>
      </c>
      <c r="IB27" s="1">
        <v>88</v>
      </c>
      <c r="IC27" s="1">
        <v>18</v>
      </c>
      <c r="ID27" s="1">
        <v>21</v>
      </c>
      <c r="IE27" s="1">
        <v>47</v>
      </c>
      <c r="IF27" s="1">
        <v>26</v>
      </c>
      <c r="IG27" s="1">
        <v>27.776</v>
      </c>
      <c r="IH27" s="1">
        <v>69</v>
      </c>
      <c r="II27" s="1">
        <v>25</v>
      </c>
      <c r="IJ27" s="1">
        <v>20</v>
      </c>
      <c r="IK27" s="1">
        <v>47</v>
      </c>
      <c r="IL27" s="1">
        <v>17</v>
      </c>
      <c r="IM27" s="1">
        <v>26.67</v>
      </c>
      <c r="IN27" s="1">
        <v>108</v>
      </c>
      <c r="IO27" s="1">
        <v>14</v>
      </c>
      <c r="IP27" s="1">
        <v>26</v>
      </c>
      <c r="IQ27" s="1">
        <v>44</v>
      </c>
      <c r="IR27" s="1">
        <v>23</v>
      </c>
      <c r="IS27" s="1">
        <v>25.152000000000001</v>
      </c>
      <c r="IT27" s="1">
        <v>67</v>
      </c>
      <c r="IU27" s="1">
        <v>20</v>
      </c>
      <c r="IV27" s="1">
        <v>21</v>
      </c>
      <c r="IW27" s="1">
        <v>46</v>
      </c>
      <c r="IX27" s="1">
        <v>20</v>
      </c>
      <c r="IY27" s="1">
        <v>24.925000000000001</v>
      </c>
      <c r="IZ27" s="1">
        <v>68</v>
      </c>
      <c r="JA27" s="1">
        <v>20</v>
      </c>
      <c r="JB27" s="1">
        <v>17</v>
      </c>
      <c r="JC27" s="1">
        <v>43</v>
      </c>
      <c r="JD27" s="1">
        <v>23</v>
      </c>
      <c r="JE27" s="1">
        <v>25.467000000000002</v>
      </c>
      <c r="JF27" s="1">
        <v>122</v>
      </c>
      <c r="JG27" s="1">
        <v>30</v>
      </c>
      <c r="JH27" s="1">
        <v>22</v>
      </c>
      <c r="JI27" s="1">
        <v>41</v>
      </c>
      <c r="JJ27" s="1">
        <v>21</v>
      </c>
      <c r="JK27" s="1">
        <v>27.378</v>
      </c>
      <c r="JL27" s="1">
        <v>120</v>
      </c>
      <c r="JM27" s="1">
        <v>24</v>
      </c>
      <c r="JN27" s="1">
        <v>28</v>
      </c>
      <c r="JO27" s="1">
        <v>43</v>
      </c>
      <c r="JP27" s="1">
        <v>18</v>
      </c>
      <c r="JQ27" s="1">
        <v>27.542000000000002</v>
      </c>
      <c r="JR27" s="1">
        <v>114</v>
      </c>
      <c r="JS27" s="1">
        <v>17</v>
      </c>
      <c r="JT27" s="1">
        <v>23</v>
      </c>
      <c r="JU27" s="1">
        <v>43</v>
      </c>
      <c r="JV27" s="1">
        <v>21</v>
      </c>
      <c r="JW27" s="1">
        <v>27.077000000000002</v>
      </c>
      <c r="JX27" s="1">
        <v>102</v>
      </c>
      <c r="JY27" s="1">
        <v>15</v>
      </c>
      <c r="JZ27" s="1">
        <v>26</v>
      </c>
      <c r="KA27" s="1">
        <v>44</v>
      </c>
      <c r="KB27" s="1">
        <v>17</v>
      </c>
      <c r="KC27" s="1">
        <v>26.28</v>
      </c>
      <c r="KD27" s="1">
        <v>82</v>
      </c>
      <c r="KE27" s="1">
        <v>20</v>
      </c>
      <c r="KF27" s="1">
        <v>20</v>
      </c>
      <c r="KG27" s="1">
        <v>42</v>
      </c>
      <c r="KH27" s="1">
        <v>20</v>
      </c>
      <c r="KI27" s="1">
        <v>25.540000000000003</v>
      </c>
      <c r="KJ27" s="1">
        <v>75</v>
      </c>
      <c r="KK27" s="1">
        <v>5</v>
      </c>
      <c r="KL27" s="1">
        <v>17</v>
      </c>
      <c r="KM27" s="1">
        <v>41</v>
      </c>
      <c r="KN27" s="1">
        <v>20</v>
      </c>
      <c r="KO27" s="1">
        <v>24.844000000000001</v>
      </c>
      <c r="KP27" s="1">
        <v>73</v>
      </c>
      <c r="KQ27" s="1">
        <v>28</v>
      </c>
      <c r="KR27" s="1">
        <v>19</v>
      </c>
      <c r="KS27" s="1">
        <v>46</v>
      </c>
      <c r="KT27" s="1">
        <v>21</v>
      </c>
      <c r="KU27" s="1">
        <v>26.071000000000002</v>
      </c>
      <c r="KV27" s="1">
        <v>95</v>
      </c>
      <c r="KW27" s="1">
        <v>18</v>
      </c>
      <c r="KX27" s="1">
        <v>23</v>
      </c>
      <c r="KY27" s="1">
        <v>42</v>
      </c>
      <c r="KZ27" s="1">
        <v>20</v>
      </c>
      <c r="LA27" s="1">
        <v>26.414000000000001</v>
      </c>
      <c r="LB27" s="1">
        <v>78</v>
      </c>
      <c r="LC27" s="1">
        <v>23</v>
      </c>
      <c r="LD27" s="1">
        <v>18</v>
      </c>
      <c r="LE27" s="1">
        <v>44</v>
      </c>
      <c r="LF27" s="1">
        <v>18</v>
      </c>
      <c r="LG27" s="1">
        <v>26.349</v>
      </c>
      <c r="LH27" s="1">
        <v>92</v>
      </c>
      <c r="LI27" s="1">
        <v>18</v>
      </c>
      <c r="LJ27" s="1">
        <v>21</v>
      </c>
      <c r="LK27" s="1">
        <v>44</v>
      </c>
      <c r="LL27" s="1">
        <v>22</v>
      </c>
      <c r="LM27" s="1">
        <v>26.348000000000003</v>
      </c>
      <c r="LN27" s="1">
        <v>88</v>
      </c>
      <c r="LO27" s="1">
        <v>19</v>
      </c>
      <c r="LP27" s="1">
        <v>20</v>
      </c>
      <c r="LQ27" s="1">
        <v>43</v>
      </c>
      <c r="LR27" s="1">
        <v>22</v>
      </c>
      <c r="LS27" s="1">
        <v>26.630000000000003</v>
      </c>
      <c r="LT27" s="1">
        <v>70</v>
      </c>
      <c r="LU27" s="1">
        <v>18</v>
      </c>
      <c r="LV27" s="1">
        <v>19</v>
      </c>
      <c r="LW27" s="1">
        <v>42</v>
      </c>
      <c r="LX27" s="1">
        <v>25</v>
      </c>
      <c r="LY27" s="1">
        <v>26.159000000000002</v>
      </c>
      <c r="LZ27" s="1">
        <v>73</v>
      </c>
      <c r="MA27" s="1">
        <v>15</v>
      </c>
      <c r="MB27" s="1">
        <v>16</v>
      </c>
      <c r="MC27" s="1">
        <v>44</v>
      </c>
      <c r="MD27" s="1">
        <v>22</v>
      </c>
      <c r="ME27" s="1">
        <v>26.368000000000002</v>
      </c>
      <c r="MF27" s="1">
        <v>76</v>
      </c>
      <c r="MG27" s="1">
        <v>23</v>
      </c>
      <c r="MH27" s="1">
        <v>19</v>
      </c>
      <c r="MI27" s="1">
        <v>42</v>
      </c>
      <c r="MJ27" s="1">
        <v>18</v>
      </c>
      <c r="MK27" s="1">
        <v>26.153000000000002</v>
      </c>
      <c r="ML27" s="1">
        <v>78</v>
      </c>
      <c r="MM27" s="1">
        <v>1</v>
      </c>
      <c r="MN27" s="1">
        <v>19</v>
      </c>
      <c r="MO27" s="1">
        <v>43</v>
      </c>
      <c r="MP27" s="1">
        <v>17</v>
      </c>
      <c r="MQ27" s="1">
        <v>25.266000000000002</v>
      </c>
      <c r="MR27" s="1">
        <v>112</v>
      </c>
      <c r="MS27" s="1">
        <v>24</v>
      </c>
      <c r="MT27" s="1">
        <v>24</v>
      </c>
      <c r="MU27" s="1">
        <v>42</v>
      </c>
      <c r="MV27" s="1">
        <v>20</v>
      </c>
      <c r="MW27" s="1">
        <v>28.124000000000002</v>
      </c>
    </row>
    <row r="28" spans="1:361">
      <c r="A28" s="1">
        <v>25</v>
      </c>
      <c r="B28" s="1">
        <v>75</v>
      </c>
      <c r="C28" s="1">
        <v>17</v>
      </c>
      <c r="D28" s="1">
        <v>19</v>
      </c>
      <c r="E28" s="1">
        <v>44</v>
      </c>
      <c r="F28" s="1">
        <v>22</v>
      </c>
      <c r="G28" s="1">
        <v>26.540000000000003</v>
      </c>
      <c r="H28" s="1">
        <v>106</v>
      </c>
      <c r="I28" s="1">
        <v>31</v>
      </c>
      <c r="J28" s="1">
        <v>21</v>
      </c>
      <c r="K28" s="1">
        <v>45</v>
      </c>
      <c r="L28" s="1">
        <v>19</v>
      </c>
      <c r="M28" s="1">
        <v>29.576000000000001</v>
      </c>
      <c r="N28" s="1">
        <v>91</v>
      </c>
      <c r="O28" s="1">
        <v>21</v>
      </c>
      <c r="P28" s="1">
        <v>21</v>
      </c>
      <c r="Q28" s="1">
        <v>41</v>
      </c>
      <c r="R28" s="1">
        <v>20</v>
      </c>
      <c r="S28" s="1">
        <v>26.285</v>
      </c>
      <c r="T28" s="1">
        <v>69</v>
      </c>
      <c r="U28" s="1">
        <v>19</v>
      </c>
      <c r="V28" s="1">
        <v>18</v>
      </c>
      <c r="W28" s="1">
        <v>39</v>
      </c>
      <c r="X28" s="1">
        <v>18</v>
      </c>
      <c r="Y28" s="1">
        <v>23.949000000000002</v>
      </c>
      <c r="Z28" s="1">
        <v>100</v>
      </c>
      <c r="AA28" s="1">
        <v>15</v>
      </c>
      <c r="AB28" s="1">
        <v>22</v>
      </c>
      <c r="AC28" s="1">
        <v>43</v>
      </c>
      <c r="AD28" s="1">
        <v>20</v>
      </c>
      <c r="AE28" s="1">
        <v>26.923000000000002</v>
      </c>
      <c r="AF28" s="1">
        <v>122</v>
      </c>
      <c r="AG28" s="1">
        <v>20</v>
      </c>
      <c r="AH28" s="1">
        <v>22</v>
      </c>
      <c r="AI28" s="1">
        <v>45</v>
      </c>
      <c r="AJ28" s="1">
        <v>23</v>
      </c>
      <c r="AK28" s="1">
        <v>26.311</v>
      </c>
      <c r="AL28" s="1">
        <v>87</v>
      </c>
      <c r="AM28" s="1">
        <v>13</v>
      </c>
      <c r="AN28" s="1">
        <v>21</v>
      </c>
      <c r="AO28" s="1">
        <v>45</v>
      </c>
      <c r="AP28" s="1">
        <v>22</v>
      </c>
      <c r="AQ28" s="1">
        <v>26.667000000000002</v>
      </c>
      <c r="AR28" s="1">
        <v>98</v>
      </c>
      <c r="AS28" s="1">
        <v>18</v>
      </c>
      <c r="AT28" s="1">
        <v>21</v>
      </c>
      <c r="AU28" s="1">
        <v>44</v>
      </c>
      <c r="AV28" s="1">
        <v>20</v>
      </c>
      <c r="AW28" s="1">
        <v>25.995000000000001</v>
      </c>
      <c r="AX28" s="1">
        <v>74</v>
      </c>
      <c r="AY28" s="1">
        <v>13</v>
      </c>
      <c r="AZ28" s="1">
        <v>14</v>
      </c>
      <c r="BA28" s="1">
        <v>44</v>
      </c>
      <c r="BB28" s="1">
        <v>18</v>
      </c>
      <c r="BC28" s="1">
        <v>25.089000000000002</v>
      </c>
      <c r="BD28" s="1">
        <v>73</v>
      </c>
      <c r="BE28" s="1">
        <v>5</v>
      </c>
      <c r="BF28" s="1">
        <v>23</v>
      </c>
      <c r="BG28" s="1">
        <v>39</v>
      </c>
      <c r="BH28" s="1">
        <v>19</v>
      </c>
      <c r="BI28" s="1">
        <v>25.975000000000001</v>
      </c>
      <c r="BJ28" s="1">
        <v>89</v>
      </c>
      <c r="BK28" s="1">
        <v>14</v>
      </c>
      <c r="BL28" s="1">
        <v>22</v>
      </c>
      <c r="BM28" s="1">
        <v>44</v>
      </c>
      <c r="BN28" s="1">
        <v>20</v>
      </c>
      <c r="BO28" s="1">
        <v>28.584</v>
      </c>
      <c r="BP28" s="1">
        <v>99</v>
      </c>
      <c r="BQ28" s="1">
        <v>25</v>
      </c>
      <c r="BR28" s="1">
        <v>24</v>
      </c>
      <c r="BS28" s="1">
        <v>40</v>
      </c>
      <c r="BT28" s="1">
        <v>22</v>
      </c>
      <c r="BU28" s="1">
        <v>27.502000000000002</v>
      </c>
      <c r="BV28" s="1">
        <v>93</v>
      </c>
      <c r="BW28" s="1">
        <v>15</v>
      </c>
      <c r="BX28" s="1">
        <v>25</v>
      </c>
      <c r="BY28" s="1">
        <v>41</v>
      </c>
      <c r="BZ28" s="1">
        <v>19</v>
      </c>
      <c r="CA28" s="1">
        <v>26.127000000000002</v>
      </c>
      <c r="CB28" s="1">
        <v>111</v>
      </c>
      <c r="CC28" s="1">
        <v>16</v>
      </c>
      <c r="CD28" s="1">
        <v>24</v>
      </c>
      <c r="CE28" s="1">
        <v>43</v>
      </c>
      <c r="CF28" s="1">
        <v>20</v>
      </c>
      <c r="CG28" s="1">
        <v>27.923000000000002</v>
      </c>
      <c r="CH28" s="1">
        <v>80</v>
      </c>
      <c r="CI28" s="1">
        <v>18</v>
      </c>
      <c r="CJ28" s="1">
        <v>21</v>
      </c>
      <c r="CK28" s="1">
        <v>42</v>
      </c>
      <c r="CL28" s="1">
        <v>20</v>
      </c>
      <c r="CM28" s="1">
        <v>24.991</v>
      </c>
      <c r="CN28" s="1">
        <v>99</v>
      </c>
      <c r="CO28" s="1">
        <v>22</v>
      </c>
      <c r="CP28" s="1">
        <v>20</v>
      </c>
      <c r="CQ28" s="1">
        <v>43</v>
      </c>
      <c r="CR28" s="1">
        <v>24</v>
      </c>
      <c r="CS28" s="1">
        <v>28.154</v>
      </c>
      <c r="CT28" s="1">
        <v>112</v>
      </c>
      <c r="CU28" s="1">
        <v>22</v>
      </c>
      <c r="CV28" s="1">
        <v>23</v>
      </c>
      <c r="CW28" s="1">
        <v>41</v>
      </c>
      <c r="CX28" s="1">
        <v>18</v>
      </c>
      <c r="CY28" s="1">
        <v>28.542000000000002</v>
      </c>
      <c r="CZ28" s="1">
        <v>88</v>
      </c>
      <c r="DA28" s="1">
        <v>15</v>
      </c>
      <c r="DB28" s="1">
        <v>23</v>
      </c>
      <c r="DC28" s="1">
        <v>45</v>
      </c>
      <c r="DD28" s="1">
        <v>22</v>
      </c>
      <c r="DE28" s="1">
        <v>26.235000000000003</v>
      </c>
      <c r="DF28" s="1">
        <v>105</v>
      </c>
      <c r="DG28" s="1">
        <v>13</v>
      </c>
      <c r="DH28" s="1">
        <v>24</v>
      </c>
      <c r="DI28" s="1">
        <v>45</v>
      </c>
      <c r="DJ28" s="1">
        <v>21</v>
      </c>
      <c r="DK28" s="1">
        <v>26.415000000000003</v>
      </c>
      <c r="DL28" s="1">
        <v>109</v>
      </c>
      <c r="DM28" s="1">
        <v>13</v>
      </c>
      <c r="DN28" s="1">
        <v>22</v>
      </c>
      <c r="DO28" s="1">
        <v>44</v>
      </c>
      <c r="DP28" s="1">
        <v>18</v>
      </c>
      <c r="DQ28" s="1">
        <v>29.369</v>
      </c>
      <c r="DR28" s="1">
        <v>107</v>
      </c>
      <c r="DS28" s="1">
        <v>24</v>
      </c>
      <c r="DT28" s="1">
        <v>23</v>
      </c>
      <c r="DU28" s="1">
        <v>45</v>
      </c>
      <c r="DV28" s="1">
        <v>20</v>
      </c>
      <c r="DW28" s="1">
        <v>29.217000000000002</v>
      </c>
      <c r="DX28" s="1">
        <v>118</v>
      </c>
      <c r="DY28" s="1">
        <v>28</v>
      </c>
      <c r="DZ28" s="1">
        <v>22</v>
      </c>
      <c r="EA28" s="1">
        <v>45</v>
      </c>
      <c r="EB28" s="1">
        <v>21</v>
      </c>
      <c r="EC28" s="1">
        <v>30.672000000000001</v>
      </c>
      <c r="ED28" s="1">
        <v>93</v>
      </c>
      <c r="EE28" s="1">
        <v>12</v>
      </c>
      <c r="EF28" s="1">
        <v>23</v>
      </c>
      <c r="EG28" s="1">
        <v>42</v>
      </c>
      <c r="EH28" s="1">
        <v>23</v>
      </c>
      <c r="EI28" s="1">
        <v>25.135000000000002</v>
      </c>
      <c r="EJ28" s="1">
        <v>121</v>
      </c>
      <c r="EK28" s="1">
        <v>19</v>
      </c>
      <c r="EL28" s="1">
        <v>25</v>
      </c>
      <c r="EM28" s="1">
        <v>40</v>
      </c>
      <c r="EN28" s="1">
        <v>17</v>
      </c>
      <c r="EO28" s="1">
        <v>29.496000000000002</v>
      </c>
      <c r="EP28" s="1">
        <v>79</v>
      </c>
      <c r="EQ28" s="1">
        <v>17</v>
      </c>
      <c r="ER28" s="1">
        <v>22</v>
      </c>
      <c r="ES28" s="1">
        <v>41</v>
      </c>
      <c r="ET28" s="1">
        <v>22</v>
      </c>
      <c r="EU28" s="1">
        <v>26.349</v>
      </c>
      <c r="EV28" s="1">
        <v>80</v>
      </c>
      <c r="EW28" s="1">
        <v>18</v>
      </c>
      <c r="EX28" s="1">
        <v>21</v>
      </c>
      <c r="EY28" s="1">
        <v>46</v>
      </c>
      <c r="EZ28" s="1">
        <v>20</v>
      </c>
      <c r="FA28" s="1">
        <v>26.584</v>
      </c>
      <c r="FB28" s="1">
        <v>125</v>
      </c>
      <c r="FC28" s="1">
        <v>19</v>
      </c>
      <c r="FD28" s="1">
        <v>22</v>
      </c>
      <c r="FE28" s="1">
        <v>40</v>
      </c>
      <c r="FF28" s="1">
        <v>18</v>
      </c>
      <c r="FG28" s="1">
        <v>28.732000000000003</v>
      </c>
      <c r="FH28" s="1">
        <v>80</v>
      </c>
      <c r="FI28" s="1">
        <v>16</v>
      </c>
      <c r="FJ28" s="1">
        <v>16</v>
      </c>
      <c r="FK28" s="1">
        <v>47</v>
      </c>
      <c r="FL28" s="1">
        <v>18</v>
      </c>
      <c r="FM28" s="1">
        <v>26.336000000000002</v>
      </c>
      <c r="FN28" s="1">
        <v>115</v>
      </c>
      <c r="FO28" s="1">
        <v>26</v>
      </c>
      <c r="FP28" s="1">
        <v>23</v>
      </c>
      <c r="FQ28" s="1">
        <v>41</v>
      </c>
      <c r="FR28" s="1">
        <v>20</v>
      </c>
      <c r="FS28" s="1">
        <v>27.040000000000003</v>
      </c>
      <c r="FT28" s="1">
        <v>75</v>
      </c>
      <c r="FU28" s="1">
        <v>13</v>
      </c>
      <c r="FV28" s="1">
        <v>17</v>
      </c>
      <c r="FW28" s="1">
        <v>38</v>
      </c>
      <c r="FX28" s="1">
        <v>19</v>
      </c>
      <c r="FY28" s="1">
        <v>25.195</v>
      </c>
      <c r="FZ28" s="1">
        <v>99</v>
      </c>
      <c r="GA28" s="1">
        <v>27</v>
      </c>
      <c r="GB28" s="1">
        <v>24</v>
      </c>
      <c r="GC28" s="1">
        <v>44</v>
      </c>
      <c r="GD28" s="1">
        <v>18</v>
      </c>
      <c r="GE28" s="1">
        <v>27.048999999999999</v>
      </c>
      <c r="GF28" s="1">
        <v>96</v>
      </c>
      <c r="GG28" s="1">
        <v>9</v>
      </c>
      <c r="GH28" s="1">
        <v>21</v>
      </c>
      <c r="GI28" s="1">
        <v>39</v>
      </c>
      <c r="GJ28" s="1">
        <v>17</v>
      </c>
      <c r="GK28" s="1">
        <v>26.580000000000002</v>
      </c>
      <c r="GL28" s="1">
        <v>130</v>
      </c>
      <c r="GM28" s="1">
        <v>25</v>
      </c>
      <c r="GN28" s="1">
        <v>23</v>
      </c>
      <c r="GO28" s="1">
        <v>43</v>
      </c>
      <c r="GP28" s="1">
        <v>20</v>
      </c>
      <c r="GQ28" s="1">
        <v>30.423000000000002</v>
      </c>
      <c r="GR28" s="1">
        <v>119</v>
      </c>
      <c r="GS28" s="1">
        <v>15</v>
      </c>
      <c r="GT28" s="1">
        <v>22</v>
      </c>
      <c r="GU28" s="1">
        <v>42</v>
      </c>
      <c r="GV28" s="1">
        <v>17</v>
      </c>
      <c r="GW28" s="1">
        <v>28.006</v>
      </c>
      <c r="GX28" s="1">
        <v>127</v>
      </c>
      <c r="GY28" s="1">
        <v>22</v>
      </c>
      <c r="GZ28" s="1">
        <v>24</v>
      </c>
      <c r="HA28" s="1">
        <v>42</v>
      </c>
      <c r="HB28" s="1">
        <v>22</v>
      </c>
      <c r="HC28" s="1">
        <v>28.525000000000002</v>
      </c>
      <c r="HD28" s="1">
        <v>69</v>
      </c>
      <c r="HE28" s="1">
        <v>15</v>
      </c>
      <c r="HF28" s="1">
        <v>17</v>
      </c>
      <c r="HG28" s="1">
        <v>41</v>
      </c>
      <c r="HH28" s="1">
        <v>22</v>
      </c>
      <c r="HI28" s="1">
        <v>24.497</v>
      </c>
      <c r="HJ28" s="1">
        <v>81</v>
      </c>
      <c r="HK28" s="1">
        <v>19</v>
      </c>
      <c r="HL28" s="1">
        <v>17</v>
      </c>
      <c r="HM28" s="1">
        <v>43</v>
      </c>
      <c r="HN28" s="1">
        <v>19</v>
      </c>
      <c r="HO28" s="1">
        <v>26.130000000000003</v>
      </c>
      <c r="HP28" s="1">
        <v>116</v>
      </c>
      <c r="HQ28" s="1">
        <v>20</v>
      </c>
      <c r="HR28" s="1">
        <v>21</v>
      </c>
      <c r="HS28" s="1">
        <v>41</v>
      </c>
      <c r="HT28" s="1">
        <v>17</v>
      </c>
      <c r="HU28" s="1">
        <v>28.648</v>
      </c>
      <c r="HV28" s="1">
        <v>92</v>
      </c>
      <c r="HW28" s="1">
        <v>21</v>
      </c>
      <c r="HX28" s="1">
        <v>17</v>
      </c>
      <c r="HY28" s="1">
        <v>44</v>
      </c>
      <c r="HZ28" s="1">
        <v>22</v>
      </c>
      <c r="IA28" s="1">
        <v>25.806000000000001</v>
      </c>
      <c r="IB28" s="1">
        <v>110</v>
      </c>
      <c r="IC28" s="1">
        <v>24</v>
      </c>
      <c r="ID28" s="1">
        <v>24</v>
      </c>
      <c r="IE28" s="1">
        <v>45</v>
      </c>
      <c r="IF28" s="1">
        <v>19</v>
      </c>
      <c r="IG28" s="1">
        <v>28.514000000000003</v>
      </c>
      <c r="IH28" s="1">
        <v>75</v>
      </c>
      <c r="II28" s="1">
        <v>14</v>
      </c>
      <c r="IJ28" s="1">
        <v>20</v>
      </c>
      <c r="IK28" s="1">
        <v>42</v>
      </c>
      <c r="IL28" s="1">
        <v>21</v>
      </c>
      <c r="IM28" s="1">
        <v>25.486000000000001</v>
      </c>
      <c r="IN28" s="1">
        <v>123</v>
      </c>
      <c r="IO28" s="1">
        <v>12</v>
      </c>
      <c r="IP28" s="1">
        <v>21</v>
      </c>
      <c r="IQ28" s="1">
        <v>45</v>
      </c>
      <c r="IR28" s="1">
        <v>20</v>
      </c>
      <c r="IS28" s="1">
        <v>30.006</v>
      </c>
      <c r="IT28" s="1">
        <v>112</v>
      </c>
      <c r="IU28" s="1">
        <v>10</v>
      </c>
      <c r="IV28" s="1">
        <v>24</v>
      </c>
      <c r="IW28" s="1">
        <v>41</v>
      </c>
      <c r="IX28" s="1">
        <v>17</v>
      </c>
      <c r="IY28" s="1">
        <v>29.244</v>
      </c>
      <c r="IZ28" s="1">
        <v>88</v>
      </c>
      <c r="JA28" s="1">
        <v>30</v>
      </c>
      <c r="JB28" s="1">
        <v>23</v>
      </c>
      <c r="JC28" s="1">
        <v>42</v>
      </c>
      <c r="JD28" s="1">
        <v>16</v>
      </c>
      <c r="JE28" s="1">
        <v>25.314</v>
      </c>
      <c r="JF28" s="1">
        <v>78</v>
      </c>
      <c r="JG28" s="1">
        <v>16</v>
      </c>
      <c r="JH28" s="1">
        <v>20</v>
      </c>
      <c r="JI28" s="1">
        <v>42</v>
      </c>
      <c r="JJ28" s="1">
        <v>18</v>
      </c>
      <c r="JK28" s="1">
        <v>24.067</v>
      </c>
      <c r="JL28" s="1">
        <v>105</v>
      </c>
      <c r="JM28" s="1">
        <v>14</v>
      </c>
      <c r="JN28" s="1">
        <v>24</v>
      </c>
      <c r="JO28" s="1">
        <v>44</v>
      </c>
      <c r="JP28" s="1">
        <v>19</v>
      </c>
      <c r="JQ28" s="1">
        <v>27.221</v>
      </c>
      <c r="JR28" s="1">
        <v>74</v>
      </c>
      <c r="JS28" s="1">
        <v>11</v>
      </c>
      <c r="JT28" s="1">
        <v>17</v>
      </c>
      <c r="JU28" s="1">
        <v>43</v>
      </c>
      <c r="JV28" s="1">
        <v>19</v>
      </c>
      <c r="JW28" s="1">
        <v>22.859000000000002</v>
      </c>
      <c r="JX28" s="1">
        <v>79</v>
      </c>
      <c r="JY28" s="1">
        <v>12</v>
      </c>
      <c r="JZ28" s="1">
        <v>20</v>
      </c>
      <c r="KA28" s="1">
        <v>41</v>
      </c>
      <c r="KB28" s="1">
        <v>23</v>
      </c>
      <c r="KC28" s="1">
        <v>24.638000000000002</v>
      </c>
      <c r="KD28" s="1">
        <v>99</v>
      </c>
      <c r="KE28" s="1">
        <v>22</v>
      </c>
      <c r="KF28" s="1">
        <v>17</v>
      </c>
      <c r="KG28" s="1">
        <v>45</v>
      </c>
      <c r="KH28" s="1">
        <v>23</v>
      </c>
      <c r="KI28" s="1">
        <v>27.944000000000003</v>
      </c>
      <c r="KJ28" s="1">
        <v>76</v>
      </c>
      <c r="KK28" s="1">
        <v>24</v>
      </c>
      <c r="KL28" s="1">
        <v>18</v>
      </c>
      <c r="KM28" s="1">
        <v>40</v>
      </c>
      <c r="KN28" s="1">
        <v>21</v>
      </c>
      <c r="KO28" s="1">
        <v>25.46</v>
      </c>
      <c r="KP28" s="1">
        <v>73</v>
      </c>
      <c r="KQ28" s="1">
        <v>12</v>
      </c>
      <c r="KR28" s="1">
        <v>17</v>
      </c>
      <c r="KS28" s="1">
        <v>41</v>
      </c>
      <c r="KT28" s="1">
        <v>20</v>
      </c>
      <c r="KU28" s="1">
        <v>25.805</v>
      </c>
      <c r="KV28" s="1">
        <v>104</v>
      </c>
      <c r="KW28" s="1">
        <v>19</v>
      </c>
      <c r="KX28" s="1">
        <v>23</v>
      </c>
      <c r="KY28" s="1">
        <v>41</v>
      </c>
      <c r="KZ28" s="1">
        <v>18</v>
      </c>
      <c r="LA28" s="1">
        <v>27.195</v>
      </c>
      <c r="LB28" s="1">
        <v>103</v>
      </c>
      <c r="LC28" s="1">
        <v>19</v>
      </c>
      <c r="LD28" s="1">
        <v>23</v>
      </c>
      <c r="LE28" s="1">
        <v>41</v>
      </c>
      <c r="LF28" s="1">
        <v>22</v>
      </c>
      <c r="LG28" s="1">
        <v>26.735000000000003</v>
      </c>
      <c r="LH28" s="1">
        <v>113</v>
      </c>
      <c r="LI28" s="1">
        <v>23</v>
      </c>
      <c r="LJ28" s="1">
        <v>23</v>
      </c>
      <c r="LK28" s="1">
        <v>44</v>
      </c>
      <c r="LL28" s="1">
        <v>19</v>
      </c>
      <c r="LM28" s="1">
        <v>28.184000000000001</v>
      </c>
      <c r="LN28" s="1">
        <v>79</v>
      </c>
      <c r="LO28" s="1">
        <v>12</v>
      </c>
      <c r="LP28" s="1">
        <v>18</v>
      </c>
      <c r="LQ28" s="1">
        <v>47</v>
      </c>
      <c r="LR28" s="1">
        <v>22</v>
      </c>
      <c r="LS28" s="1">
        <v>26.542000000000002</v>
      </c>
      <c r="LT28" s="1">
        <v>85</v>
      </c>
      <c r="LU28" s="1">
        <v>21</v>
      </c>
      <c r="LV28" s="1">
        <v>23</v>
      </c>
      <c r="LW28" s="1">
        <v>42</v>
      </c>
      <c r="LX28" s="1">
        <v>17</v>
      </c>
      <c r="LY28" s="1">
        <v>24.404</v>
      </c>
      <c r="LZ28" s="1">
        <v>127</v>
      </c>
      <c r="MA28" s="1">
        <v>21</v>
      </c>
      <c r="MB28" s="1">
        <v>23</v>
      </c>
      <c r="MC28" s="1">
        <v>43</v>
      </c>
      <c r="MD28" s="1">
        <v>19</v>
      </c>
      <c r="ME28" s="1">
        <v>26.806000000000001</v>
      </c>
      <c r="MF28" s="1">
        <v>73</v>
      </c>
      <c r="MG28" s="1">
        <v>11</v>
      </c>
      <c r="MH28" s="1">
        <v>16</v>
      </c>
      <c r="MI28" s="1">
        <v>42</v>
      </c>
      <c r="MJ28" s="1">
        <v>19</v>
      </c>
      <c r="MK28" s="1">
        <v>25.791</v>
      </c>
      <c r="ML28" s="1">
        <v>87</v>
      </c>
      <c r="MM28" s="1">
        <v>19</v>
      </c>
      <c r="MN28" s="1">
        <v>20</v>
      </c>
      <c r="MO28" s="1">
        <v>42</v>
      </c>
      <c r="MP28" s="1">
        <v>21</v>
      </c>
      <c r="MQ28" s="1">
        <v>25.994</v>
      </c>
      <c r="MR28" s="1">
        <v>110</v>
      </c>
      <c r="MS28" s="1">
        <v>23</v>
      </c>
      <c r="MT28" s="1">
        <v>24</v>
      </c>
      <c r="MU28" s="1">
        <v>41</v>
      </c>
      <c r="MV28" s="1">
        <v>20</v>
      </c>
      <c r="MW28" s="1">
        <v>28.386000000000003</v>
      </c>
    </row>
    <row r="29" spans="1:361">
      <c r="A29" s="1">
        <v>26</v>
      </c>
      <c r="B29" s="1">
        <v>109</v>
      </c>
      <c r="C29" s="1">
        <v>15</v>
      </c>
      <c r="D29" s="1">
        <v>23</v>
      </c>
      <c r="E29" s="1">
        <v>40</v>
      </c>
      <c r="F29" s="1">
        <v>20</v>
      </c>
      <c r="G29" s="1">
        <v>28.426000000000002</v>
      </c>
      <c r="H29" s="1">
        <v>102</v>
      </c>
      <c r="I29" s="1">
        <v>27</v>
      </c>
      <c r="J29" s="1">
        <v>23</v>
      </c>
      <c r="K29" s="1">
        <v>45</v>
      </c>
      <c r="L29" s="1">
        <v>20</v>
      </c>
      <c r="M29" s="1">
        <v>27.062000000000001</v>
      </c>
      <c r="N29" s="1">
        <v>76</v>
      </c>
      <c r="O29" s="1">
        <v>23</v>
      </c>
      <c r="P29" s="1">
        <v>21</v>
      </c>
      <c r="Q29" s="1">
        <v>45</v>
      </c>
      <c r="R29" s="1">
        <v>22</v>
      </c>
      <c r="S29" s="1">
        <v>25.265000000000001</v>
      </c>
      <c r="T29" s="1">
        <v>81</v>
      </c>
      <c r="U29" s="1">
        <v>15</v>
      </c>
      <c r="V29" s="1">
        <v>19</v>
      </c>
      <c r="W29" s="1">
        <v>42</v>
      </c>
      <c r="X29" s="1">
        <v>19</v>
      </c>
      <c r="Y29" s="1">
        <v>25.151</v>
      </c>
      <c r="Z29" s="1">
        <v>69</v>
      </c>
      <c r="AA29" s="1">
        <v>15</v>
      </c>
      <c r="AB29" s="1">
        <v>22</v>
      </c>
      <c r="AC29" s="1">
        <v>44</v>
      </c>
      <c r="AD29" s="1">
        <v>23</v>
      </c>
      <c r="AE29" s="1">
        <v>25.019000000000002</v>
      </c>
      <c r="AF29" s="1">
        <v>95</v>
      </c>
      <c r="AG29" s="1">
        <v>17</v>
      </c>
      <c r="AH29" s="1">
        <v>21</v>
      </c>
      <c r="AI29" s="1">
        <v>42</v>
      </c>
      <c r="AJ29" s="1">
        <v>19</v>
      </c>
      <c r="AK29" s="1">
        <v>27.203000000000003</v>
      </c>
      <c r="AL29" s="1">
        <v>107</v>
      </c>
      <c r="AM29" s="1">
        <v>10</v>
      </c>
      <c r="AN29" s="1">
        <v>26</v>
      </c>
      <c r="AO29" s="1">
        <v>45</v>
      </c>
      <c r="AP29" s="1">
        <v>19</v>
      </c>
      <c r="AQ29" s="1">
        <v>26.492000000000001</v>
      </c>
      <c r="AR29" s="1">
        <v>92</v>
      </c>
      <c r="AS29" s="1">
        <v>20</v>
      </c>
      <c r="AT29" s="1">
        <v>20</v>
      </c>
      <c r="AU29" s="1">
        <v>41</v>
      </c>
      <c r="AV29" s="1">
        <v>23</v>
      </c>
      <c r="AW29" s="1">
        <v>26.166</v>
      </c>
      <c r="AX29" s="1">
        <v>100</v>
      </c>
      <c r="AY29" s="1">
        <v>21</v>
      </c>
      <c r="AZ29" s="1">
        <v>23</v>
      </c>
      <c r="BA29" s="1">
        <v>45</v>
      </c>
      <c r="BB29" s="1">
        <v>17</v>
      </c>
      <c r="BC29" s="1">
        <v>29.027000000000001</v>
      </c>
      <c r="BD29" s="1">
        <v>114</v>
      </c>
      <c r="BE29" s="1">
        <v>22</v>
      </c>
      <c r="BF29" s="1">
        <v>25</v>
      </c>
      <c r="BG29" s="1">
        <v>45</v>
      </c>
      <c r="BH29" s="1">
        <v>17</v>
      </c>
      <c r="BI29" s="1">
        <v>29.099</v>
      </c>
      <c r="BJ29" s="1">
        <v>118</v>
      </c>
      <c r="BK29" s="1">
        <v>20</v>
      </c>
      <c r="BL29" s="1">
        <v>21</v>
      </c>
      <c r="BM29" s="1">
        <v>42</v>
      </c>
      <c r="BN29" s="1">
        <v>24</v>
      </c>
      <c r="BO29" s="1">
        <v>29.406000000000002</v>
      </c>
      <c r="BP29" s="1">
        <v>72</v>
      </c>
      <c r="BQ29" s="1">
        <v>24</v>
      </c>
      <c r="BR29" s="1">
        <v>22</v>
      </c>
      <c r="BS29" s="1">
        <v>43</v>
      </c>
      <c r="BT29" s="1">
        <v>17</v>
      </c>
      <c r="BU29" s="1">
        <v>26.441000000000003</v>
      </c>
      <c r="BV29" s="1">
        <v>70</v>
      </c>
      <c r="BW29" s="1">
        <v>17</v>
      </c>
      <c r="BX29" s="1">
        <v>22</v>
      </c>
      <c r="BY29" s="1">
        <v>44</v>
      </c>
      <c r="BZ29" s="1">
        <v>20</v>
      </c>
      <c r="CA29" s="1">
        <v>25.478000000000002</v>
      </c>
      <c r="CB29" s="1">
        <v>76</v>
      </c>
      <c r="CC29" s="1">
        <v>10</v>
      </c>
      <c r="CD29" s="1">
        <v>17</v>
      </c>
      <c r="CE29" s="1">
        <v>44</v>
      </c>
      <c r="CF29" s="1">
        <v>18</v>
      </c>
      <c r="CG29" s="1">
        <v>26.221</v>
      </c>
      <c r="CH29" s="1">
        <v>127</v>
      </c>
      <c r="CI29" s="1">
        <v>22</v>
      </c>
      <c r="CJ29" s="1">
        <v>21</v>
      </c>
      <c r="CK29" s="1">
        <v>41</v>
      </c>
      <c r="CL29" s="1">
        <v>22</v>
      </c>
      <c r="CM29" s="1">
        <v>28.364000000000001</v>
      </c>
      <c r="CN29" s="1">
        <v>121</v>
      </c>
      <c r="CO29" s="1">
        <v>16</v>
      </c>
      <c r="CP29" s="1">
        <v>22</v>
      </c>
      <c r="CQ29" s="1">
        <v>42</v>
      </c>
      <c r="CR29" s="1">
        <v>20</v>
      </c>
      <c r="CS29" s="1">
        <v>26.836000000000002</v>
      </c>
      <c r="CT29" s="1">
        <v>78</v>
      </c>
      <c r="CU29" s="1">
        <v>15</v>
      </c>
      <c r="CV29" s="1">
        <v>18</v>
      </c>
      <c r="CW29" s="1">
        <v>43</v>
      </c>
      <c r="CX29" s="1">
        <v>20</v>
      </c>
      <c r="CY29" s="1">
        <v>25.721</v>
      </c>
      <c r="CZ29" s="1">
        <v>68</v>
      </c>
      <c r="DA29" s="1">
        <v>17</v>
      </c>
      <c r="DB29" s="1">
        <v>18</v>
      </c>
      <c r="DC29" s="1">
        <v>43</v>
      </c>
      <c r="DD29" s="1">
        <v>20</v>
      </c>
      <c r="DE29" s="1">
        <v>24.076000000000001</v>
      </c>
      <c r="DF29" s="1">
        <v>76</v>
      </c>
      <c r="DG29" s="1">
        <v>12</v>
      </c>
      <c r="DH29" s="1">
        <v>23</v>
      </c>
      <c r="DI29" s="1">
        <v>43</v>
      </c>
      <c r="DJ29" s="1">
        <v>20</v>
      </c>
      <c r="DK29" s="1">
        <v>25.169</v>
      </c>
      <c r="DL29" s="1">
        <v>76</v>
      </c>
      <c r="DM29" s="1">
        <v>16</v>
      </c>
      <c r="DN29" s="1">
        <v>17</v>
      </c>
      <c r="DO29" s="1">
        <v>42</v>
      </c>
      <c r="DP29" s="1">
        <v>21</v>
      </c>
      <c r="DQ29" s="1">
        <v>26.117000000000001</v>
      </c>
      <c r="DR29" s="1">
        <v>95</v>
      </c>
      <c r="DS29" s="1">
        <v>13</v>
      </c>
      <c r="DT29" s="1">
        <v>28</v>
      </c>
      <c r="DU29" s="1">
        <v>45</v>
      </c>
      <c r="DV29" s="1">
        <v>22</v>
      </c>
      <c r="DW29" s="1">
        <v>28.675000000000001</v>
      </c>
      <c r="DX29" s="1">
        <v>75</v>
      </c>
      <c r="DY29" s="1">
        <v>22</v>
      </c>
      <c r="DZ29" s="1">
        <v>18</v>
      </c>
      <c r="EA29" s="1">
        <v>45</v>
      </c>
      <c r="EB29" s="1">
        <v>16</v>
      </c>
      <c r="EC29" s="1">
        <v>26.459</v>
      </c>
      <c r="ED29" s="1">
        <v>125</v>
      </c>
      <c r="EE29" s="1">
        <v>23</v>
      </c>
      <c r="EF29" s="1">
        <v>20</v>
      </c>
      <c r="EG29" s="1">
        <v>44</v>
      </c>
      <c r="EH29" s="1">
        <v>21</v>
      </c>
      <c r="EI29" s="1">
        <v>29.632000000000001</v>
      </c>
      <c r="EJ29" s="1">
        <v>117</v>
      </c>
      <c r="EK29" s="1">
        <v>19</v>
      </c>
      <c r="EL29" s="1">
        <v>25</v>
      </c>
      <c r="EM29" s="1">
        <v>45</v>
      </c>
      <c r="EN29" s="1">
        <v>21</v>
      </c>
      <c r="EO29" s="1">
        <v>29.627000000000002</v>
      </c>
      <c r="EP29" s="1">
        <v>105</v>
      </c>
      <c r="EQ29" s="1">
        <v>17</v>
      </c>
      <c r="ER29" s="1">
        <v>24</v>
      </c>
      <c r="ES29" s="1">
        <v>46</v>
      </c>
      <c r="ET29" s="1">
        <v>20</v>
      </c>
      <c r="EU29" s="1">
        <v>26.259</v>
      </c>
      <c r="EV29" s="1">
        <v>89</v>
      </c>
      <c r="EW29" s="1">
        <v>19</v>
      </c>
      <c r="EX29" s="1">
        <v>21</v>
      </c>
      <c r="EY29" s="1">
        <v>45</v>
      </c>
      <c r="EZ29" s="1">
        <v>21</v>
      </c>
      <c r="FA29" s="1">
        <v>25.435000000000002</v>
      </c>
      <c r="FB29" s="1">
        <v>90</v>
      </c>
      <c r="FC29" s="1">
        <v>14</v>
      </c>
      <c r="FD29" s="1">
        <v>22</v>
      </c>
      <c r="FE29" s="1">
        <v>44</v>
      </c>
      <c r="FF29" s="1">
        <v>20</v>
      </c>
      <c r="FG29" s="1">
        <v>25.521000000000001</v>
      </c>
      <c r="FH29" s="1">
        <v>107</v>
      </c>
      <c r="FI29" s="1">
        <v>30</v>
      </c>
      <c r="FJ29" s="1">
        <v>25</v>
      </c>
      <c r="FK29" s="1">
        <v>44</v>
      </c>
      <c r="FL29" s="1">
        <v>20</v>
      </c>
      <c r="FM29" s="1">
        <v>28.609000000000002</v>
      </c>
      <c r="FN29" s="1">
        <v>82</v>
      </c>
      <c r="FO29" s="1">
        <v>18</v>
      </c>
      <c r="FP29" s="1">
        <v>22</v>
      </c>
      <c r="FQ29" s="1">
        <v>44</v>
      </c>
      <c r="FR29" s="1">
        <v>21</v>
      </c>
      <c r="FS29" s="1">
        <v>24.747</v>
      </c>
      <c r="FT29" s="1">
        <v>123</v>
      </c>
      <c r="FU29" s="1">
        <v>24</v>
      </c>
      <c r="FV29" s="1">
        <v>24</v>
      </c>
      <c r="FW29" s="1">
        <v>41</v>
      </c>
      <c r="FX29" s="1">
        <v>21</v>
      </c>
      <c r="FY29" s="1">
        <v>28.123000000000001</v>
      </c>
      <c r="FZ29" s="1">
        <v>103</v>
      </c>
      <c r="GA29" s="1">
        <v>21</v>
      </c>
      <c r="GB29" s="1">
        <v>22</v>
      </c>
      <c r="GC29" s="1">
        <v>41</v>
      </c>
      <c r="GD29" s="1">
        <v>19</v>
      </c>
      <c r="GE29" s="1">
        <v>28.065000000000001</v>
      </c>
      <c r="GF29" s="1">
        <v>79</v>
      </c>
      <c r="GG29" s="1">
        <v>17</v>
      </c>
      <c r="GH29" s="1">
        <v>20</v>
      </c>
      <c r="GI29" s="1">
        <v>40</v>
      </c>
      <c r="GJ29" s="1">
        <v>17</v>
      </c>
      <c r="GK29" s="1">
        <v>25.373000000000001</v>
      </c>
      <c r="GL29" s="1">
        <v>69</v>
      </c>
      <c r="GM29" s="1">
        <v>19</v>
      </c>
      <c r="GN29" s="1">
        <v>18</v>
      </c>
      <c r="GO29" s="1">
        <v>41</v>
      </c>
      <c r="GP29" s="1">
        <v>18</v>
      </c>
      <c r="GQ29" s="1">
        <v>22.557000000000002</v>
      </c>
      <c r="GR29" s="1">
        <v>124</v>
      </c>
      <c r="GS29" s="1">
        <v>18</v>
      </c>
      <c r="GT29" s="1">
        <v>25</v>
      </c>
      <c r="GU29" s="1">
        <v>43</v>
      </c>
      <c r="GV29" s="1">
        <v>20</v>
      </c>
      <c r="GW29" s="1">
        <v>28.581</v>
      </c>
      <c r="GX29" s="1">
        <v>104</v>
      </c>
      <c r="GY29" s="1">
        <v>24</v>
      </c>
      <c r="GZ29" s="1">
        <v>23</v>
      </c>
      <c r="HA29" s="1">
        <v>42</v>
      </c>
      <c r="HB29" s="1">
        <v>17</v>
      </c>
      <c r="HC29" s="1">
        <v>29.941000000000003</v>
      </c>
      <c r="HD29" s="1">
        <v>102</v>
      </c>
      <c r="HE29" s="1">
        <v>18</v>
      </c>
      <c r="HF29" s="1">
        <v>22</v>
      </c>
      <c r="HG29" s="1">
        <v>45</v>
      </c>
      <c r="HH29" s="1">
        <v>18</v>
      </c>
      <c r="HI29" s="1">
        <v>28.44</v>
      </c>
      <c r="HJ29" s="1">
        <v>110</v>
      </c>
      <c r="HK29" s="1">
        <v>21</v>
      </c>
      <c r="HL29" s="1">
        <v>22</v>
      </c>
      <c r="HM29" s="1">
        <v>44</v>
      </c>
      <c r="HN29" s="1">
        <v>18</v>
      </c>
      <c r="HO29" s="1">
        <v>28.689</v>
      </c>
      <c r="HP29" s="1">
        <v>74</v>
      </c>
      <c r="HQ29" s="1">
        <v>24</v>
      </c>
      <c r="HR29" s="1">
        <v>19</v>
      </c>
      <c r="HS29" s="1">
        <v>43</v>
      </c>
      <c r="HT29" s="1">
        <v>18</v>
      </c>
      <c r="HU29" s="1">
        <v>23.798999999999999</v>
      </c>
      <c r="HV29" s="1">
        <v>102</v>
      </c>
      <c r="HW29" s="1">
        <v>15</v>
      </c>
      <c r="HX29" s="1">
        <v>23</v>
      </c>
      <c r="HY29" s="1">
        <v>45</v>
      </c>
      <c r="HZ29" s="1">
        <v>24</v>
      </c>
      <c r="IA29" s="1">
        <v>26.733000000000001</v>
      </c>
      <c r="IB29" s="1">
        <v>72</v>
      </c>
      <c r="IC29" s="1">
        <v>18</v>
      </c>
      <c r="ID29" s="1">
        <v>15</v>
      </c>
      <c r="IE29" s="1">
        <v>40</v>
      </c>
      <c r="IF29" s="1">
        <v>21</v>
      </c>
      <c r="IG29" s="1">
        <v>25.633000000000003</v>
      </c>
      <c r="IH29" s="1">
        <v>105</v>
      </c>
      <c r="II29" s="1">
        <v>26</v>
      </c>
      <c r="IJ29" s="1">
        <v>18</v>
      </c>
      <c r="IK29" s="1">
        <v>46</v>
      </c>
      <c r="IL29" s="1">
        <v>22</v>
      </c>
      <c r="IM29" s="1">
        <v>27.163</v>
      </c>
      <c r="IN29" s="1">
        <v>73</v>
      </c>
      <c r="IO29" s="1">
        <v>19</v>
      </c>
      <c r="IP29" s="1">
        <v>17</v>
      </c>
      <c r="IQ29" s="1">
        <v>42</v>
      </c>
      <c r="IR29" s="1">
        <v>19</v>
      </c>
      <c r="IS29" s="1">
        <v>26.265000000000001</v>
      </c>
      <c r="IT29" s="1">
        <v>94</v>
      </c>
      <c r="IU29" s="1">
        <v>15</v>
      </c>
      <c r="IV29" s="1">
        <v>18</v>
      </c>
      <c r="IW29" s="1">
        <v>42</v>
      </c>
      <c r="IX29" s="1">
        <v>23</v>
      </c>
      <c r="IY29" s="1">
        <v>26.958000000000002</v>
      </c>
      <c r="IZ29" s="1">
        <v>110</v>
      </c>
      <c r="JA29" s="1">
        <v>23</v>
      </c>
      <c r="JB29" s="1">
        <v>25</v>
      </c>
      <c r="JC29" s="1">
        <v>41</v>
      </c>
      <c r="JD29" s="1">
        <v>17</v>
      </c>
      <c r="JE29" s="1">
        <v>27.474</v>
      </c>
      <c r="JF29" s="1">
        <v>99</v>
      </c>
      <c r="JG29" s="1">
        <v>23</v>
      </c>
      <c r="JH29" s="1">
        <v>21</v>
      </c>
      <c r="JI29" s="1">
        <v>43</v>
      </c>
      <c r="JJ29" s="1">
        <v>19</v>
      </c>
      <c r="JK29" s="1">
        <v>26.217000000000002</v>
      </c>
      <c r="JL29" s="1">
        <v>89</v>
      </c>
      <c r="JM29" s="1">
        <v>11</v>
      </c>
      <c r="JN29" s="1">
        <v>19</v>
      </c>
      <c r="JO29" s="1">
        <v>41</v>
      </c>
      <c r="JP29" s="1">
        <v>19</v>
      </c>
      <c r="JQ29" s="1">
        <v>26.613</v>
      </c>
      <c r="JR29" s="1">
        <v>91</v>
      </c>
      <c r="JS29" s="1">
        <v>15</v>
      </c>
      <c r="JT29" s="1">
        <v>19</v>
      </c>
      <c r="JU29" s="1">
        <v>39</v>
      </c>
      <c r="JV29" s="1">
        <v>20</v>
      </c>
      <c r="JW29" s="1">
        <v>27.021000000000001</v>
      </c>
      <c r="JX29" s="1">
        <v>121</v>
      </c>
      <c r="JY29" s="1">
        <v>17</v>
      </c>
      <c r="JZ29" s="1">
        <v>21</v>
      </c>
      <c r="KA29" s="1">
        <v>44</v>
      </c>
      <c r="KB29" s="1">
        <v>16</v>
      </c>
      <c r="KC29" s="1">
        <v>27.358000000000001</v>
      </c>
      <c r="KD29" s="1">
        <v>85</v>
      </c>
      <c r="KE29" s="1">
        <v>11</v>
      </c>
      <c r="KF29" s="1">
        <v>26</v>
      </c>
      <c r="KG29" s="1">
        <v>45</v>
      </c>
      <c r="KH29" s="1">
        <v>18</v>
      </c>
      <c r="KI29" s="1">
        <v>27.703000000000003</v>
      </c>
      <c r="KJ29" s="1">
        <v>78</v>
      </c>
      <c r="KK29" s="1">
        <v>17</v>
      </c>
      <c r="KL29" s="1">
        <v>17</v>
      </c>
      <c r="KM29" s="1">
        <v>41</v>
      </c>
      <c r="KN29" s="1">
        <v>22</v>
      </c>
      <c r="KO29" s="1">
        <v>25.407</v>
      </c>
      <c r="KP29" s="1">
        <v>124</v>
      </c>
      <c r="KQ29" s="1">
        <v>14</v>
      </c>
      <c r="KR29" s="1">
        <v>23</v>
      </c>
      <c r="KS29" s="1">
        <v>45</v>
      </c>
      <c r="KT29" s="1">
        <v>20</v>
      </c>
      <c r="KU29" s="1">
        <v>29.753</v>
      </c>
      <c r="KV29" s="1">
        <v>100</v>
      </c>
      <c r="KW29" s="1">
        <v>14</v>
      </c>
      <c r="KX29" s="1">
        <v>23</v>
      </c>
      <c r="KY29" s="1">
        <v>43</v>
      </c>
      <c r="KZ29" s="1">
        <v>21</v>
      </c>
      <c r="LA29" s="1">
        <v>27.962</v>
      </c>
      <c r="LB29" s="1">
        <v>117</v>
      </c>
      <c r="LC29" s="1">
        <v>15</v>
      </c>
      <c r="LD29" s="1">
        <v>27</v>
      </c>
      <c r="LE29" s="1">
        <v>40</v>
      </c>
      <c r="LF29" s="1">
        <v>21</v>
      </c>
      <c r="LG29" s="1">
        <v>28.228000000000002</v>
      </c>
      <c r="LH29" s="1">
        <v>96</v>
      </c>
      <c r="LI29" s="1">
        <v>27</v>
      </c>
      <c r="LJ29" s="1">
        <v>18</v>
      </c>
      <c r="LK29" s="1">
        <v>42</v>
      </c>
      <c r="LL29" s="1">
        <v>22</v>
      </c>
      <c r="LM29" s="1">
        <v>27.262</v>
      </c>
      <c r="LN29" s="1">
        <v>71</v>
      </c>
      <c r="LO29" s="1">
        <v>11</v>
      </c>
      <c r="LP29" s="1">
        <v>20</v>
      </c>
      <c r="LQ29" s="1">
        <v>42</v>
      </c>
      <c r="LR29" s="1">
        <v>20</v>
      </c>
      <c r="LS29" s="1">
        <v>26.578000000000003</v>
      </c>
      <c r="LT29" s="1">
        <v>128</v>
      </c>
      <c r="LU29" s="1">
        <v>23</v>
      </c>
      <c r="LV29" s="1">
        <v>26</v>
      </c>
      <c r="LW29" s="1">
        <v>46</v>
      </c>
      <c r="LX29" s="1">
        <v>16</v>
      </c>
      <c r="LY29" s="1">
        <v>30.471</v>
      </c>
      <c r="LZ29" s="1">
        <v>88</v>
      </c>
      <c r="MA29" s="1">
        <v>16</v>
      </c>
      <c r="MB29" s="1">
        <v>22</v>
      </c>
      <c r="MC29" s="1">
        <v>41</v>
      </c>
      <c r="MD29" s="1">
        <v>20</v>
      </c>
      <c r="ME29" s="1">
        <v>27.325000000000003</v>
      </c>
      <c r="MF29" s="1">
        <v>98</v>
      </c>
      <c r="MG29" s="1">
        <v>20</v>
      </c>
      <c r="MH29" s="1">
        <v>17</v>
      </c>
      <c r="MI29" s="1">
        <v>44</v>
      </c>
      <c r="MJ29" s="1">
        <v>19</v>
      </c>
      <c r="MK29" s="1">
        <v>26.923000000000002</v>
      </c>
      <c r="ML29" s="1">
        <v>126</v>
      </c>
      <c r="MM29" s="1">
        <v>19</v>
      </c>
      <c r="MN29" s="1">
        <v>23</v>
      </c>
      <c r="MO29" s="1">
        <v>40</v>
      </c>
      <c r="MP29" s="1">
        <v>22</v>
      </c>
      <c r="MQ29" s="1">
        <v>30.099</v>
      </c>
      <c r="MR29" s="1">
        <v>115</v>
      </c>
      <c r="MS29" s="1">
        <v>14</v>
      </c>
      <c r="MT29" s="1">
        <v>29</v>
      </c>
      <c r="MU29" s="1">
        <v>42</v>
      </c>
      <c r="MV29" s="1">
        <v>21</v>
      </c>
      <c r="MW29" s="1">
        <v>26.874000000000002</v>
      </c>
    </row>
    <row r="30" spans="1:361">
      <c r="A30" s="1">
        <v>27</v>
      </c>
      <c r="B30" s="1">
        <v>88</v>
      </c>
      <c r="C30" s="1">
        <v>12</v>
      </c>
      <c r="D30" s="1">
        <v>19</v>
      </c>
      <c r="E30" s="1">
        <v>42</v>
      </c>
      <c r="F30" s="1">
        <v>18</v>
      </c>
      <c r="G30" s="1">
        <v>27.23</v>
      </c>
      <c r="H30" s="1">
        <v>115</v>
      </c>
      <c r="I30" s="1">
        <v>25</v>
      </c>
      <c r="J30" s="1">
        <v>21</v>
      </c>
      <c r="K30" s="1">
        <v>40</v>
      </c>
      <c r="L30" s="1">
        <v>18</v>
      </c>
      <c r="M30" s="1">
        <v>27.556000000000001</v>
      </c>
      <c r="N30" s="1">
        <v>125</v>
      </c>
      <c r="O30" s="1">
        <v>15</v>
      </c>
      <c r="P30" s="1">
        <v>22</v>
      </c>
      <c r="Q30" s="1">
        <v>44</v>
      </c>
      <c r="R30" s="1">
        <v>22</v>
      </c>
      <c r="S30" s="1">
        <v>31.966000000000001</v>
      </c>
      <c r="T30" s="1">
        <v>125</v>
      </c>
      <c r="U30" s="1">
        <v>20</v>
      </c>
      <c r="V30" s="1">
        <v>20</v>
      </c>
      <c r="W30" s="1">
        <v>42</v>
      </c>
      <c r="X30" s="1">
        <v>20</v>
      </c>
      <c r="Y30" s="1">
        <v>27.613</v>
      </c>
      <c r="Z30" s="1">
        <v>117</v>
      </c>
      <c r="AA30" s="1">
        <v>27</v>
      </c>
      <c r="AB30" s="1">
        <v>21</v>
      </c>
      <c r="AC30" s="1">
        <v>43</v>
      </c>
      <c r="AD30" s="1">
        <v>18</v>
      </c>
      <c r="AE30" s="1">
        <v>29.052</v>
      </c>
      <c r="AF30" s="1">
        <v>81</v>
      </c>
      <c r="AG30" s="1">
        <v>18</v>
      </c>
      <c r="AH30" s="1">
        <v>17</v>
      </c>
      <c r="AI30" s="1">
        <v>44</v>
      </c>
      <c r="AJ30" s="1">
        <v>20</v>
      </c>
      <c r="AK30" s="1">
        <v>25.925000000000001</v>
      </c>
      <c r="AL30" s="1">
        <v>118</v>
      </c>
      <c r="AM30" s="1">
        <v>26</v>
      </c>
      <c r="AN30" s="1">
        <v>22</v>
      </c>
      <c r="AO30" s="1">
        <v>45</v>
      </c>
      <c r="AP30" s="1">
        <v>21</v>
      </c>
      <c r="AQ30" s="1">
        <v>29.12</v>
      </c>
      <c r="AR30" s="1">
        <v>69</v>
      </c>
      <c r="AS30" s="1">
        <v>22</v>
      </c>
      <c r="AT30" s="1">
        <v>14</v>
      </c>
      <c r="AU30" s="1">
        <v>45</v>
      </c>
      <c r="AV30" s="1">
        <v>21</v>
      </c>
      <c r="AW30" s="1">
        <v>23.745000000000001</v>
      </c>
      <c r="AX30" s="1">
        <v>74</v>
      </c>
      <c r="AY30" s="1">
        <v>18</v>
      </c>
      <c r="AZ30" s="1">
        <v>18</v>
      </c>
      <c r="BA30" s="1">
        <v>45</v>
      </c>
      <c r="BB30" s="1">
        <v>21</v>
      </c>
      <c r="BC30" s="1">
        <v>25.650000000000002</v>
      </c>
      <c r="BD30" s="1">
        <v>67</v>
      </c>
      <c r="BE30" s="1">
        <v>16</v>
      </c>
      <c r="BF30" s="1">
        <v>18</v>
      </c>
      <c r="BG30" s="1">
        <v>42</v>
      </c>
      <c r="BH30" s="1">
        <v>17</v>
      </c>
      <c r="BI30" s="1">
        <v>25.923999999999999</v>
      </c>
      <c r="BJ30" s="1">
        <v>117</v>
      </c>
      <c r="BK30" s="1">
        <v>26</v>
      </c>
      <c r="BL30" s="1">
        <v>25</v>
      </c>
      <c r="BM30" s="1">
        <v>43</v>
      </c>
      <c r="BN30" s="1">
        <v>21</v>
      </c>
      <c r="BO30" s="1">
        <v>29.246000000000002</v>
      </c>
      <c r="BP30" s="1">
        <v>101</v>
      </c>
      <c r="BQ30" s="1">
        <v>22</v>
      </c>
      <c r="BR30" s="1">
        <v>21</v>
      </c>
      <c r="BS30" s="1">
        <v>43</v>
      </c>
      <c r="BT30" s="1">
        <v>19</v>
      </c>
      <c r="BU30" s="1">
        <v>27.004000000000001</v>
      </c>
      <c r="BV30" s="1">
        <v>101</v>
      </c>
      <c r="BW30" s="1">
        <v>17</v>
      </c>
      <c r="BX30" s="1">
        <v>17</v>
      </c>
      <c r="BY30" s="1">
        <v>40</v>
      </c>
      <c r="BZ30" s="1">
        <v>22</v>
      </c>
      <c r="CA30" s="1">
        <v>27.992000000000001</v>
      </c>
      <c r="CB30" s="1">
        <v>73</v>
      </c>
      <c r="CC30" s="1">
        <v>13</v>
      </c>
      <c r="CD30" s="1">
        <v>20</v>
      </c>
      <c r="CE30" s="1">
        <v>46</v>
      </c>
      <c r="CF30" s="1">
        <v>18</v>
      </c>
      <c r="CG30" s="1">
        <v>25.37</v>
      </c>
      <c r="CH30" s="1">
        <v>117</v>
      </c>
      <c r="CI30" s="1">
        <v>18</v>
      </c>
      <c r="CJ30" s="1">
        <v>22</v>
      </c>
      <c r="CK30" s="1">
        <v>40</v>
      </c>
      <c r="CL30" s="1">
        <v>20</v>
      </c>
      <c r="CM30" s="1">
        <v>28.781000000000002</v>
      </c>
      <c r="CN30" s="1">
        <v>69</v>
      </c>
      <c r="CO30" s="1">
        <v>23</v>
      </c>
      <c r="CP30" s="1">
        <v>19</v>
      </c>
      <c r="CQ30" s="1">
        <v>45</v>
      </c>
      <c r="CR30" s="1">
        <v>19</v>
      </c>
      <c r="CS30" s="1">
        <v>25.641000000000002</v>
      </c>
      <c r="CT30" s="1">
        <v>77</v>
      </c>
      <c r="CU30" s="1">
        <v>16</v>
      </c>
      <c r="CV30" s="1">
        <v>20</v>
      </c>
      <c r="CW30" s="1">
        <v>43</v>
      </c>
      <c r="CX30" s="1">
        <v>18</v>
      </c>
      <c r="CY30" s="1">
        <v>26.200000000000003</v>
      </c>
      <c r="CZ30" s="1">
        <v>94</v>
      </c>
      <c r="DA30" s="1">
        <v>17</v>
      </c>
      <c r="DB30" s="1">
        <v>21</v>
      </c>
      <c r="DC30" s="1">
        <v>43</v>
      </c>
      <c r="DD30" s="1">
        <v>19</v>
      </c>
      <c r="DE30" s="1">
        <v>29.396000000000001</v>
      </c>
      <c r="DF30" s="1">
        <v>114</v>
      </c>
      <c r="DG30" s="1">
        <v>20</v>
      </c>
      <c r="DH30" s="1">
        <v>26</v>
      </c>
      <c r="DI30" s="1">
        <v>42</v>
      </c>
      <c r="DJ30" s="1">
        <v>18</v>
      </c>
      <c r="DK30" s="1">
        <v>28.848000000000003</v>
      </c>
      <c r="DL30" s="1">
        <v>103</v>
      </c>
      <c r="DM30" s="1">
        <v>26</v>
      </c>
      <c r="DN30" s="1">
        <v>24</v>
      </c>
      <c r="DO30" s="1">
        <v>40</v>
      </c>
      <c r="DP30" s="1">
        <v>19</v>
      </c>
      <c r="DQ30" s="1">
        <v>29.177</v>
      </c>
      <c r="DR30" s="1">
        <v>109</v>
      </c>
      <c r="DS30" s="1">
        <v>23</v>
      </c>
      <c r="DT30" s="1">
        <v>23</v>
      </c>
      <c r="DU30" s="1">
        <v>44</v>
      </c>
      <c r="DV30" s="1">
        <v>20</v>
      </c>
      <c r="DW30" s="1">
        <v>28.337</v>
      </c>
      <c r="DX30" s="1">
        <v>70</v>
      </c>
      <c r="DY30" s="1">
        <v>10</v>
      </c>
      <c r="DZ30" s="1">
        <v>16</v>
      </c>
      <c r="EA30" s="1">
        <v>39</v>
      </c>
      <c r="EB30" s="1">
        <v>21</v>
      </c>
      <c r="EC30" s="1">
        <v>24.671000000000003</v>
      </c>
      <c r="ED30" s="1">
        <v>103</v>
      </c>
      <c r="EE30" s="1">
        <v>28</v>
      </c>
      <c r="EF30" s="1">
        <v>19</v>
      </c>
      <c r="EG30" s="1">
        <v>41</v>
      </c>
      <c r="EH30" s="1">
        <v>21</v>
      </c>
      <c r="EI30" s="1">
        <v>25.365000000000002</v>
      </c>
      <c r="EJ30" s="1">
        <v>70</v>
      </c>
      <c r="EK30" s="1">
        <v>14</v>
      </c>
      <c r="EL30" s="1">
        <v>16</v>
      </c>
      <c r="EM30" s="1">
        <v>45</v>
      </c>
      <c r="EN30" s="1">
        <v>19</v>
      </c>
      <c r="EO30" s="1">
        <v>24.084</v>
      </c>
      <c r="EP30" s="1">
        <v>114</v>
      </c>
      <c r="EQ30" s="1">
        <v>19</v>
      </c>
      <c r="ER30" s="1">
        <v>21</v>
      </c>
      <c r="ES30" s="1">
        <v>43</v>
      </c>
      <c r="ET30" s="1">
        <v>21</v>
      </c>
      <c r="EU30" s="1">
        <v>27.223000000000003</v>
      </c>
      <c r="EV30" s="1">
        <v>92</v>
      </c>
      <c r="EW30" s="1">
        <v>26</v>
      </c>
      <c r="EX30" s="1">
        <v>19</v>
      </c>
      <c r="EY30" s="1">
        <v>44</v>
      </c>
      <c r="EZ30" s="1">
        <v>19</v>
      </c>
      <c r="FA30" s="1">
        <v>26.693000000000001</v>
      </c>
      <c r="FB30" s="1">
        <v>80</v>
      </c>
      <c r="FC30" s="1">
        <v>25</v>
      </c>
      <c r="FD30" s="1">
        <v>16</v>
      </c>
      <c r="FE30" s="1">
        <v>41</v>
      </c>
      <c r="FF30" s="1">
        <v>18</v>
      </c>
      <c r="FG30" s="1">
        <v>24.84</v>
      </c>
      <c r="FH30" s="1">
        <v>94</v>
      </c>
      <c r="FI30" s="1">
        <v>9</v>
      </c>
      <c r="FJ30" s="1">
        <v>20</v>
      </c>
      <c r="FK30" s="1">
        <v>43</v>
      </c>
      <c r="FL30" s="1">
        <v>20</v>
      </c>
      <c r="FM30" s="1">
        <v>27.735000000000003</v>
      </c>
      <c r="FN30" s="1">
        <v>114</v>
      </c>
      <c r="FO30" s="1">
        <v>18</v>
      </c>
      <c r="FP30" s="1">
        <v>25</v>
      </c>
      <c r="FQ30" s="1">
        <v>43</v>
      </c>
      <c r="FR30" s="1">
        <v>19</v>
      </c>
      <c r="FS30" s="1">
        <v>27.979000000000003</v>
      </c>
      <c r="FT30" s="1">
        <v>96</v>
      </c>
      <c r="FU30" s="1">
        <v>12</v>
      </c>
      <c r="FV30" s="1">
        <v>25</v>
      </c>
      <c r="FW30" s="1">
        <v>43</v>
      </c>
      <c r="FX30" s="1">
        <v>18</v>
      </c>
      <c r="FY30" s="1">
        <v>27.274000000000001</v>
      </c>
      <c r="FZ30" s="1">
        <v>96</v>
      </c>
      <c r="GA30" s="1">
        <v>17</v>
      </c>
      <c r="GB30" s="1">
        <v>25</v>
      </c>
      <c r="GC30" s="1">
        <v>45</v>
      </c>
      <c r="GD30" s="1">
        <v>23</v>
      </c>
      <c r="GE30" s="1">
        <v>30.298999999999999</v>
      </c>
      <c r="GF30" s="1">
        <v>107</v>
      </c>
      <c r="GG30" s="1">
        <v>21</v>
      </c>
      <c r="GH30" s="1">
        <v>26</v>
      </c>
      <c r="GI30" s="1">
        <v>41</v>
      </c>
      <c r="GJ30" s="1">
        <v>18</v>
      </c>
      <c r="GK30" s="1">
        <v>26.397000000000002</v>
      </c>
      <c r="GL30" s="1">
        <v>99</v>
      </c>
      <c r="GM30" s="1">
        <v>23</v>
      </c>
      <c r="GN30" s="1">
        <v>24</v>
      </c>
      <c r="GO30" s="1">
        <v>42</v>
      </c>
      <c r="GP30" s="1">
        <v>17</v>
      </c>
      <c r="GQ30" s="1">
        <v>28.341000000000001</v>
      </c>
      <c r="GR30" s="1">
        <v>74</v>
      </c>
      <c r="GS30" s="1">
        <v>16</v>
      </c>
      <c r="GT30" s="1">
        <v>19</v>
      </c>
      <c r="GU30" s="1">
        <v>44</v>
      </c>
      <c r="GV30" s="1">
        <v>20</v>
      </c>
      <c r="GW30" s="1">
        <v>23.844000000000001</v>
      </c>
      <c r="GX30" s="1">
        <v>89</v>
      </c>
      <c r="GY30" s="1">
        <v>22</v>
      </c>
      <c r="GZ30" s="1">
        <v>17</v>
      </c>
      <c r="HA30" s="1">
        <v>45</v>
      </c>
      <c r="HB30" s="1">
        <v>17</v>
      </c>
      <c r="HC30" s="1">
        <v>27.233000000000001</v>
      </c>
      <c r="HD30" s="1">
        <v>94</v>
      </c>
      <c r="HE30" s="1">
        <v>18</v>
      </c>
      <c r="HF30" s="1">
        <v>17</v>
      </c>
      <c r="HG30" s="1">
        <v>44</v>
      </c>
      <c r="HH30" s="1">
        <v>24</v>
      </c>
      <c r="HI30" s="1">
        <v>25.236000000000001</v>
      </c>
      <c r="HJ30" s="1">
        <v>126</v>
      </c>
      <c r="HK30" s="1">
        <v>25</v>
      </c>
      <c r="HL30" s="1">
        <v>21</v>
      </c>
      <c r="HM30" s="1">
        <v>40</v>
      </c>
      <c r="HN30" s="1">
        <v>19</v>
      </c>
      <c r="HO30" s="1">
        <v>27.866</v>
      </c>
      <c r="HP30" s="1">
        <v>86</v>
      </c>
      <c r="HQ30" s="1">
        <v>18</v>
      </c>
      <c r="HR30" s="1">
        <v>19</v>
      </c>
      <c r="HS30" s="1">
        <v>45</v>
      </c>
      <c r="HT30" s="1">
        <v>22</v>
      </c>
      <c r="HU30" s="1">
        <v>26.269000000000002</v>
      </c>
      <c r="HV30" s="1">
        <v>70</v>
      </c>
      <c r="HW30" s="1">
        <v>20</v>
      </c>
      <c r="HX30" s="1">
        <v>24</v>
      </c>
      <c r="HY30" s="1">
        <v>46</v>
      </c>
      <c r="HZ30" s="1">
        <v>20</v>
      </c>
      <c r="IA30" s="1">
        <v>26.310000000000002</v>
      </c>
      <c r="IB30" s="1">
        <v>82</v>
      </c>
      <c r="IC30" s="1">
        <v>18</v>
      </c>
      <c r="ID30" s="1">
        <v>20</v>
      </c>
      <c r="IE30" s="1">
        <v>40</v>
      </c>
      <c r="IF30" s="1">
        <v>21</v>
      </c>
      <c r="IG30" s="1">
        <v>24.1</v>
      </c>
      <c r="IH30" s="1">
        <v>67</v>
      </c>
      <c r="II30" s="1">
        <v>25</v>
      </c>
      <c r="IJ30" s="1">
        <v>20</v>
      </c>
      <c r="IK30" s="1">
        <v>43</v>
      </c>
      <c r="IL30" s="1">
        <v>21</v>
      </c>
      <c r="IM30" s="1">
        <v>25.371000000000002</v>
      </c>
      <c r="IN30" s="1">
        <v>99</v>
      </c>
      <c r="IO30" s="1">
        <v>20</v>
      </c>
      <c r="IP30" s="1">
        <v>21</v>
      </c>
      <c r="IQ30" s="1">
        <v>42</v>
      </c>
      <c r="IR30" s="1">
        <v>18</v>
      </c>
      <c r="IS30" s="1">
        <v>28.518000000000001</v>
      </c>
      <c r="IT30" s="1">
        <v>99</v>
      </c>
      <c r="IU30" s="1">
        <v>25</v>
      </c>
      <c r="IV30" s="1">
        <v>21</v>
      </c>
      <c r="IW30" s="1">
        <v>43</v>
      </c>
      <c r="IX30" s="1">
        <v>18</v>
      </c>
      <c r="IY30" s="1">
        <v>26.12</v>
      </c>
      <c r="IZ30" s="1">
        <v>104</v>
      </c>
      <c r="JA30" s="1">
        <v>14</v>
      </c>
      <c r="JB30" s="1">
        <v>19</v>
      </c>
      <c r="JC30" s="1">
        <v>44</v>
      </c>
      <c r="JD30" s="1">
        <v>19</v>
      </c>
      <c r="JE30" s="1">
        <v>28.540000000000003</v>
      </c>
      <c r="JF30" s="1">
        <v>102</v>
      </c>
      <c r="JG30" s="1">
        <v>27</v>
      </c>
      <c r="JH30" s="1">
        <v>23</v>
      </c>
      <c r="JI30" s="1">
        <v>42</v>
      </c>
      <c r="JJ30" s="1">
        <v>17</v>
      </c>
      <c r="JK30" s="1">
        <v>27.411000000000001</v>
      </c>
      <c r="JL30" s="1">
        <v>122</v>
      </c>
      <c r="JM30" s="1">
        <v>15</v>
      </c>
      <c r="JN30" s="1">
        <v>23</v>
      </c>
      <c r="JO30" s="1">
        <v>42</v>
      </c>
      <c r="JP30" s="1">
        <v>24</v>
      </c>
      <c r="JQ30" s="1">
        <v>28.916</v>
      </c>
      <c r="JR30" s="1">
        <v>106</v>
      </c>
      <c r="JS30" s="1">
        <v>25</v>
      </c>
      <c r="JT30" s="1">
        <v>22</v>
      </c>
      <c r="JU30" s="1">
        <v>43</v>
      </c>
      <c r="JV30" s="1">
        <v>20</v>
      </c>
      <c r="JW30" s="1">
        <v>27.161000000000001</v>
      </c>
      <c r="JX30" s="1">
        <v>72</v>
      </c>
      <c r="JY30" s="1">
        <v>18</v>
      </c>
      <c r="JZ30" s="1">
        <v>21</v>
      </c>
      <c r="KA30" s="1">
        <v>40</v>
      </c>
      <c r="KB30" s="1">
        <v>20</v>
      </c>
      <c r="KC30" s="1">
        <v>26.315000000000001</v>
      </c>
      <c r="KD30" s="1">
        <v>127</v>
      </c>
      <c r="KE30" s="1">
        <v>19</v>
      </c>
      <c r="KF30" s="1">
        <v>23</v>
      </c>
      <c r="KG30" s="1">
        <v>43</v>
      </c>
      <c r="KH30" s="1">
        <v>18</v>
      </c>
      <c r="KI30" s="1">
        <v>30.597000000000001</v>
      </c>
      <c r="KJ30" s="1">
        <v>90</v>
      </c>
      <c r="KK30" s="1">
        <v>17</v>
      </c>
      <c r="KL30" s="1">
        <v>22</v>
      </c>
      <c r="KM30" s="1">
        <v>44</v>
      </c>
      <c r="KN30" s="1">
        <v>22</v>
      </c>
      <c r="KO30" s="1">
        <v>26.079000000000001</v>
      </c>
      <c r="KP30" s="1">
        <v>97</v>
      </c>
      <c r="KQ30" s="1">
        <v>15</v>
      </c>
      <c r="KR30" s="1">
        <v>20</v>
      </c>
      <c r="KS30" s="1">
        <v>44</v>
      </c>
      <c r="KT30" s="1">
        <v>21</v>
      </c>
      <c r="KU30" s="1">
        <v>26.594000000000001</v>
      </c>
      <c r="KV30" s="1">
        <v>68</v>
      </c>
      <c r="KW30" s="1">
        <v>22</v>
      </c>
      <c r="KX30" s="1">
        <v>19</v>
      </c>
      <c r="KY30" s="1">
        <v>44</v>
      </c>
      <c r="KZ30" s="1">
        <v>21</v>
      </c>
      <c r="LA30" s="1">
        <v>24.599</v>
      </c>
      <c r="LB30" s="1">
        <v>84</v>
      </c>
      <c r="LC30" s="1">
        <v>15</v>
      </c>
      <c r="LD30" s="1">
        <v>15</v>
      </c>
      <c r="LE30" s="1">
        <v>43</v>
      </c>
      <c r="LF30" s="1">
        <v>19</v>
      </c>
      <c r="LG30" s="1">
        <v>27.262</v>
      </c>
      <c r="LH30" s="1">
        <v>105</v>
      </c>
      <c r="LI30" s="1">
        <v>24</v>
      </c>
      <c r="LJ30" s="1">
        <v>24</v>
      </c>
      <c r="LK30" s="1">
        <v>41</v>
      </c>
      <c r="LL30" s="1">
        <v>25</v>
      </c>
      <c r="LM30" s="1">
        <v>28.105</v>
      </c>
      <c r="LN30" s="1">
        <v>126</v>
      </c>
      <c r="LO30" s="1">
        <v>21</v>
      </c>
      <c r="LP30" s="1">
        <v>22</v>
      </c>
      <c r="LQ30" s="1">
        <v>43</v>
      </c>
      <c r="LR30" s="1">
        <v>16</v>
      </c>
      <c r="LS30" s="1">
        <v>28.394000000000002</v>
      </c>
      <c r="LT30" s="1">
        <v>116</v>
      </c>
      <c r="LU30" s="1">
        <v>17</v>
      </c>
      <c r="LV30" s="1">
        <v>22</v>
      </c>
      <c r="LW30" s="1">
        <v>45</v>
      </c>
      <c r="LX30" s="1">
        <v>22</v>
      </c>
      <c r="LY30" s="1">
        <v>29.582000000000001</v>
      </c>
      <c r="LZ30" s="1">
        <v>74</v>
      </c>
      <c r="MA30" s="1">
        <v>17</v>
      </c>
      <c r="MB30" s="1">
        <v>18</v>
      </c>
      <c r="MC30" s="1">
        <v>44</v>
      </c>
      <c r="MD30" s="1">
        <v>23</v>
      </c>
      <c r="ME30" s="1">
        <v>25.412000000000003</v>
      </c>
      <c r="MF30" s="1">
        <v>80</v>
      </c>
      <c r="MG30" s="1">
        <v>18</v>
      </c>
      <c r="MH30" s="1">
        <v>18</v>
      </c>
      <c r="MI30" s="1">
        <v>42</v>
      </c>
      <c r="MJ30" s="1">
        <v>24</v>
      </c>
      <c r="MK30" s="1">
        <v>26.236000000000001</v>
      </c>
      <c r="ML30" s="1">
        <v>92</v>
      </c>
      <c r="MM30" s="1">
        <v>15</v>
      </c>
      <c r="MN30" s="1">
        <v>23</v>
      </c>
      <c r="MO30" s="1">
        <v>39</v>
      </c>
      <c r="MP30" s="1">
        <v>19</v>
      </c>
      <c r="MQ30" s="1">
        <v>25.873000000000001</v>
      </c>
      <c r="MR30" s="1">
        <v>82</v>
      </c>
      <c r="MS30" s="1">
        <v>15</v>
      </c>
      <c r="MT30" s="1">
        <v>20</v>
      </c>
      <c r="MU30" s="1">
        <v>43</v>
      </c>
      <c r="MV30" s="1">
        <v>19</v>
      </c>
      <c r="MW30" s="1">
        <v>26.886000000000003</v>
      </c>
    </row>
    <row r="31" spans="1:361">
      <c r="A31" s="1">
        <v>28</v>
      </c>
      <c r="B31" s="1">
        <v>69</v>
      </c>
      <c r="C31" s="1">
        <v>16</v>
      </c>
      <c r="D31" s="1">
        <v>14</v>
      </c>
      <c r="E31" s="1">
        <v>41</v>
      </c>
      <c r="F31" s="1">
        <v>16</v>
      </c>
      <c r="G31" s="1">
        <v>23.967000000000002</v>
      </c>
      <c r="H31" s="1">
        <v>81</v>
      </c>
      <c r="I31" s="1">
        <v>22</v>
      </c>
      <c r="J31" s="1">
        <v>17</v>
      </c>
      <c r="K31" s="1">
        <v>45</v>
      </c>
      <c r="L31" s="1">
        <v>18</v>
      </c>
      <c r="M31" s="1">
        <v>27.898</v>
      </c>
      <c r="N31" s="1">
        <v>114</v>
      </c>
      <c r="O31" s="1">
        <v>19</v>
      </c>
      <c r="P31" s="1">
        <v>27</v>
      </c>
      <c r="Q31" s="1">
        <v>41</v>
      </c>
      <c r="R31" s="1">
        <v>19</v>
      </c>
      <c r="S31" s="1">
        <v>26.77</v>
      </c>
      <c r="T31" s="1">
        <v>88</v>
      </c>
      <c r="U31" s="1">
        <v>16</v>
      </c>
      <c r="V31" s="1">
        <v>18</v>
      </c>
      <c r="W31" s="1">
        <v>39</v>
      </c>
      <c r="X31" s="1">
        <v>21</v>
      </c>
      <c r="Y31" s="1">
        <v>26.249000000000002</v>
      </c>
      <c r="Z31" s="1">
        <v>120</v>
      </c>
      <c r="AA31" s="1">
        <v>15</v>
      </c>
      <c r="AB31" s="1">
        <v>24</v>
      </c>
      <c r="AC31" s="1">
        <v>43</v>
      </c>
      <c r="AD31" s="1">
        <v>19</v>
      </c>
      <c r="AE31" s="1">
        <v>28.387</v>
      </c>
      <c r="AF31" s="1">
        <v>120</v>
      </c>
      <c r="AG31" s="1">
        <v>19</v>
      </c>
      <c r="AH31" s="1">
        <v>23</v>
      </c>
      <c r="AI31" s="1">
        <v>43</v>
      </c>
      <c r="AJ31" s="1">
        <v>17</v>
      </c>
      <c r="AK31" s="1">
        <v>29.411000000000001</v>
      </c>
      <c r="AL31" s="1">
        <v>83</v>
      </c>
      <c r="AM31" s="1">
        <v>26</v>
      </c>
      <c r="AN31" s="1">
        <v>17</v>
      </c>
      <c r="AO31" s="1">
        <v>39</v>
      </c>
      <c r="AP31" s="1">
        <v>15</v>
      </c>
      <c r="AQ31" s="1">
        <v>27.111000000000001</v>
      </c>
      <c r="AR31" s="1">
        <v>115</v>
      </c>
      <c r="AS31" s="1">
        <v>20</v>
      </c>
      <c r="AT31" s="1">
        <v>23</v>
      </c>
      <c r="AU31" s="1">
        <v>40</v>
      </c>
      <c r="AV31" s="1">
        <v>18</v>
      </c>
      <c r="AW31" s="1">
        <v>29.032</v>
      </c>
      <c r="AX31" s="1">
        <v>86</v>
      </c>
      <c r="AY31" s="1">
        <v>17</v>
      </c>
      <c r="AZ31" s="1">
        <v>23</v>
      </c>
      <c r="BA31" s="1">
        <v>43</v>
      </c>
      <c r="BB31" s="1">
        <v>23</v>
      </c>
      <c r="BC31" s="1">
        <v>27.704000000000001</v>
      </c>
      <c r="BD31" s="1">
        <v>124</v>
      </c>
      <c r="BE31" s="1">
        <v>12</v>
      </c>
      <c r="BF31" s="1">
        <v>25</v>
      </c>
      <c r="BG31" s="1">
        <v>44</v>
      </c>
      <c r="BH31" s="1">
        <v>19</v>
      </c>
      <c r="BI31" s="1">
        <v>30.695</v>
      </c>
      <c r="BJ31" s="1">
        <v>73</v>
      </c>
      <c r="BK31" s="1">
        <v>16</v>
      </c>
      <c r="BL31" s="1">
        <v>20</v>
      </c>
      <c r="BM31" s="1">
        <v>41</v>
      </c>
      <c r="BN31" s="1">
        <v>19</v>
      </c>
      <c r="BO31" s="1">
        <v>27.015000000000001</v>
      </c>
      <c r="BP31" s="1">
        <v>99</v>
      </c>
      <c r="BQ31" s="1">
        <v>14</v>
      </c>
      <c r="BR31" s="1">
        <v>30</v>
      </c>
      <c r="BS31" s="1">
        <v>41</v>
      </c>
      <c r="BT31" s="1">
        <v>18</v>
      </c>
      <c r="BU31" s="1">
        <v>25.909000000000002</v>
      </c>
      <c r="BV31" s="1">
        <v>88</v>
      </c>
      <c r="BW31" s="1">
        <v>11</v>
      </c>
      <c r="BX31" s="1">
        <v>18</v>
      </c>
      <c r="BY31" s="1">
        <v>41</v>
      </c>
      <c r="BZ31" s="1">
        <v>22</v>
      </c>
      <c r="CA31" s="1">
        <v>26.585000000000001</v>
      </c>
      <c r="CB31" s="1">
        <v>93</v>
      </c>
      <c r="CC31" s="1">
        <v>20</v>
      </c>
      <c r="CD31" s="1">
        <v>23</v>
      </c>
      <c r="CE31" s="1">
        <v>44</v>
      </c>
      <c r="CF31" s="1">
        <v>21</v>
      </c>
      <c r="CG31" s="1">
        <v>28.163</v>
      </c>
      <c r="CH31" s="1">
        <v>86</v>
      </c>
      <c r="CI31" s="1">
        <v>21</v>
      </c>
      <c r="CJ31" s="1">
        <v>19</v>
      </c>
      <c r="CK31" s="1">
        <v>43</v>
      </c>
      <c r="CL31" s="1">
        <v>19</v>
      </c>
      <c r="CM31" s="1">
        <v>25.908000000000001</v>
      </c>
      <c r="CN31" s="1">
        <v>127</v>
      </c>
      <c r="CO31" s="1">
        <v>7</v>
      </c>
      <c r="CP31" s="1">
        <v>25</v>
      </c>
      <c r="CQ31" s="1">
        <v>42</v>
      </c>
      <c r="CR31" s="1">
        <v>18</v>
      </c>
      <c r="CS31" s="1">
        <v>30.408000000000001</v>
      </c>
      <c r="CT31" s="1">
        <v>116</v>
      </c>
      <c r="CU31" s="1">
        <v>19</v>
      </c>
      <c r="CV31" s="1">
        <v>20</v>
      </c>
      <c r="CW31" s="1">
        <v>42</v>
      </c>
      <c r="CX31" s="1">
        <v>20</v>
      </c>
      <c r="CY31" s="1">
        <v>29.790000000000003</v>
      </c>
      <c r="CZ31" s="1">
        <v>119</v>
      </c>
      <c r="DA31" s="1">
        <v>23</v>
      </c>
      <c r="DB31" s="1">
        <v>28</v>
      </c>
      <c r="DC31" s="1">
        <v>41</v>
      </c>
      <c r="DD31" s="1">
        <v>21</v>
      </c>
      <c r="DE31" s="1">
        <v>27.482000000000003</v>
      </c>
      <c r="DF31" s="1">
        <v>64</v>
      </c>
      <c r="DG31" s="1">
        <v>21</v>
      </c>
      <c r="DH31" s="1">
        <v>20</v>
      </c>
      <c r="DI31" s="1">
        <v>40</v>
      </c>
      <c r="DJ31" s="1">
        <v>21</v>
      </c>
      <c r="DK31" s="1">
        <v>25.021000000000001</v>
      </c>
      <c r="DL31" s="1">
        <v>69</v>
      </c>
      <c r="DM31" s="1">
        <v>20</v>
      </c>
      <c r="DN31" s="1">
        <v>19</v>
      </c>
      <c r="DO31" s="1">
        <v>43</v>
      </c>
      <c r="DP31" s="1">
        <v>20</v>
      </c>
      <c r="DQ31" s="1">
        <v>24.372</v>
      </c>
      <c r="DR31" s="1">
        <v>103</v>
      </c>
      <c r="DS31" s="1">
        <v>23</v>
      </c>
      <c r="DT31" s="1">
        <v>21</v>
      </c>
      <c r="DU31" s="1">
        <v>45</v>
      </c>
      <c r="DV31" s="1">
        <v>20</v>
      </c>
      <c r="DW31" s="1">
        <v>27.364000000000001</v>
      </c>
      <c r="DX31" s="1">
        <v>114</v>
      </c>
      <c r="DY31" s="1">
        <v>16</v>
      </c>
      <c r="DZ31" s="1">
        <v>19</v>
      </c>
      <c r="EA31" s="1">
        <v>42</v>
      </c>
      <c r="EB31" s="1">
        <v>19</v>
      </c>
      <c r="EC31" s="1">
        <v>28.043000000000003</v>
      </c>
      <c r="ED31" s="1">
        <v>100</v>
      </c>
      <c r="EE31" s="1">
        <v>16</v>
      </c>
      <c r="EF31" s="1">
        <v>19</v>
      </c>
      <c r="EG31" s="1">
        <v>41</v>
      </c>
      <c r="EH31" s="1">
        <v>18</v>
      </c>
      <c r="EI31" s="1">
        <v>25.978000000000002</v>
      </c>
      <c r="EJ31" s="1">
        <v>86</v>
      </c>
      <c r="EK31" s="1">
        <v>15</v>
      </c>
      <c r="EL31" s="1">
        <v>17</v>
      </c>
      <c r="EM31" s="1">
        <v>39</v>
      </c>
      <c r="EN31" s="1">
        <v>17</v>
      </c>
      <c r="EO31" s="1">
        <v>25.831</v>
      </c>
      <c r="EP31" s="1">
        <v>68</v>
      </c>
      <c r="EQ31" s="1">
        <v>17</v>
      </c>
      <c r="ER31" s="1">
        <v>16</v>
      </c>
      <c r="ES31" s="1">
        <v>40</v>
      </c>
      <c r="ET31" s="1">
        <v>23</v>
      </c>
      <c r="EU31" s="1">
        <v>24.659000000000002</v>
      </c>
      <c r="EV31" s="1">
        <v>116</v>
      </c>
      <c r="EW31" s="1">
        <v>25</v>
      </c>
      <c r="EX31" s="1">
        <v>25</v>
      </c>
      <c r="EY31" s="1">
        <v>41</v>
      </c>
      <c r="EZ31" s="1">
        <v>18</v>
      </c>
      <c r="FA31" s="1">
        <v>29.426000000000002</v>
      </c>
      <c r="FB31" s="1">
        <v>78</v>
      </c>
      <c r="FC31" s="1">
        <v>10</v>
      </c>
      <c r="FD31" s="1">
        <v>17</v>
      </c>
      <c r="FE31" s="1">
        <v>42</v>
      </c>
      <c r="FF31" s="1">
        <v>20</v>
      </c>
      <c r="FG31" s="1">
        <v>24.102</v>
      </c>
      <c r="FH31" s="1">
        <v>115</v>
      </c>
      <c r="FI31" s="1">
        <v>17</v>
      </c>
      <c r="FJ31" s="1">
        <v>23</v>
      </c>
      <c r="FK31" s="1">
        <v>41</v>
      </c>
      <c r="FL31" s="1">
        <v>21</v>
      </c>
      <c r="FM31" s="1">
        <v>27.572000000000003</v>
      </c>
      <c r="FN31" s="1">
        <v>74</v>
      </c>
      <c r="FO31" s="1">
        <v>17</v>
      </c>
      <c r="FP31" s="1">
        <v>16</v>
      </c>
      <c r="FQ31" s="1">
        <v>45</v>
      </c>
      <c r="FR31" s="1">
        <v>21</v>
      </c>
      <c r="FS31" s="1">
        <v>25.793000000000003</v>
      </c>
      <c r="FT31" s="1">
        <v>101</v>
      </c>
      <c r="FU31" s="1">
        <v>20</v>
      </c>
      <c r="FV31" s="1">
        <v>18</v>
      </c>
      <c r="FW31" s="1">
        <v>46</v>
      </c>
      <c r="FX31" s="1">
        <v>23</v>
      </c>
      <c r="FY31" s="1">
        <v>27.783000000000001</v>
      </c>
      <c r="FZ31" s="1">
        <v>75</v>
      </c>
      <c r="GA31" s="1">
        <v>24</v>
      </c>
      <c r="GB31" s="1">
        <v>23</v>
      </c>
      <c r="GC31" s="1">
        <v>45</v>
      </c>
      <c r="GD31" s="1">
        <v>21</v>
      </c>
      <c r="GE31" s="1">
        <v>26.606000000000002</v>
      </c>
      <c r="GF31" s="1">
        <v>86</v>
      </c>
      <c r="GG31" s="1">
        <v>20</v>
      </c>
      <c r="GH31" s="1">
        <v>18</v>
      </c>
      <c r="GI31" s="1">
        <v>45</v>
      </c>
      <c r="GJ31" s="1">
        <v>18</v>
      </c>
      <c r="GK31" s="1">
        <v>26.092000000000002</v>
      </c>
      <c r="GL31" s="1">
        <v>83</v>
      </c>
      <c r="GM31" s="1">
        <v>24</v>
      </c>
      <c r="GN31" s="1">
        <v>20</v>
      </c>
      <c r="GO31" s="1">
        <v>44</v>
      </c>
      <c r="GP31" s="1">
        <v>18</v>
      </c>
      <c r="GQ31" s="1">
        <v>26.714000000000002</v>
      </c>
      <c r="GR31" s="1">
        <v>94</v>
      </c>
      <c r="GS31" s="1">
        <v>9</v>
      </c>
      <c r="GT31" s="1">
        <v>23</v>
      </c>
      <c r="GU31" s="1">
        <v>42</v>
      </c>
      <c r="GV31" s="1">
        <v>20</v>
      </c>
      <c r="GW31" s="1">
        <v>27.246000000000002</v>
      </c>
      <c r="GX31" s="1">
        <v>76</v>
      </c>
      <c r="GY31" s="1">
        <v>16</v>
      </c>
      <c r="GZ31" s="1">
        <v>15</v>
      </c>
      <c r="HA31" s="1">
        <v>45</v>
      </c>
      <c r="HB31" s="1">
        <v>20</v>
      </c>
      <c r="HC31" s="1">
        <v>26.399000000000001</v>
      </c>
      <c r="HD31" s="1">
        <v>118</v>
      </c>
      <c r="HE31" s="1">
        <v>17</v>
      </c>
      <c r="HF31" s="1">
        <v>22</v>
      </c>
      <c r="HG31" s="1">
        <v>43</v>
      </c>
      <c r="HH31" s="1">
        <v>21</v>
      </c>
      <c r="HI31" s="1">
        <v>28.651</v>
      </c>
      <c r="HJ31" s="1">
        <v>109</v>
      </c>
      <c r="HK31" s="1">
        <v>18</v>
      </c>
      <c r="HL31" s="1">
        <v>17</v>
      </c>
      <c r="HM31" s="1">
        <v>43</v>
      </c>
      <c r="HN31" s="1">
        <v>21</v>
      </c>
      <c r="HO31" s="1">
        <v>28.973000000000003</v>
      </c>
      <c r="HP31" s="1">
        <v>74</v>
      </c>
      <c r="HQ31" s="1">
        <v>26</v>
      </c>
      <c r="HR31" s="1">
        <v>23</v>
      </c>
      <c r="HS31" s="1">
        <v>46</v>
      </c>
      <c r="HT31" s="1">
        <v>23</v>
      </c>
      <c r="HU31" s="1">
        <v>25.98</v>
      </c>
      <c r="HV31" s="1">
        <v>89</v>
      </c>
      <c r="HW31" s="1">
        <v>18</v>
      </c>
      <c r="HX31" s="1">
        <v>17</v>
      </c>
      <c r="HY31" s="1">
        <v>44</v>
      </c>
      <c r="HZ31" s="1">
        <v>21</v>
      </c>
      <c r="IA31" s="1">
        <v>27</v>
      </c>
      <c r="IB31" s="1">
        <v>94</v>
      </c>
      <c r="IC31" s="1">
        <v>14</v>
      </c>
      <c r="ID31" s="1">
        <v>20</v>
      </c>
      <c r="IE31" s="1">
        <v>42</v>
      </c>
      <c r="IF31" s="1">
        <v>20</v>
      </c>
      <c r="IG31" s="1">
        <v>27.263000000000002</v>
      </c>
      <c r="IH31" s="1">
        <v>112</v>
      </c>
      <c r="II31" s="1">
        <v>18</v>
      </c>
      <c r="IJ31" s="1">
        <v>20</v>
      </c>
      <c r="IK31" s="1">
        <v>45</v>
      </c>
      <c r="IL31" s="1">
        <v>21</v>
      </c>
      <c r="IM31" s="1">
        <v>30.46</v>
      </c>
      <c r="IN31" s="1">
        <v>79</v>
      </c>
      <c r="IO31" s="1">
        <v>8</v>
      </c>
      <c r="IP31" s="1">
        <v>15</v>
      </c>
      <c r="IQ31" s="1">
        <v>40</v>
      </c>
      <c r="IR31" s="1">
        <v>19</v>
      </c>
      <c r="IS31" s="1">
        <v>26.495000000000001</v>
      </c>
      <c r="IT31" s="1">
        <v>118</v>
      </c>
      <c r="IU31" s="1">
        <v>21</v>
      </c>
      <c r="IV31" s="1">
        <v>26</v>
      </c>
      <c r="IW31" s="1">
        <v>46</v>
      </c>
      <c r="IX31" s="1">
        <v>20</v>
      </c>
      <c r="IY31" s="1">
        <v>30.032</v>
      </c>
      <c r="IZ31" s="1">
        <v>114</v>
      </c>
      <c r="JA31" s="1">
        <v>16</v>
      </c>
      <c r="JB31" s="1">
        <v>26</v>
      </c>
      <c r="JC31" s="1">
        <v>42</v>
      </c>
      <c r="JD31" s="1">
        <v>22</v>
      </c>
      <c r="JE31" s="1">
        <v>27.843</v>
      </c>
      <c r="JF31" s="1">
        <v>98</v>
      </c>
      <c r="JG31" s="1">
        <v>12</v>
      </c>
      <c r="JH31" s="1">
        <v>26</v>
      </c>
      <c r="JI31" s="1">
        <v>42</v>
      </c>
      <c r="JJ31" s="1">
        <v>17</v>
      </c>
      <c r="JK31" s="1">
        <v>28.453000000000003</v>
      </c>
      <c r="JL31" s="1">
        <v>95</v>
      </c>
      <c r="JM31" s="1">
        <v>19</v>
      </c>
      <c r="JN31" s="1">
        <v>21</v>
      </c>
      <c r="JO31" s="1">
        <v>43</v>
      </c>
      <c r="JP31" s="1">
        <v>19</v>
      </c>
      <c r="JQ31" s="1">
        <v>25.542000000000002</v>
      </c>
      <c r="JR31" s="1">
        <v>124</v>
      </c>
      <c r="JS31" s="1">
        <v>22</v>
      </c>
      <c r="JT31" s="1">
        <v>27</v>
      </c>
      <c r="JU31" s="1">
        <v>40</v>
      </c>
      <c r="JV31" s="1">
        <v>20</v>
      </c>
      <c r="JW31" s="1">
        <v>28.858000000000001</v>
      </c>
      <c r="JX31" s="1">
        <v>92</v>
      </c>
      <c r="JY31" s="1">
        <v>13</v>
      </c>
      <c r="JZ31" s="1">
        <v>20</v>
      </c>
      <c r="KA31" s="1">
        <v>46</v>
      </c>
      <c r="KB31" s="1">
        <v>20</v>
      </c>
      <c r="KC31" s="1">
        <v>27.109000000000002</v>
      </c>
      <c r="KD31" s="1">
        <v>88</v>
      </c>
      <c r="KE31" s="1">
        <v>15</v>
      </c>
      <c r="KF31" s="1">
        <v>20</v>
      </c>
      <c r="KG31" s="1">
        <v>43</v>
      </c>
      <c r="KH31" s="1">
        <v>23</v>
      </c>
      <c r="KI31" s="1">
        <v>26.573</v>
      </c>
      <c r="KJ31" s="1">
        <v>90</v>
      </c>
      <c r="KK31" s="1">
        <v>22</v>
      </c>
      <c r="KL31" s="1">
        <v>18</v>
      </c>
      <c r="KM31" s="1">
        <v>47</v>
      </c>
      <c r="KN31" s="1">
        <v>20</v>
      </c>
      <c r="KO31" s="1">
        <v>28.015000000000001</v>
      </c>
      <c r="KP31" s="1">
        <v>81</v>
      </c>
      <c r="KQ31" s="1">
        <v>14</v>
      </c>
      <c r="KR31" s="1">
        <v>21</v>
      </c>
      <c r="KS31" s="1">
        <v>45</v>
      </c>
      <c r="KT31" s="1">
        <v>19</v>
      </c>
      <c r="KU31" s="1">
        <v>27.968</v>
      </c>
      <c r="KV31" s="1">
        <v>100</v>
      </c>
      <c r="KW31" s="1">
        <v>25</v>
      </c>
      <c r="KX31" s="1">
        <v>16</v>
      </c>
      <c r="KY31" s="1">
        <v>41</v>
      </c>
      <c r="KZ31" s="1">
        <v>22</v>
      </c>
      <c r="LA31" s="1">
        <v>29.805</v>
      </c>
      <c r="LB31" s="1">
        <v>68</v>
      </c>
      <c r="LC31" s="1">
        <v>11</v>
      </c>
      <c r="LD31" s="1">
        <v>19</v>
      </c>
      <c r="LE31" s="1">
        <v>42</v>
      </c>
      <c r="LF31" s="1">
        <v>17</v>
      </c>
      <c r="LG31" s="1">
        <v>24.031000000000002</v>
      </c>
      <c r="LH31" s="1">
        <v>81</v>
      </c>
      <c r="LI31" s="1">
        <v>14</v>
      </c>
      <c r="LJ31" s="1">
        <v>16</v>
      </c>
      <c r="LK31" s="1">
        <v>43</v>
      </c>
      <c r="LL31" s="1">
        <v>21</v>
      </c>
      <c r="LM31" s="1">
        <v>25.6</v>
      </c>
      <c r="LN31" s="1">
        <v>79</v>
      </c>
      <c r="LO31" s="1">
        <v>23</v>
      </c>
      <c r="LP31" s="1">
        <v>20</v>
      </c>
      <c r="LQ31" s="1">
        <v>42</v>
      </c>
      <c r="LR31" s="1">
        <v>16</v>
      </c>
      <c r="LS31" s="1">
        <v>26.696000000000002</v>
      </c>
      <c r="LT31" s="1">
        <v>94</v>
      </c>
      <c r="LU31" s="1">
        <v>20</v>
      </c>
      <c r="LV31" s="1">
        <v>18</v>
      </c>
      <c r="LW31" s="1">
        <v>45</v>
      </c>
      <c r="LX31" s="1">
        <v>21</v>
      </c>
      <c r="LY31" s="1">
        <v>26.094000000000001</v>
      </c>
      <c r="LZ31" s="1">
        <v>128</v>
      </c>
      <c r="MA31" s="1">
        <v>23</v>
      </c>
      <c r="MB31" s="1">
        <v>24</v>
      </c>
      <c r="MC31" s="1">
        <v>41</v>
      </c>
      <c r="MD31" s="1">
        <v>22</v>
      </c>
      <c r="ME31" s="1">
        <v>30.431000000000001</v>
      </c>
      <c r="MF31" s="1">
        <v>93</v>
      </c>
      <c r="MG31" s="1">
        <v>21</v>
      </c>
      <c r="MH31" s="1">
        <v>20</v>
      </c>
      <c r="MI31" s="1">
        <v>43</v>
      </c>
      <c r="MJ31" s="1">
        <v>18</v>
      </c>
      <c r="MK31" s="1">
        <v>27.35</v>
      </c>
      <c r="ML31" s="1">
        <v>76</v>
      </c>
      <c r="MM31" s="1">
        <v>10</v>
      </c>
      <c r="MN31" s="1">
        <v>16</v>
      </c>
      <c r="MO31" s="1">
        <v>39</v>
      </c>
      <c r="MP31" s="1">
        <v>19</v>
      </c>
      <c r="MQ31" s="1">
        <v>25.89</v>
      </c>
      <c r="MR31" s="1">
        <v>102</v>
      </c>
      <c r="MS31" s="1">
        <v>24</v>
      </c>
      <c r="MT31" s="1">
        <v>25</v>
      </c>
      <c r="MU31" s="1">
        <v>43</v>
      </c>
      <c r="MV31" s="1">
        <v>22</v>
      </c>
      <c r="MW31" s="1">
        <v>25.176000000000002</v>
      </c>
    </row>
    <row r="32" spans="1:361">
      <c r="A32" s="1">
        <v>29</v>
      </c>
      <c r="B32" s="1">
        <v>126</v>
      </c>
      <c r="C32" s="1">
        <v>19</v>
      </c>
      <c r="D32" s="1">
        <v>27</v>
      </c>
      <c r="E32" s="1">
        <v>44</v>
      </c>
      <c r="F32" s="1">
        <v>19</v>
      </c>
      <c r="G32" s="1">
        <v>28.353000000000002</v>
      </c>
      <c r="H32" s="1">
        <v>124</v>
      </c>
      <c r="I32" s="1">
        <v>21</v>
      </c>
      <c r="J32" s="1">
        <v>24</v>
      </c>
      <c r="K32" s="1">
        <v>43</v>
      </c>
      <c r="L32" s="1">
        <v>17</v>
      </c>
      <c r="M32" s="1">
        <v>28.993000000000002</v>
      </c>
      <c r="N32" s="1">
        <v>74</v>
      </c>
      <c r="O32" s="1">
        <v>24</v>
      </c>
      <c r="P32" s="1">
        <v>16</v>
      </c>
      <c r="Q32" s="1">
        <v>42</v>
      </c>
      <c r="R32" s="1">
        <v>23</v>
      </c>
      <c r="S32" s="1">
        <v>23.932000000000002</v>
      </c>
      <c r="T32" s="1">
        <v>111</v>
      </c>
      <c r="U32" s="1">
        <v>12</v>
      </c>
      <c r="V32" s="1">
        <v>24</v>
      </c>
      <c r="W32" s="1">
        <v>41</v>
      </c>
      <c r="X32" s="1">
        <v>21</v>
      </c>
      <c r="Y32" s="1">
        <v>27.212</v>
      </c>
      <c r="Z32" s="1">
        <v>112</v>
      </c>
      <c r="AA32" s="1">
        <v>21</v>
      </c>
      <c r="AB32" s="1">
        <v>19</v>
      </c>
      <c r="AC32" s="1">
        <v>43</v>
      </c>
      <c r="AD32" s="1">
        <v>20</v>
      </c>
      <c r="AE32" s="1">
        <v>27.125</v>
      </c>
      <c r="AF32" s="1">
        <v>77</v>
      </c>
      <c r="AG32" s="1">
        <v>10</v>
      </c>
      <c r="AH32" s="1">
        <v>15</v>
      </c>
      <c r="AI32" s="1">
        <v>44</v>
      </c>
      <c r="AJ32" s="1">
        <v>21</v>
      </c>
      <c r="AK32" s="1">
        <v>27.167000000000002</v>
      </c>
      <c r="AL32" s="1">
        <v>81</v>
      </c>
      <c r="AM32" s="1">
        <v>18</v>
      </c>
      <c r="AN32" s="1">
        <v>20</v>
      </c>
      <c r="AO32" s="1">
        <v>42</v>
      </c>
      <c r="AP32" s="1">
        <v>21</v>
      </c>
      <c r="AQ32" s="1">
        <v>26.778000000000002</v>
      </c>
      <c r="AR32" s="1">
        <v>67</v>
      </c>
      <c r="AS32" s="1">
        <v>17</v>
      </c>
      <c r="AT32" s="1">
        <v>24</v>
      </c>
      <c r="AU32" s="1">
        <v>42</v>
      </c>
      <c r="AV32" s="1">
        <v>21</v>
      </c>
      <c r="AW32" s="1">
        <v>24.992000000000001</v>
      </c>
      <c r="AX32" s="1">
        <v>111</v>
      </c>
      <c r="AY32" s="1">
        <v>21</v>
      </c>
      <c r="AZ32" s="1">
        <v>19</v>
      </c>
      <c r="BA32" s="1">
        <v>44</v>
      </c>
      <c r="BB32" s="1">
        <v>21</v>
      </c>
      <c r="BC32" s="1">
        <v>27.493000000000002</v>
      </c>
      <c r="BD32" s="1">
        <v>115</v>
      </c>
      <c r="BE32" s="1">
        <v>19</v>
      </c>
      <c r="BF32" s="1">
        <v>24</v>
      </c>
      <c r="BG32" s="1">
        <v>41</v>
      </c>
      <c r="BH32" s="1">
        <v>21</v>
      </c>
      <c r="BI32" s="1">
        <v>26.812000000000001</v>
      </c>
      <c r="BJ32" s="1">
        <v>119</v>
      </c>
      <c r="BK32" s="1">
        <v>14</v>
      </c>
      <c r="BL32" s="1">
        <v>22</v>
      </c>
      <c r="BM32" s="1">
        <v>42</v>
      </c>
      <c r="BN32" s="1">
        <v>24</v>
      </c>
      <c r="BO32" s="1">
        <v>30.566000000000003</v>
      </c>
      <c r="BP32" s="1">
        <v>74</v>
      </c>
      <c r="BQ32" s="1">
        <v>11</v>
      </c>
      <c r="BR32" s="1">
        <v>17</v>
      </c>
      <c r="BS32" s="1">
        <v>46</v>
      </c>
      <c r="BT32" s="1">
        <v>19</v>
      </c>
      <c r="BU32" s="1">
        <v>26.362000000000002</v>
      </c>
      <c r="BV32" s="1">
        <v>123</v>
      </c>
      <c r="BW32" s="1">
        <v>21</v>
      </c>
      <c r="BX32" s="1">
        <v>24</v>
      </c>
      <c r="BY32" s="1">
        <v>41</v>
      </c>
      <c r="BZ32" s="1">
        <v>18</v>
      </c>
      <c r="CA32" s="1">
        <v>26.677</v>
      </c>
      <c r="CB32" s="1">
        <v>69</v>
      </c>
      <c r="CC32" s="1">
        <v>20</v>
      </c>
      <c r="CD32" s="1">
        <v>21</v>
      </c>
      <c r="CE32" s="1">
        <v>43</v>
      </c>
      <c r="CF32" s="1">
        <v>21</v>
      </c>
      <c r="CG32" s="1">
        <v>26.089000000000002</v>
      </c>
      <c r="CH32" s="1">
        <v>104</v>
      </c>
      <c r="CI32" s="1">
        <v>27</v>
      </c>
      <c r="CJ32" s="1">
        <v>24</v>
      </c>
      <c r="CK32" s="1">
        <v>45</v>
      </c>
      <c r="CL32" s="1">
        <v>19</v>
      </c>
      <c r="CM32" s="1">
        <v>26.831</v>
      </c>
      <c r="CN32" s="1">
        <v>67</v>
      </c>
      <c r="CO32" s="1">
        <v>22</v>
      </c>
      <c r="CP32" s="1">
        <v>20</v>
      </c>
      <c r="CQ32" s="1">
        <v>39</v>
      </c>
      <c r="CR32" s="1">
        <v>17</v>
      </c>
      <c r="CS32" s="1">
        <v>24.127000000000002</v>
      </c>
      <c r="CT32" s="1">
        <v>110</v>
      </c>
      <c r="CU32" s="1">
        <v>20</v>
      </c>
      <c r="CV32" s="1">
        <v>26</v>
      </c>
      <c r="CW32" s="1">
        <v>44</v>
      </c>
      <c r="CX32" s="1">
        <v>20</v>
      </c>
      <c r="CY32" s="1">
        <v>26.117000000000001</v>
      </c>
      <c r="CZ32" s="1">
        <v>121</v>
      </c>
      <c r="DA32" s="1">
        <v>17</v>
      </c>
      <c r="DB32" s="1">
        <v>27</v>
      </c>
      <c r="DC32" s="1">
        <v>42</v>
      </c>
      <c r="DD32" s="1">
        <v>17</v>
      </c>
      <c r="DE32" s="1">
        <v>29.279</v>
      </c>
      <c r="DF32" s="1">
        <v>68</v>
      </c>
      <c r="DG32" s="1">
        <v>21</v>
      </c>
      <c r="DH32" s="1">
        <v>18</v>
      </c>
      <c r="DI32" s="1">
        <v>43</v>
      </c>
      <c r="DJ32" s="1">
        <v>19</v>
      </c>
      <c r="DK32" s="1">
        <v>25.565000000000001</v>
      </c>
      <c r="DL32" s="1">
        <v>66</v>
      </c>
      <c r="DM32" s="1">
        <v>21</v>
      </c>
      <c r="DN32" s="1">
        <v>16</v>
      </c>
      <c r="DO32" s="1">
        <v>40</v>
      </c>
      <c r="DP32" s="1">
        <v>15</v>
      </c>
      <c r="DQ32" s="1">
        <v>23.588000000000001</v>
      </c>
      <c r="DR32" s="1">
        <v>100</v>
      </c>
      <c r="DS32" s="1">
        <v>17</v>
      </c>
      <c r="DT32" s="1">
        <v>19</v>
      </c>
      <c r="DU32" s="1">
        <v>46</v>
      </c>
      <c r="DV32" s="1">
        <v>18</v>
      </c>
      <c r="DW32" s="1">
        <v>29.719000000000001</v>
      </c>
      <c r="DX32" s="1">
        <v>66</v>
      </c>
      <c r="DY32" s="1">
        <v>18</v>
      </c>
      <c r="DZ32" s="1">
        <v>20</v>
      </c>
      <c r="EA32" s="1">
        <v>43</v>
      </c>
      <c r="EB32" s="1">
        <v>20</v>
      </c>
      <c r="EC32" s="1">
        <v>25.499000000000002</v>
      </c>
      <c r="ED32" s="1">
        <v>74</v>
      </c>
      <c r="EE32" s="1">
        <v>15</v>
      </c>
      <c r="EF32" s="1">
        <v>24</v>
      </c>
      <c r="EG32" s="1">
        <v>40</v>
      </c>
      <c r="EH32" s="1">
        <v>21</v>
      </c>
      <c r="EI32" s="1">
        <v>24.093</v>
      </c>
      <c r="EJ32" s="1">
        <v>118</v>
      </c>
      <c r="EK32" s="1">
        <v>28</v>
      </c>
      <c r="EL32" s="1">
        <v>23</v>
      </c>
      <c r="EM32" s="1">
        <v>40</v>
      </c>
      <c r="EN32" s="1">
        <v>23</v>
      </c>
      <c r="EO32" s="1">
        <v>27.909000000000002</v>
      </c>
      <c r="EP32" s="1">
        <v>93</v>
      </c>
      <c r="EQ32" s="1">
        <v>19</v>
      </c>
      <c r="ER32" s="1">
        <v>22</v>
      </c>
      <c r="ES32" s="1">
        <v>44</v>
      </c>
      <c r="ET32" s="1">
        <v>19</v>
      </c>
      <c r="EU32" s="1">
        <v>26.285</v>
      </c>
      <c r="EV32" s="1">
        <v>77</v>
      </c>
      <c r="EW32" s="1">
        <v>19</v>
      </c>
      <c r="EX32" s="1">
        <v>21</v>
      </c>
      <c r="EY32" s="1">
        <v>45</v>
      </c>
      <c r="EZ32" s="1">
        <v>16</v>
      </c>
      <c r="FA32" s="1">
        <v>25.487000000000002</v>
      </c>
      <c r="FB32" s="1">
        <v>67</v>
      </c>
      <c r="FC32" s="1">
        <v>17</v>
      </c>
      <c r="FD32" s="1">
        <v>19</v>
      </c>
      <c r="FE32" s="1">
        <v>43</v>
      </c>
      <c r="FF32" s="1">
        <v>22</v>
      </c>
      <c r="FG32" s="1">
        <v>24.005000000000003</v>
      </c>
      <c r="FH32" s="1">
        <v>98</v>
      </c>
      <c r="FI32" s="1">
        <v>24</v>
      </c>
      <c r="FJ32" s="1">
        <v>21</v>
      </c>
      <c r="FK32" s="1">
        <v>44</v>
      </c>
      <c r="FL32" s="1">
        <v>21</v>
      </c>
      <c r="FM32" s="1">
        <v>29.851000000000003</v>
      </c>
      <c r="FN32" s="1">
        <v>71</v>
      </c>
      <c r="FO32" s="1">
        <v>15</v>
      </c>
      <c r="FP32" s="1">
        <v>17</v>
      </c>
      <c r="FQ32" s="1">
        <v>45</v>
      </c>
      <c r="FR32" s="1">
        <v>19</v>
      </c>
      <c r="FS32" s="1">
        <v>25.470000000000002</v>
      </c>
      <c r="FT32" s="1">
        <v>78</v>
      </c>
      <c r="FU32" s="1">
        <v>21</v>
      </c>
      <c r="FV32" s="1">
        <v>18</v>
      </c>
      <c r="FW32" s="1">
        <v>41</v>
      </c>
      <c r="FX32" s="1">
        <v>19</v>
      </c>
      <c r="FY32" s="1">
        <v>25.393000000000001</v>
      </c>
      <c r="FZ32" s="1">
        <v>83</v>
      </c>
      <c r="GA32" s="1">
        <v>17</v>
      </c>
      <c r="GB32" s="1">
        <v>20</v>
      </c>
      <c r="GC32" s="1">
        <v>42</v>
      </c>
      <c r="GD32" s="1">
        <v>16</v>
      </c>
      <c r="GE32" s="1">
        <v>25.831</v>
      </c>
      <c r="GF32" s="1">
        <v>123</v>
      </c>
      <c r="GG32" s="1">
        <v>22</v>
      </c>
      <c r="GH32" s="1">
        <v>23</v>
      </c>
      <c r="GI32" s="1">
        <v>45</v>
      </c>
      <c r="GJ32" s="1">
        <v>22</v>
      </c>
      <c r="GK32" s="1">
        <v>30.150000000000002</v>
      </c>
      <c r="GL32" s="1">
        <v>124</v>
      </c>
      <c r="GM32" s="1">
        <v>18</v>
      </c>
      <c r="GN32" s="1">
        <v>26</v>
      </c>
      <c r="GO32" s="1">
        <v>42</v>
      </c>
      <c r="GP32" s="1">
        <v>19</v>
      </c>
      <c r="GQ32" s="1">
        <v>29.296000000000003</v>
      </c>
      <c r="GR32" s="1">
        <v>69</v>
      </c>
      <c r="GS32" s="1">
        <v>23</v>
      </c>
      <c r="GT32" s="1">
        <v>17</v>
      </c>
      <c r="GU32" s="1">
        <v>45</v>
      </c>
      <c r="GV32" s="1">
        <v>23</v>
      </c>
      <c r="GW32" s="1">
        <v>25.914000000000001</v>
      </c>
      <c r="GX32" s="1">
        <v>115</v>
      </c>
      <c r="GY32" s="1">
        <v>16</v>
      </c>
      <c r="GZ32" s="1">
        <v>29</v>
      </c>
      <c r="HA32" s="1">
        <v>41</v>
      </c>
      <c r="HB32" s="1">
        <v>18</v>
      </c>
      <c r="HC32" s="1">
        <v>28.208000000000002</v>
      </c>
      <c r="HD32" s="1">
        <v>65</v>
      </c>
      <c r="HE32" s="1">
        <v>12</v>
      </c>
      <c r="HF32" s="1">
        <v>15</v>
      </c>
      <c r="HG32" s="1">
        <v>42</v>
      </c>
      <c r="HH32" s="1">
        <v>15</v>
      </c>
      <c r="HI32" s="1">
        <v>24.882000000000001</v>
      </c>
      <c r="HJ32" s="1">
        <v>119</v>
      </c>
      <c r="HK32" s="1">
        <v>21</v>
      </c>
      <c r="HL32" s="1">
        <v>22</v>
      </c>
      <c r="HM32" s="1">
        <v>44</v>
      </c>
      <c r="HN32" s="1">
        <v>22</v>
      </c>
      <c r="HO32" s="1">
        <v>28.577000000000002</v>
      </c>
      <c r="HP32" s="1">
        <v>111</v>
      </c>
      <c r="HQ32" s="1">
        <v>15</v>
      </c>
      <c r="HR32" s="1">
        <v>19</v>
      </c>
      <c r="HS32" s="1">
        <v>43</v>
      </c>
      <c r="HT32" s="1">
        <v>20</v>
      </c>
      <c r="HU32" s="1">
        <v>27.531000000000002</v>
      </c>
      <c r="HV32" s="1">
        <v>67</v>
      </c>
      <c r="HW32" s="1">
        <v>12</v>
      </c>
      <c r="HX32" s="1">
        <v>21</v>
      </c>
      <c r="HY32" s="1">
        <v>44</v>
      </c>
      <c r="HZ32" s="1">
        <v>22</v>
      </c>
      <c r="IA32" s="1">
        <v>25.036000000000001</v>
      </c>
      <c r="IB32" s="1">
        <v>85</v>
      </c>
      <c r="IC32" s="1">
        <v>31</v>
      </c>
      <c r="ID32" s="1">
        <v>22</v>
      </c>
      <c r="IE32" s="1">
        <v>42</v>
      </c>
      <c r="IF32" s="1">
        <v>18</v>
      </c>
      <c r="IG32" s="1">
        <v>27.196000000000002</v>
      </c>
      <c r="IH32" s="1">
        <v>117</v>
      </c>
      <c r="II32" s="1">
        <v>9</v>
      </c>
      <c r="IJ32" s="1">
        <v>25</v>
      </c>
      <c r="IK32" s="1">
        <v>45</v>
      </c>
      <c r="IL32" s="1">
        <v>19</v>
      </c>
      <c r="IM32" s="1">
        <v>29.574000000000002</v>
      </c>
      <c r="IN32" s="1">
        <v>93</v>
      </c>
      <c r="IO32" s="1">
        <v>26</v>
      </c>
      <c r="IP32" s="1">
        <v>16</v>
      </c>
      <c r="IQ32" s="1">
        <v>45</v>
      </c>
      <c r="IR32" s="1">
        <v>23</v>
      </c>
      <c r="IS32" s="1">
        <v>27.87</v>
      </c>
      <c r="IT32" s="1">
        <v>111</v>
      </c>
      <c r="IU32" s="1">
        <v>7</v>
      </c>
      <c r="IV32" s="1">
        <v>18</v>
      </c>
      <c r="IW32" s="1">
        <v>42</v>
      </c>
      <c r="IX32" s="1">
        <v>20</v>
      </c>
      <c r="IY32" s="1">
        <v>28.834</v>
      </c>
      <c r="IZ32" s="1">
        <v>87</v>
      </c>
      <c r="JA32" s="1">
        <v>18</v>
      </c>
      <c r="JB32" s="1">
        <v>19</v>
      </c>
      <c r="JC32" s="1">
        <v>44</v>
      </c>
      <c r="JD32" s="1">
        <v>17</v>
      </c>
      <c r="JE32" s="1">
        <v>27.206</v>
      </c>
      <c r="JF32" s="1">
        <v>106</v>
      </c>
      <c r="JG32" s="1">
        <v>22</v>
      </c>
      <c r="JH32" s="1">
        <v>21</v>
      </c>
      <c r="JI32" s="1">
        <v>42</v>
      </c>
      <c r="JJ32" s="1">
        <v>20</v>
      </c>
      <c r="JK32" s="1">
        <v>26.938000000000002</v>
      </c>
      <c r="JL32" s="1">
        <v>125</v>
      </c>
      <c r="JM32" s="1">
        <v>26</v>
      </c>
      <c r="JN32" s="1">
        <v>25</v>
      </c>
      <c r="JO32" s="1">
        <v>44</v>
      </c>
      <c r="JP32" s="1">
        <v>20</v>
      </c>
      <c r="JQ32" s="1">
        <v>28.02</v>
      </c>
      <c r="JR32" s="1">
        <v>97</v>
      </c>
      <c r="JS32" s="1">
        <v>21</v>
      </c>
      <c r="JT32" s="1">
        <v>21</v>
      </c>
      <c r="JU32" s="1">
        <v>41</v>
      </c>
      <c r="JV32" s="1">
        <v>19</v>
      </c>
      <c r="JW32" s="1">
        <v>25.846</v>
      </c>
      <c r="JX32" s="1">
        <v>88</v>
      </c>
      <c r="JY32" s="1">
        <v>22</v>
      </c>
      <c r="JZ32" s="1">
        <v>17</v>
      </c>
      <c r="KA32" s="1">
        <v>43</v>
      </c>
      <c r="KB32" s="1">
        <v>18</v>
      </c>
      <c r="KC32" s="1">
        <v>26.548999999999999</v>
      </c>
      <c r="KD32" s="1">
        <v>92</v>
      </c>
      <c r="KE32" s="1">
        <v>13</v>
      </c>
      <c r="KF32" s="1">
        <v>20</v>
      </c>
      <c r="KG32" s="1">
        <v>41</v>
      </c>
      <c r="KH32" s="1">
        <v>21</v>
      </c>
      <c r="KI32" s="1">
        <v>26.214000000000002</v>
      </c>
      <c r="KJ32" s="1">
        <v>83</v>
      </c>
      <c r="KK32" s="1">
        <v>19</v>
      </c>
      <c r="KL32" s="1">
        <v>17</v>
      </c>
      <c r="KM32" s="1">
        <v>41</v>
      </c>
      <c r="KN32" s="1">
        <v>18</v>
      </c>
      <c r="KO32" s="1">
        <v>25.497</v>
      </c>
      <c r="KP32" s="1">
        <v>117</v>
      </c>
      <c r="KQ32" s="1">
        <v>24</v>
      </c>
      <c r="KR32" s="1">
        <v>23</v>
      </c>
      <c r="KS32" s="1">
        <v>41</v>
      </c>
      <c r="KT32" s="1">
        <v>16</v>
      </c>
      <c r="KU32" s="1">
        <v>27.986000000000001</v>
      </c>
      <c r="KV32" s="1">
        <v>64</v>
      </c>
      <c r="KW32" s="1">
        <v>12</v>
      </c>
      <c r="KX32" s="1">
        <v>18</v>
      </c>
      <c r="KY32" s="1">
        <v>46</v>
      </c>
      <c r="KZ32" s="1">
        <v>21</v>
      </c>
      <c r="LA32" s="1">
        <v>26.658000000000001</v>
      </c>
      <c r="LB32" s="1">
        <v>116</v>
      </c>
      <c r="LC32" s="1">
        <v>22</v>
      </c>
      <c r="LD32" s="1">
        <v>22</v>
      </c>
      <c r="LE32" s="1">
        <v>44</v>
      </c>
      <c r="LF32" s="1">
        <v>20</v>
      </c>
      <c r="LG32" s="1">
        <v>29.251000000000001</v>
      </c>
      <c r="LH32" s="1">
        <v>107</v>
      </c>
      <c r="LI32" s="1">
        <v>23</v>
      </c>
      <c r="LJ32" s="1">
        <v>22</v>
      </c>
      <c r="LK32" s="1">
        <v>43</v>
      </c>
      <c r="LL32" s="1">
        <v>19</v>
      </c>
      <c r="LM32" s="1">
        <v>27.536000000000001</v>
      </c>
      <c r="LN32" s="1">
        <v>94</v>
      </c>
      <c r="LO32" s="1">
        <v>23</v>
      </c>
      <c r="LP32" s="1">
        <v>24</v>
      </c>
      <c r="LQ32" s="1">
        <v>43</v>
      </c>
      <c r="LR32" s="1">
        <v>19</v>
      </c>
      <c r="LS32" s="1">
        <v>26.929000000000002</v>
      </c>
      <c r="LT32" s="1">
        <v>84</v>
      </c>
      <c r="LU32" s="1">
        <v>19</v>
      </c>
      <c r="LV32" s="1">
        <v>17</v>
      </c>
      <c r="LW32" s="1">
        <v>41</v>
      </c>
      <c r="LX32" s="1">
        <v>19</v>
      </c>
      <c r="LY32" s="1">
        <v>26.263000000000002</v>
      </c>
      <c r="LZ32" s="1">
        <v>108</v>
      </c>
      <c r="MA32" s="1">
        <v>18</v>
      </c>
      <c r="MB32" s="1">
        <v>21</v>
      </c>
      <c r="MC32" s="1">
        <v>44</v>
      </c>
      <c r="MD32" s="1">
        <v>20</v>
      </c>
      <c r="ME32" s="1">
        <v>27.831</v>
      </c>
      <c r="MF32" s="1">
        <v>70</v>
      </c>
      <c r="MG32" s="1">
        <v>19</v>
      </c>
      <c r="MH32" s="1">
        <v>16</v>
      </c>
      <c r="MI32" s="1">
        <v>43</v>
      </c>
      <c r="MJ32" s="1">
        <v>20</v>
      </c>
      <c r="MK32" s="1">
        <v>23.989000000000001</v>
      </c>
      <c r="ML32" s="1">
        <v>83</v>
      </c>
      <c r="MM32" s="1">
        <v>16</v>
      </c>
      <c r="MN32" s="1">
        <v>19</v>
      </c>
      <c r="MO32" s="1">
        <v>44</v>
      </c>
      <c r="MP32" s="1">
        <v>20</v>
      </c>
      <c r="MQ32" s="1">
        <v>23.371000000000002</v>
      </c>
      <c r="MR32" s="1">
        <v>80</v>
      </c>
      <c r="MS32" s="1">
        <v>21</v>
      </c>
      <c r="MT32" s="1">
        <v>20</v>
      </c>
      <c r="MU32" s="1">
        <v>45</v>
      </c>
      <c r="MV32" s="1">
        <v>19</v>
      </c>
      <c r="MW32" s="1">
        <v>26.491</v>
      </c>
    </row>
    <row r="33" spans="1:361">
      <c r="A33" s="1">
        <v>30</v>
      </c>
      <c r="B33" s="1">
        <v>100</v>
      </c>
      <c r="C33" s="1">
        <v>23</v>
      </c>
      <c r="D33" s="1">
        <v>21</v>
      </c>
      <c r="E33" s="1">
        <v>42</v>
      </c>
      <c r="F33" s="1">
        <v>20</v>
      </c>
      <c r="G33" s="1">
        <v>27.761000000000003</v>
      </c>
      <c r="H33" s="1">
        <v>77</v>
      </c>
      <c r="I33" s="1">
        <v>18</v>
      </c>
      <c r="J33" s="1">
        <v>22</v>
      </c>
      <c r="K33" s="1">
        <v>46</v>
      </c>
      <c r="L33" s="1">
        <v>22</v>
      </c>
      <c r="M33" s="1">
        <v>26.651</v>
      </c>
      <c r="N33" s="1">
        <v>119</v>
      </c>
      <c r="O33" s="1">
        <v>27</v>
      </c>
      <c r="P33" s="1">
        <v>26</v>
      </c>
      <c r="Q33" s="1">
        <v>46</v>
      </c>
      <c r="R33" s="1">
        <v>21</v>
      </c>
      <c r="S33" s="1">
        <v>29.585000000000001</v>
      </c>
      <c r="T33" s="1">
        <v>111</v>
      </c>
      <c r="U33" s="1">
        <v>24</v>
      </c>
      <c r="V33" s="1">
        <v>24</v>
      </c>
      <c r="W33" s="1">
        <v>41</v>
      </c>
      <c r="X33" s="1">
        <v>18</v>
      </c>
      <c r="Y33" s="1">
        <v>27.25</v>
      </c>
      <c r="Z33" s="1">
        <v>117</v>
      </c>
      <c r="AA33" s="1">
        <v>23</v>
      </c>
      <c r="AB33" s="1">
        <v>26</v>
      </c>
      <c r="AC33" s="1">
        <v>41</v>
      </c>
      <c r="AD33" s="1">
        <v>19</v>
      </c>
      <c r="AE33" s="1">
        <v>27.713000000000001</v>
      </c>
      <c r="AF33" s="1">
        <v>109</v>
      </c>
      <c r="AG33" s="1">
        <v>12</v>
      </c>
      <c r="AH33" s="1">
        <v>22</v>
      </c>
      <c r="AI33" s="1">
        <v>47</v>
      </c>
      <c r="AJ33" s="1">
        <v>20</v>
      </c>
      <c r="AK33" s="1">
        <v>27.455000000000002</v>
      </c>
      <c r="AL33" s="1">
        <v>122</v>
      </c>
      <c r="AM33" s="1">
        <v>18</v>
      </c>
      <c r="AN33" s="1">
        <v>22</v>
      </c>
      <c r="AO33" s="1">
        <v>40</v>
      </c>
      <c r="AP33" s="1">
        <v>20</v>
      </c>
      <c r="AQ33" s="1">
        <v>26.6</v>
      </c>
      <c r="AR33" s="1">
        <v>92</v>
      </c>
      <c r="AS33" s="1">
        <v>22</v>
      </c>
      <c r="AT33" s="1">
        <v>24</v>
      </c>
      <c r="AU33" s="1">
        <v>42</v>
      </c>
      <c r="AV33" s="1">
        <v>20</v>
      </c>
      <c r="AW33" s="1">
        <v>26.238</v>
      </c>
      <c r="AX33" s="1">
        <v>96</v>
      </c>
      <c r="AY33" s="1">
        <v>27</v>
      </c>
      <c r="AZ33" s="1">
        <v>19</v>
      </c>
      <c r="BA33" s="1">
        <v>47</v>
      </c>
      <c r="BB33" s="1">
        <v>20</v>
      </c>
      <c r="BC33" s="1">
        <v>28.231000000000002</v>
      </c>
      <c r="BD33" s="1">
        <v>70</v>
      </c>
      <c r="BE33" s="1">
        <v>18</v>
      </c>
      <c r="BF33" s="1">
        <v>17</v>
      </c>
      <c r="BG33" s="1">
        <v>42</v>
      </c>
      <c r="BH33" s="1">
        <v>17</v>
      </c>
      <c r="BI33" s="1">
        <v>25.569000000000003</v>
      </c>
      <c r="BJ33" s="1">
        <v>86</v>
      </c>
      <c r="BK33" s="1">
        <v>27</v>
      </c>
      <c r="BL33" s="1">
        <v>19</v>
      </c>
      <c r="BM33" s="1">
        <v>42</v>
      </c>
      <c r="BN33" s="1">
        <v>18</v>
      </c>
      <c r="BO33" s="1">
        <v>26.515000000000001</v>
      </c>
      <c r="BP33" s="1">
        <v>113</v>
      </c>
      <c r="BQ33" s="1">
        <v>26</v>
      </c>
      <c r="BR33" s="1">
        <v>27</v>
      </c>
      <c r="BS33" s="1">
        <v>42</v>
      </c>
      <c r="BT33" s="1">
        <v>20</v>
      </c>
      <c r="BU33" s="1">
        <v>29.654</v>
      </c>
      <c r="BV33" s="1">
        <v>92</v>
      </c>
      <c r="BW33" s="1">
        <v>20</v>
      </c>
      <c r="BX33" s="1">
        <v>19</v>
      </c>
      <c r="BY33" s="1">
        <v>43</v>
      </c>
      <c r="BZ33" s="1">
        <v>19</v>
      </c>
      <c r="CA33" s="1">
        <v>25.68</v>
      </c>
      <c r="CB33" s="1">
        <v>113</v>
      </c>
      <c r="CC33" s="1">
        <v>16</v>
      </c>
      <c r="CD33" s="1">
        <v>25</v>
      </c>
      <c r="CE33" s="1">
        <v>43</v>
      </c>
      <c r="CF33" s="1">
        <v>21</v>
      </c>
      <c r="CG33" s="1">
        <v>29.632000000000001</v>
      </c>
      <c r="CH33" s="1">
        <v>99</v>
      </c>
      <c r="CI33" s="1">
        <v>21</v>
      </c>
      <c r="CJ33" s="1">
        <v>23</v>
      </c>
      <c r="CK33" s="1">
        <v>42</v>
      </c>
      <c r="CL33" s="1">
        <v>24</v>
      </c>
      <c r="CM33" s="1">
        <v>27.655000000000001</v>
      </c>
      <c r="CN33" s="1">
        <v>70</v>
      </c>
      <c r="CO33" s="1">
        <v>13</v>
      </c>
      <c r="CP33" s="1">
        <v>18</v>
      </c>
      <c r="CQ33" s="1">
        <v>44</v>
      </c>
      <c r="CR33" s="1">
        <v>19</v>
      </c>
      <c r="CS33" s="1">
        <v>24.562000000000001</v>
      </c>
      <c r="CT33" s="1">
        <v>66</v>
      </c>
      <c r="CU33" s="1">
        <v>11</v>
      </c>
      <c r="CV33" s="1">
        <v>22</v>
      </c>
      <c r="CW33" s="1">
        <v>41</v>
      </c>
      <c r="CX33" s="1">
        <v>23</v>
      </c>
      <c r="CY33" s="1">
        <v>24.948</v>
      </c>
      <c r="CZ33" s="1">
        <v>121</v>
      </c>
      <c r="DA33" s="1">
        <v>29</v>
      </c>
      <c r="DB33" s="1">
        <v>24</v>
      </c>
      <c r="DC33" s="1">
        <v>45</v>
      </c>
      <c r="DD33" s="1">
        <v>22</v>
      </c>
      <c r="DE33" s="1">
        <v>28.979000000000003</v>
      </c>
      <c r="DF33" s="1">
        <v>71</v>
      </c>
      <c r="DG33" s="1">
        <v>15</v>
      </c>
      <c r="DH33" s="1">
        <v>20</v>
      </c>
      <c r="DI33" s="1">
        <v>42</v>
      </c>
      <c r="DJ33" s="1">
        <v>20</v>
      </c>
      <c r="DK33" s="1">
        <v>24.739000000000001</v>
      </c>
      <c r="DL33" s="1">
        <v>73</v>
      </c>
      <c r="DM33" s="1">
        <v>29</v>
      </c>
      <c r="DN33" s="1">
        <v>18</v>
      </c>
      <c r="DO33" s="1">
        <v>41</v>
      </c>
      <c r="DP33" s="1">
        <v>22</v>
      </c>
      <c r="DQ33" s="1">
        <v>25.813000000000002</v>
      </c>
      <c r="DR33" s="1">
        <v>116</v>
      </c>
      <c r="DS33" s="1">
        <v>25</v>
      </c>
      <c r="DT33" s="1">
        <v>24</v>
      </c>
      <c r="DU33" s="1">
        <v>42</v>
      </c>
      <c r="DV33" s="1">
        <v>17</v>
      </c>
      <c r="DW33" s="1">
        <v>26.701000000000001</v>
      </c>
      <c r="DX33" s="1">
        <v>109</v>
      </c>
      <c r="DY33" s="1">
        <v>23</v>
      </c>
      <c r="DZ33" s="1">
        <v>25</v>
      </c>
      <c r="EA33" s="1">
        <v>42</v>
      </c>
      <c r="EB33" s="1">
        <v>19</v>
      </c>
      <c r="EC33" s="1">
        <v>27.732000000000003</v>
      </c>
      <c r="ED33" s="1">
        <v>125</v>
      </c>
      <c r="EE33" s="1">
        <v>27</v>
      </c>
      <c r="EF33" s="1">
        <v>24</v>
      </c>
      <c r="EG33" s="1">
        <v>40</v>
      </c>
      <c r="EH33" s="1">
        <v>20</v>
      </c>
      <c r="EI33" s="1">
        <v>29.036000000000001</v>
      </c>
      <c r="EJ33" s="1">
        <v>69</v>
      </c>
      <c r="EK33" s="1">
        <v>16</v>
      </c>
      <c r="EL33" s="1">
        <v>18</v>
      </c>
      <c r="EM33" s="1">
        <v>44</v>
      </c>
      <c r="EN33" s="1">
        <v>20</v>
      </c>
      <c r="EO33" s="1">
        <v>23.069000000000003</v>
      </c>
      <c r="EP33" s="1">
        <v>114</v>
      </c>
      <c r="EQ33" s="1">
        <v>16</v>
      </c>
      <c r="ER33" s="1">
        <v>22</v>
      </c>
      <c r="ES33" s="1">
        <v>41</v>
      </c>
      <c r="ET33" s="1">
        <v>18</v>
      </c>
      <c r="EU33" s="1">
        <v>27.685000000000002</v>
      </c>
      <c r="EV33" s="1">
        <v>87</v>
      </c>
      <c r="EW33" s="1">
        <v>18</v>
      </c>
      <c r="EX33" s="1">
        <v>18</v>
      </c>
      <c r="EY33" s="1">
        <v>41</v>
      </c>
      <c r="EZ33" s="1">
        <v>19</v>
      </c>
      <c r="FA33" s="1">
        <v>25.869</v>
      </c>
      <c r="FB33" s="1">
        <v>73</v>
      </c>
      <c r="FC33" s="1">
        <v>16</v>
      </c>
      <c r="FD33" s="1">
        <v>23</v>
      </c>
      <c r="FE33" s="1">
        <v>43</v>
      </c>
      <c r="FF33" s="1">
        <v>20</v>
      </c>
      <c r="FG33" s="1">
        <v>25.366</v>
      </c>
      <c r="FH33" s="1">
        <v>68</v>
      </c>
      <c r="FI33" s="1">
        <v>15</v>
      </c>
      <c r="FJ33" s="1">
        <v>14</v>
      </c>
      <c r="FK33" s="1">
        <v>42</v>
      </c>
      <c r="FL33" s="1">
        <v>19</v>
      </c>
      <c r="FM33" s="1">
        <v>23.501000000000001</v>
      </c>
      <c r="FN33" s="1">
        <v>65</v>
      </c>
      <c r="FO33" s="1">
        <v>15</v>
      </c>
      <c r="FP33" s="1">
        <v>18</v>
      </c>
      <c r="FQ33" s="1">
        <v>45</v>
      </c>
      <c r="FR33" s="1">
        <v>21</v>
      </c>
      <c r="FS33" s="1">
        <v>24.456</v>
      </c>
      <c r="FT33" s="1">
        <v>95</v>
      </c>
      <c r="FU33" s="1">
        <v>17</v>
      </c>
      <c r="FV33" s="1">
        <v>22</v>
      </c>
      <c r="FW33" s="1">
        <v>45</v>
      </c>
      <c r="FX33" s="1">
        <v>21</v>
      </c>
      <c r="FY33" s="1">
        <v>27.150000000000002</v>
      </c>
      <c r="FZ33" s="1">
        <v>104</v>
      </c>
      <c r="GA33" s="1">
        <v>21</v>
      </c>
      <c r="GB33" s="1">
        <v>23</v>
      </c>
      <c r="GC33" s="1">
        <v>43</v>
      </c>
      <c r="GD33" s="1">
        <v>19</v>
      </c>
      <c r="GE33" s="1">
        <v>26.788</v>
      </c>
      <c r="GF33" s="1">
        <v>68</v>
      </c>
      <c r="GG33" s="1">
        <v>24</v>
      </c>
      <c r="GH33" s="1">
        <v>17</v>
      </c>
      <c r="GI33" s="1">
        <v>47</v>
      </c>
      <c r="GJ33" s="1">
        <v>20</v>
      </c>
      <c r="GK33" s="1">
        <v>25.811</v>
      </c>
      <c r="GL33" s="1">
        <v>76</v>
      </c>
      <c r="GM33" s="1">
        <v>13</v>
      </c>
      <c r="GN33" s="1">
        <v>25</v>
      </c>
      <c r="GO33" s="1">
        <v>44</v>
      </c>
      <c r="GP33" s="1">
        <v>19</v>
      </c>
      <c r="GQ33" s="1">
        <v>25.597000000000001</v>
      </c>
      <c r="GR33" s="1">
        <v>83</v>
      </c>
      <c r="GS33" s="1">
        <v>17</v>
      </c>
      <c r="GT33" s="1">
        <v>22</v>
      </c>
      <c r="GU33" s="1">
        <v>41</v>
      </c>
      <c r="GV33" s="1">
        <v>20</v>
      </c>
      <c r="GW33" s="1">
        <v>25.6</v>
      </c>
      <c r="GX33" s="1">
        <v>128</v>
      </c>
      <c r="GY33" s="1">
        <v>17</v>
      </c>
      <c r="GZ33" s="1">
        <v>26</v>
      </c>
      <c r="HA33" s="1">
        <v>45</v>
      </c>
      <c r="HB33" s="1">
        <v>19</v>
      </c>
      <c r="HC33" s="1">
        <v>31.039000000000001</v>
      </c>
      <c r="HD33" s="1">
        <v>71</v>
      </c>
      <c r="HE33" s="1">
        <v>19</v>
      </c>
      <c r="HF33" s="1">
        <v>21</v>
      </c>
      <c r="HG33" s="1">
        <v>43</v>
      </c>
      <c r="HH33" s="1">
        <v>19</v>
      </c>
      <c r="HI33" s="1">
        <v>26.426000000000002</v>
      </c>
      <c r="HJ33" s="1">
        <v>79</v>
      </c>
      <c r="HK33" s="1">
        <v>11</v>
      </c>
      <c r="HL33" s="1">
        <v>22</v>
      </c>
      <c r="HM33" s="1">
        <v>42</v>
      </c>
      <c r="HN33" s="1">
        <v>18</v>
      </c>
      <c r="HO33" s="1">
        <v>26.62</v>
      </c>
      <c r="HP33" s="1">
        <v>78</v>
      </c>
      <c r="HQ33" s="1">
        <v>20</v>
      </c>
      <c r="HR33" s="1">
        <v>22</v>
      </c>
      <c r="HS33" s="1">
        <v>40</v>
      </c>
      <c r="HT33" s="1">
        <v>20</v>
      </c>
      <c r="HU33" s="1">
        <v>25.304000000000002</v>
      </c>
      <c r="HV33" s="1">
        <v>70</v>
      </c>
      <c r="HW33" s="1">
        <v>14</v>
      </c>
      <c r="HX33" s="1">
        <v>22</v>
      </c>
      <c r="HY33" s="1">
        <v>41</v>
      </c>
      <c r="HZ33" s="1">
        <v>17</v>
      </c>
      <c r="IA33" s="1">
        <v>23.988</v>
      </c>
      <c r="IB33" s="1">
        <v>69</v>
      </c>
      <c r="IC33" s="1">
        <v>22</v>
      </c>
      <c r="ID33" s="1">
        <v>21</v>
      </c>
      <c r="IE33" s="1">
        <v>42</v>
      </c>
      <c r="IF33" s="1">
        <v>18</v>
      </c>
      <c r="IG33" s="1">
        <v>24.379000000000001</v>
      </c>
      <c r="IH33" s="1">
        <v>111</v>
      </c>
      <c r="II33" s="1">
        <v>26</v>
      </c>
      <c r="IJ33" s="1">
        <v>28</v>
      </c>
      <c r="IK33" s="1">
        <v>40</v>
      </c>
      <c r="IL33" s="1">
        <v>21</v>
      </c>
      <c r="IM33" s="1">
        <v>27.025000000000002</v>
      </c>
      <c r="IN33" s="1">
        <v>86</v>
      </c>
      <c r="IO33" s="1">
        <v>22</v>
      </c>
      <c r="IP33" s="1">
        <v>20</v>
      </c>
      <c r="IQ33" s="1">
        <v>45</v>
      </c>
      <c r="IR33" s="1">
        <v>21</v>
      </c>
      <c r="IS33" s="1">
        <v>26.463000000000001</v>
      </c>
      <c r="IT33" s="1">
        <v>85</v>
      </c>
      <c r="IU33" s="1">
        <v>21</v>
      </c>
      <c r="IV33" s="1">
        <v>20</v>
      </c>
      <c r="IW33" s="1">
        <v>45</v>
      </c>
      <c r="IX33" s="1">
        <v>19</v>
      </c>
      <c r="IY33" s="1">
        <v>25.537000000000003</v>
      </c>
      <c r="IZ33" s="1">
        <v>110</v>
      </c>
      <c r="JA33" s="1">
        <v>19</v>
      </c>
      <c r="JB33" s="1">
        <v>24</v>
      </c>
      <c r="JC33" s="1">
        <v>40</v>
      </c>
      <c r="JD33" s="1">
        <v>23</v>
      </c>
      <c r="JE33" s="1">
        <v>28.582000000000001</v>
      </c>
      <c r="JF33" s="1">
        <v>101</v>
      </c>
      <c r="JG33" s="1">
        <v>17</v>
      </c>
      <c r="JH33" s="1">
        <v>17</v>
      </c>
      <c r="JI33" s="1">
        <v>43</v>
      </c>
      <c r="JJ33" s="1">
        <v>21</v>
      </c>
      <c r="JK33" s="1">
        <v>26.810000000000002</v>
      </c>
      <c r="JL33" s="1">
        <v>100</v>
      </c>
      <c r="JM33" s="1">
        <v>12</v>
      </c>
      <c r="JN33" s="1">
        <v>24</v>
      </c>
      <c r="JO33" s="1">
        <v>46</v>
      </c>
      <c r="JP33" s="1">
        <v>24</v>
      </c>
      <c r="JQ33" s="1">
        <v>28.400000000000002</v>
      </c>
      <c r="JR33" s="1">
        <v>124</v>
      </c>
      <c r="JS33" s="1">
        <v>17</v>
      </c>
      <c r="JT33" s="1">
        <v>27</v>
      </c>
      <c r="JU33" s="1">
        <v>43</v>
      </c>
      <c r="JV33" s="1">
        <v>19</v>
      </c>
      <c r="JW33" s="1">
        <v>28.138000000000002</v>
      </c>
      <c r="JX33" s="1">
        <v>108</v>
      </c>
      <c r="JY33" s="1">
        <v>19</v>
      </c>
      <c r="JZ33" s="1">
        <v>23</v>
      </c>
      <c r="KA33" s="1">
        <v>45</v>
      </c>
      <c r="KB33" s="1">
        <v>23</v>
      </c>
      <c r="KC33" s="1">
        <v>26.696000000000002</v>
      </c>
      <c r="KD33" s="1">
        <v>95</v>
      </c>
      <c r="KE33" s="1">
        <v>25</v>
      </c>
      <c r="KF33" s="1">
        <v>19</v>
      </c>
      <c r="KG33" s="1">
        <v>40</v>
      </c>
      <c r="KH33" s="1">
        <v>20</v>
      </c>
      <c r="KI33" s="1">
        <v>24.349</v>
      </c>
      <c r="KJ33" s="1">
        <v>117</v>
      </c>
      <c r="KK33" s="1">
        <v>18</v>
      </c>
      <c r="KL33" s="1">
        <v>29</v>
      </c>
      <c r="KM33" s="1">
        <v>45</v>
      </c>
      <c r="KN33" s="1">
        <v>21</v>
      </c>
      <c r="KO33" s="1">
        <v>27.979000000000003</v>
      </c>
      <c r="KP33" s="1">
        <v>84</v>
      </c>
      <c r="KQ33" s="1">
        <v>20</v>
      </c>
      <c r="KR33" s="1">
        <v>23</v>
      </c>
      <c r="KS33" s="1">
        <v>40</v>
      </c>
      <c r="KT33" s="1">
        <v>18</v>
      </c>
      <c r="KU33" s="1">
        <v>24.602</v>
      </c>
      <c r="KV33" s="1">
        <v>120</v>
      </c>
      <c r="KW33" s="1">
        <v>17</v>
      </c>
      <c r="KX33" s="1">
        <v>26</v>
      </c>
      <c r="KY33" s="1">
        <v>45</v>
      </c>
      <c r="KZ33" s="1">
        <v>21</v>
      </c>
      <c r="LA33" s="1">
        <v>28.298000000000002</v>
      </c>
      <c r="LB33" s="1">
        <v>120</v>
      </c>
      <c r="LC33" s="1">
        <v>22</v>
      </c>
      <c r="LD33" s="1">
        <v>25</v>
      </c>
      <c r="LE33" s="1">
        <v>45</v>
      </c>
      <c r="LF33" s="1">
        <v>20</v>
      </c>
      <c r="LG33" s="1">
        <v>27.630000000000003</v>
      </c>
      <c r="LH33" s="1">
        <v>70</v>
      </c>
      <c r="LI33" s="1">
        <v>19</v>
      </c>
      <c r="LJ33" s="1">
        <v>17</v>
      </c>
      <c r="LK33" s="1">
        <v>40</v>
      </c>
      <c r="LL33" s="1">
        <v>22</v>
      </c>
      <c r="LM33" s="1">
        <v>23.813000000000002</v>
      </c>
      <c r="LN33" s="1">
        <v>119</v>
      </c>
      <c r="LO33" s="1">
        <v>9</v>
      </c>
      <c r="LP33" s="1">
        <v>28</v>
      </c>
      <c r="LQ33" s="1">
        <v>43</v>
      </c>
      <c r="LR33" s="1">
        <v>19</v>
      </c>
      <c r="LS33" s="1">
        <v>28.330000000000002</v>
      </c>
      <c r="LT33" s="1">
        <v>81</v>
      </c>
      <c r="LU33" s="1">
        <v>18</v>
      </c>
      <c r="LV33" s="1">
        <v>17</v>
      </c>
      <c r="LW33" s="1">
        <v>42</v>
      </c>
      <c r="LX33" s="1">
        <v>23</v>
      </c>
      <c r="LY33" s="1">
        <v>26.186</v>
      </c>
      <c r="LZ33" s="1">
        <v>103</v>
      </c>
      <c r="MA33" s="1">
        <v>17</v>
      </c>
      <c r="MB33" s="1">
        <v>24</v>
      </c>
      <c r="MC33" s="1">
        <v>42</v>
      </c>
      <c r="MD33" s="1">
        <v>18</v>
      </c>
      <c r="ME33" s="1">
        <v>26.409000000000002</v>
      </c>
      <c r="MF33" s="1">
        <v>124</v>
      </c>
      <c r="MG33" s="1">
        <v>18</v>
      </c>
      <c r="MH33" s="1">
        <v>24</v>
      </c>
      <c r="MI33" s="1">
        <v>45</v>
      </c>
      <c r="MJ33" s="1">
        <v>19</v>
      </c>
      <c r="MK33" s="1">
        <v>28.327000000000002</v>
      </c>
      <c r="ML33" s="1">
        <v>108</v>
      </c>
      <c r="MM33" s="1">
        <v>19</v>
      </c>
      <c r="MN33" s="1">
        <v>23</v>
      </c>
      <c r="MO33" s="1">
        <v>45</v>
      </c>
      <c r="MP33" s="1">
        <v>21</v>
      </c>
      <c r="MQ33" s="1">
        <v>29.745000000000001</v>
      </c>
      <c r="MR33" s="1">
        <v>106</v>
      </c>
      <c r="MS33" s="1">
        <v>22</v>
      </c>
      <c r="MT33" s="1">
        <v>18</v>
      </c>
      <c r="MU33" s="1">
        <v>39</v>
      </c>
      <c r="MV33" s="1">
        <v>21</v>
      </c>
      <c r="MW33" s="1">
        <v>26.744</v>
      </c>
    </row>
    <row r="34" spans="1:361">
      <c r="A34" s="1">
        <v>31</v>
      </c>
      <c r="B34" s="1">
        <v>69</v>
      </c>
      <c r="C34" s="1">
        <v>15</v>
      </c>
      <c r="D34" s="1">
        <v>20</v>
      </c>
      <c r="E34" s="1">
        <v>44</v>
      </c>
      <c r="F34" s="1">
        <v>23</v>
      </c>
      <c r="G34" s="1">
        <v>24.657</v>
      </c>
      <c r="H34" s="1">
        <v>76</v>
      </c>
      <c r="I34" s="1">
        <v>20</v>
      </c>
      <c r="J34" s="1">
        <v>20</v>
      </c>
      <c r="K34" s="1">
        <v>46</v>
      </c>
      <c r="L34" s="1">
        <v>18</v>
      </c>
      <c r="M34" s="1">
        <v>26.159000000000002</v>
      </c>
      <c r="N34" s="1">
        <v>119</v>
      </c>
      <c r="O34" s="1">
        <v>22</v>
      </c>
      <c r="P34" s="1">
        <v>22</v>
      </c>
      <c r="Q34" s="1">
        <v>41</v>
      </c>
      <c r="R34" s="1">
        <v>21</v>
      </c>
      <c r="S34" s="1">
        <v>27.292000000000002</v>
      </c>
      <c r="T34" s="1">
        <v>87</v>
      </c>
      <c r="U34" s="1">
        <v>18</v>
      </c>
      <c r="V34" s="1">
        <v>21</v>
      </c>
      <c r="W34" s="1">
        <v>40</v>
      </c>
      <c r="X34" s="1">
        <v>21</v>
      </c>
      <c r="Y34" s="1">
        <v>26.223000000000003</v>
      </c>
      <c r="Z34" s="1">
        <v>125</v>
      </c>
      <c r="AA34" s="1">
        <v>20</v>
      </c>
      <c r="AB34" s="1">
        <v>22</v>
      </c>
      <c r="AC34" s="1">
        <v>44</v>
      </c>
      <c r="AD34" s="1">
        <v>20</v>
      </c>
      <c r="AE34" s="1">
        <v>28.338000000000001</v>
      </c>
      <c r="AF34" s="1">
        <v>128</v>
      </c>
      <c r="AG34" s="1">
        <v>21</v>
      </c>
      <c r="AH34" s="1">
        <v>27</v>
      </c>
      <c r="AI34" s="1">
        <v>43</v>
      </c>
      <c r="AJ34" s="1">
        <v>21</v>
      </c>
      <c r="AK34" s="1">
        <v>29.061</v>
      </c>
      <c r="AL34" s="1">
        <v>113</v>
      </c>
      <c r="AM34" s="1">
        <v>22</v>
      </c>
      <c r="AN34" s="1">
        <v>27</v>
      </c>
      <c r="AO34" s="1">
        <v>39</v>
      </c>
      <c r="AP34" s="1">
        <v>19</v>
      </c>
      <c r="AQ34" s="1">
        <v>28.535</v>
      </c>
      <c r="AR34" s="1">
        <v>77</v>
      </c>
      <c r="AS34" s="1">
        <v>14</v>
      </c>
      <c r="AT34" s="1">
        <v>18</v>
      </c>
      <c r="AU34" s="1">
        <v>44</v>
      </c>
      <c r="AV34" s="1">
        <v>19</v>
      </c>
      <c r="AW34" s="1">
        <v>27.305</v>
      </c>
      <c r="AX34" s="1">
        <v>108</v>
      </c>
      <c r="AY34" s="1">
        <v>20</v>
      </c>
      <c r="AZ34" s="1">
        <v>21</v>
      </c>
      <c r="BA34" s="1">
        <v>43</v>
      </c>
      <c r="BB34" s="1">
        <v>20</v>
      </c>
      <c r="BC34" s="1">
        <v>27.821000000000002</v>
      </c>
      <c r="BD34" s="1">
        <v>88</v>
      </c>
      <c r="BE34" s="1">
        <v>14</v>
      </c>
      <c r="BF34" s="1">
        <v>21</v>
      </c>
      <c r="BG34" s="1">
        <v>42</v>
      </c>
      <c r="BH34" s="1">
        <v>20</v>
      </c>
      <c r="BI34" s="1">
        <v>24.815000000000001</v>
      </c>
      <c r="BJ34" s="1">
        <v>67</v>
      </c>
      <c r="BK34" s="1">
        <v>22</v>
      </c>
      <c r="BL34" s="1">
        <v>16</v>
      </c>
      <c r="BM34" s="1">
        <v>39</v>
      </c>
      <c r="BN34" s="1">
        <v>20</v>
      </c>
      <c r="BO34" s="1">
        <v>25.561</v>
      </c>
      <c r="BP34" s="1">
        <v>119</v>
      </c>
      <c r="BQ34" s="1">
        <v>16</v>
      </c>
      <c r="BR34" s="1">
        <v>23</v>
      </c>
      <c r="BS34" s="1">
        <v>41</v>
      </c>
      <c r="BT34" s="1">
        <v>20</v>
      </c>
      <c r="BU34" s="1">
        <v>29.251000000000001</v>
      </c>
      <c r="BV34" s="1">
        <v>99</v>
      </c>
      <c r="BW34" s="1">
        <v>24</v>
      </c>
      <c r="BX34" s="1">
        <v>24</v>
      </c>
      <c r="BY34" s="1">
        <v>47</v>
      </c>
      <c r="BZ34" s="1">
        <v>24</v>
      </c>
      <c r="CA34" s="1">
        <v>26.942</v>
      </c>
      <c r="CB34" s="1">
        <v>83</v>
      </c>
      <c r="CC34" s="1">
        <v>21</v>
      </c>
      <c r="CD34" s="1">
        <v>19</v>
      </c>
      <c r="CE34" s="1">
        <v>44</v>
      </c>
      <c r="CF34" s="1">
        <v>21</v>
      </c>
      <c r="CG34" s="1">
        <v>26.582000000000001</v>
      </c>
      <c r="CH34" s="1">
        <v>72</v>
      </c>
      <c r="CI34" s="1">
        <v>22</v>
      </c>
      <c r="CJ34" s="1">
        <v>20</v>
      </c>
      <c r="CK34" s="1">
        <v>40</v>
      </c>
      <c r="CL34" s="1">
        <v>20</v>
      </c>
      <c r="CM34" s="1">
        <v>25.236000000000001</v>
      </c>
      <c r="CN34" s="1">
        <v>114</v>
      </c>
      <c r="CO34" s="1">
        <v>15</v>
      </c>
      <c r="CP34" s="1">
        <v>28</v>
      </c>
      <c r="CQ34" s="1">
        <v>40</v>
      </c>
      <c r="CR34" s="1">
        <v>21</v>
      </c>
      <c r="CS34" s="1">
        <v>29.687000000000001</v>
      </c>
      <c r="CT34" s="1">
        <v>82</v>
      </c>
      <c r="CU34" s="1">
        <v>28</v>
      </c>
      <c r="CV34" s="1">
        <v>19</v>
      </c>
      <c r="CW34" s="1">
        <v>39</v>
      </c>
      <c r="CX34" s="1">
        <v>21</v>
      </c>
      <c r="CY34" s="1">
        <v>26.229000000000003</v>
      </c>
      <c r="CZ34" s="1">
        <v>79</v>
      </c>
      <c r="DA34" s="1">
        <v>18</v>
      </c>
      <c r="DB34" s="1">
        <v>21</v>
      </c>
      <c r="DC34" s="1">
        <v>44</v>
      </c>
      <c r="DD34" s="1">
        <v>20</v>
      </c>
      <c r="DE34" s="1">
        <v>26.181000000000001</v>
      </c>
      <c r="DF34" s="1">
        <v>109</v>
      </c>
      <c r="DG34" s="1">
        <v>13</v>
      </c>
      <c r="DH34" s="1">
        <v>21</v>
      </c>
      <c r="DI34" s="1">
        <v>41</v>
      </c>
      <c r="DJ34" s="1">
        <v>19</v>
      </c>
      <c r="DK34" s="1">
        <v>27.069000000000003</v>
      </c>
      <c r="DL34" s="1">
        <v>102</v>
      </c>
      <c r="DM34" s="1">
        <v>12</v>
      </c>
      <c r="DN34" s="1">
        <v>24</v>
      </c>
      <c r="DO34" s="1">
        <v>42</v>
      </c>
      <c r="DP34" s="1">
        <v>18</v>
      </c>
      <c r="DQ34" s="1">
        <v>29.18</v>
      </c>
      <c r="DR34" s="1">
        <v>86</v>
      </c>
      <c r="DS34" s="1">
        <v>25</v>
      </c>
      <c r="DT34" s="1">
        <v>20</v>
      </c>
      <c r="DU34" s="1">
        <v>42</v>
      </c>
      <c r="DV34" s="1">
        <v>20</v>
      </c>
      <c r="DW34" s="1">
        <v>25.616</v>
      </c>
      <c r="DX34" s="1">
        <v>66</v>
      </c>
      <c r="DY34" s="1">
        <v>18</v>
      </c>
      <c r="DZ34" s="1">
        <v>14</v>
      </c>
      <c r="EA34" s="1">
        <v>43</v>
      </c>
      <c r="EB34" s="1">
        <v>20</v>
      </c>
      <c r="EC34" s="1">
        <v>25.812000000000001</v>
      </c>
      <c r="ED34" s="1">
        <v>76</v>
      </c>
      <c r="EE34" s="1">
        <v>16</v>
      </c>
      <c r="EF34" s="1">
        <v>22</v>
      </c>
      <c r="EG34" s="1">
        <v>44</v>
      </c>
      <c r="EH34" s="1">
        <v>20</v>
      </c>
      <c r="EI34" s="1">
        <v>26.545000000000002</v>
      </c>
      <c r="EJ34" s="1">
        <v>90</v>
      </c>
      <c r="EK34" s="1">
        <v>14</v>
      </c>
      <c r="EL34" s="1">
        <v>20</v>
      </c>
      <c r="EM34" s="1">
        <v>43</v>
      </c>
      <c r="EN34" s="1">
        <v>18</v>
      </c>
      <c r="EO34" s="1">
        <v>27.437000000000001</v>
      </c>
      <c r="EP34" s="1">
        <v>119</v>
      </c>
      <c r="EQ34" s="1">
        <v>29</v>
      </c>
      <c r="ER34" s="1">
        <v>24</v>
      </c>
      <c r="ES34" s="1">
        <v>43</v>
      </c>
      <c r="ET34" s="1">
        <v>22</v>
      </c>
      <c r="EU34" s="1">
        <v>29.514000000000003</v>
      </c>
      <c r="EV34" s="1">
        <v>83</v>
      </c>
      <c r="EW34" s="1">
        <v>14</v>
      </c>
      <c r="EX34" s="1">
        <v>21</v>
      </c>
      <c r="EY34" s="1">
        <v>42</v>
      </c>
      <c r="EZ34" s="1">
        <v>15</v>
      </c>
      <c r="FA34" s="1">
        <v>27.107000000000003</v>
      </c>
      <c r="FB34" s="1">
        <v>80</v>
      </c>
      <c r="FC34" s="1">
        <v>10</v>
      </c>
      <c r="FD34" s="1">
        <v>19</v>
      </c>
      <c r="FE34" s="1">
        <v>44</v>
      </c>
      <c r="FF34" s="1">
        <v>21</v>
      </c>
      <c r="FG34" s="1">
        <v>27.486000000000001</v>
      </c>
      <c r="FH34" s="1">
        <v>80</v>
      </c>
      <c r="FI34" s="1">
        <v>16</v>
      </c>
      <c r="FJ34" s="1">
        <v>19</v>
      </c>
      <c r="FK34" s="1">
        <v>44</v>
      </c>
      <c r="FL34" s="1">
        <v>18</v>
      </c>
      <c r="FM34" s="1">
        <v>26.237000000000002</v>
      </c>
      <c r="FN34" s="1">
        <v>73</v>
      </c>
      <c r="FO34" s="1">
        <v>16</v>
      </c>
      <c r="FP34" s="1">
        <v>20</v>
      </c>
      <c r="FQ34" s="1">
        <v>41</v>
      </c>
      <c r="FR34" s="1">
        <v>20</v>
      </c>
      <c r="FS34" s="1">
        <v>24.950000000000003</v>
      </c>
      <c r="FT34" s="1">
        <v>108</v>
      </c>
      <c r="FU34" s="1">
        <v>14</v>
      </c>
      <c r="FV34" s="1">
        <v>23</v>
      </c>
      <c r="FW34" s="1">
        <v>42</v>
      </c>
      <c r="FX34" s="1">
        <v>17</v>
      </c>
      <c r="FY34" s="1">
        <v>28.513000000000002</v>
      </c>
      <c r="FZ34" s="1">
        <v>126</v>
      </c>
      <c r="GA34" s="1">
        <v>19</v>
      </c>
      <c r="GB34" s="1">
        <v>21</v>
      </c>
      <c r="GC34" s="1">
        <v>44</v>
      </c>
      <c r="GD34" s="1">
        <v>19</v>
      </c>
      <c r="GE34" s="1">
        <v>28.291</v>
      </c>
      <c r="GF34" s="1">
        <v>119</v>
      </c>
      <c r="GG34" s="1">
        <v>12</v>
      </c>
      <c r="GH34" s="1">
        <v>23</v>
      </c>
      <c r="GI34" s="1">
        <v>45</v>
      </c>
      <c r="GJ34" s="1">
        <v>20</v>
      </c>
      <c r="GK34" s="1">
        <v>30.289000000000001</v>
      </c>
      <c r="GL34" s="1">
        <v>114</v>
      </c>
      <c r="GM34" s="1">
        <v>19</v>
      </c>
      <c r="GN34" s="1">
        <v>22</v>
      </c>
      <c r="GO34" s="1">
        <v>42</v>
      </c>
      <c r="GP34" s="1">
        <v>21</v>
      </c>
      <c r="GQ34" s="1">
        <v>28.752000000000002</v>
      </c>
      <c r="GR34" s="1">
        <v>67</v>
      </c>
      <c r="GS34" s="1">
        <v>26</v>
      </c>
      <c r="GT34" s="1">
        <v>16</v>
      </c>
      <c r="GU34" s="1">
        <v>46</v>
      </c>
      <c r="GV34" s="1">
        <v>24</v>
      </c>
      <c r="GW34" s="1">
        <v>27.032</v>
      </c>
      <c r="GX34" s="1">
        <v>118</v>
      </c>
      <c r="GY34" s="1">
        <v>26</v>
      </c>
      <c r="GZ34" s="1">
        <v>24</v>
      </c>
      <c r="HA34" s="1">
        <v>43</v>
      </c>
      <c r="HB34" s="1">
        <v>18</v>
      </c>
      <c r="HC34" s="1">
        <v>25.908000000000001</v>
      </c>
      <c r="HD34" s="1">
        <v>77</v>
      </c>
      <c r="HE34" s="1">
        <v>20</v>
      </c>
      <c r="HF34" s="1">
        <v>19</v>
      </c>
      <c r="HG34" s="1">
        <v>45</v>
      </c>
      <c r="HH34" s="1">
        <v>15</v>
      </c>
      <c r="HI34" s="1">
        <v>26.284000000000002</v>
      </c>
      <c r="HJ34" s="1">
        <v>122</v>
      </c>
      <c r="HK34" s="1">
        <v>19</v>
      </c>
      <c r="HL34" s="1">
        <v>26</v>
      </c>
      <c r="HM34" s="1">
        <v>44</v>
      </c>
      <c r="HN34" s="1">
        <v>20</v>
      </c>
      <c r="HO34" s="1">
        <v>27.734000000000002</v>
      </c>
      <c r="HP34" s="1">
        <v>124</v>
      </c>
      <c r="HQ34" s="1">
        <v>23</v>
      </c>
      <c r="HR34" s="1">
        <v>23</v>
      </c>
      <c r="HS34" s="1">
        <v>44</v>
      </c>
      <c r="HT34" s="1">
        <v>19</v>
      </c>
      <c r="HU34" s="1">
        <v>28.755000000000003</v>
      </c>
      <c r="HV34" s="1">
        <v>122</v>
      </c>
      <c r="HW34" s="1">
        <v>20</v>
      </c>
      <c r="HX34" s="1">
        <v>23</v>
      </c>
      <c r="HY34" s="1">
        <v>45</v>
      </c>
      <c r="HZ34" s="1">
        <v>19</v>
      </c>
      <c r="IA34" s="1">
        <v>27.972000000000001</v>
      </c>
      <c r="IB34" s="1">
        <v>78</v>
      </c>
      <c r="IC34" s="1">
        <v>17</v>
      </c>
      <c r="ID34" s="1">
        <v>19</v>
      </c>
      <c r="IE34" s="1">
        <v>43</v>
      </c>
      <c r="IF34" s="1">
        <v>16</v>
      </c>
      <c r="IG34" s="1">
        <v>24.611000000000001</v>
      </c>
      <c r="IH34" s="1">
        <v>100</v>
      </c>
      <c r="II34" s="1">
        <v>24</v>
      </c>
      <c r="IJ34" s="1">
        <v>22</v>
      </c>
      <c r="IK34" s="1">
        <v>41</v>
      </c>
      <c r="IL34" s="1">
        <v>23</v>
      </c>
      <c r="IM34" s="1">
        <v>26.277000000000001</v>
      </c>
      <c r="IN34" s="1">
        <v>105</v>
      </c>
      <c r="IO34" s="1">
        <v>26</v>
      </c>
      <c r="IP34" s="1">
        <v>23</v>
      </c>
      <c r="IQ34" s="1">
        <v>45</v>
      </c>
      <c r="IR34" s="1">
        <v>23</v>
      </c>
      <c r="IS34" s="1">
        <v>25.815000000000001</v>
      </c>
      <c r="IT34" s="1">
        <v>71</v>
      </c>
      <c r="IU34" s="1">
        <v>25</v>
      </c>
      <c r="IV34" s="1">
        <v>18</v>
      </c>
      <c r="IW34" s="1">
        <v>44</v>
      </c>
      <c r="IX34" s="1">
        <v>20</v>
      </c>
      <c r="IY34" s="1">
        <v>26.380000000000003</v>
      </c>
      <c r="IZ34" s="1">
        <v>69</v>
      </c>
      <c r="JA34" s="1">
        <v>15</v>
      </c>
      <c r="JB34" s="1">
        <v>16</v>
      </c>
      <c r="JC34" s="1">
        <v>44</v>
      </c>
      <c r="JD34" s="1">
        <v>19</v>
      </c>
      <c r="JE34" s="1">
        <v>23.095000000000002</v>
      </c>
      <c r="JF34" s="1">
        <v>111</v>
      </c>
      <c r="JG34" s="1">
        <v>21</v>
      </c>
      <c r="JH34" s="1">
        <v>19</v>
      </c>
      <c r="JI34" s="1">
        <v>46</v>
      </c>
      <c r="JJ34" s="1">
        <v>20</v>
      </c>
      <c r="JK34" s="1">
        <v>29.306000000000001</v>
      </c>
      <c r="JL34" s="1">
        <v>88</v>
      </c>
      <c r="JM34" s="1">
        <v>15</v>
      </c>
      <c r="JN34" s="1">
        <v>15</v>
      </c>
      <c r="JO34" s="1">
        <v>43</v>
      </c>
      <c r="JP34" s="1">
        <v>18</v>
      </c>
      <c r="JQ34" s="1">
        <v>25.825000000000003</v>
      </c>
      <c r="JR34" s="1">
        <v>73</v>
      </c>
      <c r="JS34" s="1">
        <v>17</v>
      </c>
      <c r="JT34" s="1">
        <v>17</v>
      </c>
      <c r="JU34" s="1">
        <v>47</v>
      </c>
      <c r="JV34" s="1">
        <v>20</v>
      </c>
      <c r="JW34" s="1">
        <v>27.722000000000001</v>
      </c>
      <c r="JX34" s="1">
        <v>96</v>
      </c>
      <c r="JY34" s="1">
        <v>19</v>
      </c>
      <c r="JZ34" s="1">
        <v>17</v>
      </c>
      <c r="KA34" s="1">
        <v>41</v>
      </c>
      <c r="KB34" s="1">
        <v>18</v>
      </c>
      <c r="KC34" s="1">
        <v>25.971</v>
      </c>
      <c r="KD34" s="1">
        <v>68</v>
      </c>
      <c r="KE34" s="1">
        <v>18</v>
      </c>
      <c r="KF34" s="1">
        <v>19</v>
      </c>
      <c r="KG34" s="1">
        <v>44</v>
      </c>
      <c r="KH34" s="1">
        <v>20</v>
      </c>
      <c r="KI34" s="1">
        <v>23.145</v>
      </c>
      <c r="KJ34" s="1">
        <v>85</v>
      </c>
      <c r="KK34" s="1">
        <v>15</v>
      </c>
      <c r="KL34" s="1">
        <v>19</v>
      </c>
      <c r="KM34" s="1">
        <v>43</v>
      </c>
      <c r="KN34" s="1">
        <v>24</v>
      </c>
      <c r="KO34" s="1">
        <v>26.463000000000001</v>
      </c>
      <c r="KP34" s="1">
        <v>98</v>
      </c>
      <c r="KQ34" s="1">
        <v>20</v>
      </c>
      <c r="KR34" s="1">
        <v>26</v>
      </c>
      <c r="KS34" s="1">
        <v>44</v>
      </c>
      <c r="KT34" s="1">
        <v>22</v>
      </c>
      <c r="KU34" s="1">
        <v>28.330000000000002</v>
      </c>
      <c r="KV34" s="1">
        <v>107</v>
      </c>
      <c r="KW34" s="1">
        <v>20</v>
      </c>
      <c r="KX34" s="1">
        <v>26</v>
      </c>
      <c r="KY34" s="1">
        <v>41</v>
      </c>
      <c r="KZ34" s="1">
        <v>18</v>
      </c>
      <c r="LA34" s="1">
        <v>27.526</v>
      </c>
      <c r="LB34" s="1">
        <v>71</v>
      </c>
      <c r="LC34" s="1">
        <v>17</v>
      </c>
      <c r="LD34" s="1">
        <v>17</v>
      </c>
      <c r="LE34" s="1">
        <v>41</v>
      </c>
      <c r="LF34" s="1">
        <v>20</v>
      </c>
      <c r="LG34" s="1">
        <v>26.591000000000001</v>
      </c>
      <c r="LH34" s="1">
        <v>124</v>
      </c>
      <c r="LI34" s="1">
        <v>12</v>
      </c>
      <c r="LJ34" s="1">
        <v>22</v>
      </c>
      <c r="LK34" s="1">
        <v>41</v>
      </c>
      <c r="LL34" s="1">
        <v>18</v>
      </c>
      <c r="LM34" s="1">
        <v>30.93</v>
      </c>
      <c r="LN34" s="1">
        <v>86</v>
      </c>
      <c r="LO34" s="1">
        <v>34</v>
      </c>
      <c r="LP34" s="1">
        <v>19</v>
      </c>
      <c r="LQ34" s="1">
        <v>45</v>
      </c>
      <c r="LR34" s="1">
        <v>23</v>
      </c>
      <c r="LS34" s="1">
        <v>28.288</v>
      </c>
      <c r="LT34" s="1">
        <v>90</v>
      </c>
      <c r="LU34" s="1">
        <v>17</v>
      </c>
      <c r="LV34" s="1">
        <v>24</v>
      </c>
      <c r="LW34" s="1">
        <v>42</v>
      </c>
      <c r="LX34" s="1">
        <v>17</v>
      </c>
      <c r="LY34" s="1">
        <v>26.446000000000002</v>
      </c>
      <c r="LZ34" s="1">
        <v>122</v>
      </c>
      <c r="MA34" s="1">
        <v>19</v>
      </c>
      <c r="MB34" s="1">
        <v>22</v>
      </c>
      <c r="MC34" s="1">
        <v>42</v>
      </c>
      <c r="MD34" s="1">
        <v>20</v>
      </c>
      <c r="ME34" s="1">
        <v>29.187000000000001</v>
      </c>
      <c r="MF34" s="1">
        <v>116</v>
      </c>
      <c r="MG34" s="1">
        <v>21</v>
      </c>
      <c r="MH34" s="1">
        <v>22</v>
      </c>
      <c r="MI34" s="1">
        <v>47</v>
      </c>
      <c r="MJ34" s="1">
        <v>24</v>
      </c>
      <c r="MK34" s="1">
        <v>29.306000000000001</v>
      </c>
      <c r="ML34" s="1">
        <v>96</v>
      </c>
      <c r="MM34" s="1">
        <v>19</v>
      </c>
      <c r="MN34" s="1">
        <v>20</v>
      </c>
      <c r="MO34" s="1">
        <v>43</v>
      </c>
      <c r="MP34" s="1">
        <v>20</v>
      </c>
      <c r="MQ34" s="1">
        <v>27.237000000000002</v>
      </c>
      <c r="MR34" s="1">
        <v>121</v>
      </c>
      <c r="MS34" s="1">
        <v>19</v>
      </c>
      <c r="MT34" s="1">
        <v>22</v>
      </c>
      <c r="MU34" s="1">
        <v>43</v>
      </c>
      <c r="MV34" s="1">
        <v>19</v>
      </c>
      <c r="MW34" s="1">
        <v>28.093</v>
      </c>
    </row>
    <row r="35" spans="1:361">
      <c r="A35" s="1">
        <v>32</v>
      </c>
      <c r="B35" s="1">
        <v>116</v>
      </c>
      <c r="C35" s="1">
        <v>20</v>
      </c>
      <c r="D35" s="1">
        <v>21</v>
      </c>
      <c r="E35" s="1">
        <v>41</v>
      </c>
      <c r="F35" s="1">
        <v>19</v>
      </c>
      <c r="G35" s="1">
        <v>27.598000000000003</v>
      </c>
      <c r="H35" s="1">
        <v>105</v>
      </c>
      <c r="I35" s="1">
        <v>19</v>
      </c>
      <c r="J35" s="1">
        <v>20</v>
      </c>
      <c r="K35" s="1">
        <v>42</v>
      </c>
      <c r="L35" s="1">
        <v>18</v>
      </c>
      <c r="M35" s="1">
        <v>28.232000000000003</v>
      </c>
      <c r="N35" s="1">
        <v>117</v>
      </c>
      <c r="O35" s="1">
        <v>13</v>
      </c>
      <c r="P35" s="1">
        <v>26</v>
      </c>
      <c r="Q35" s="1">
        <v>44</v>
      </c>
      <c r="R35" s="1">
        <v>16</v>
      </c>
      <c r="S35" s="1">
        <v>27.514000000000003</v>
      </c>
      <c r="T35" s="1">
        <v>123</v>
      </c>
      <c r="U35" s="1">
        <v>20</v>
      </c>
      <c r="V35" s="1">
        <v>20</v>
      </c>
      <c r="W35" s="1">
        <v>43</v>
      </c>
      <c r="X35" s="1">
        <v>20</v>
      </c>
      <c r="Y35" s="1">
        <v>28.348000000000003</v>
      </c>
      <c r="Z35" s="1">
        <v>67</v>
      </c>
      <c r="AA35" s="1">
        <v>17</v>
      </c>
      <c r="AB35" s="1">
        <v>16</v>
      </c>
      <c r="AC35" s="1">
        <v>43</v>
      </c>
      <c r="AD35" s="1">
        <v>23</v>
      </c>
      <c r="AE35" s="1">
        <v>25.698</v>
      </c>
      <c r="AF35" s="1">
        <v>115</v>
      </c>
      <c r="AG35" s="1">
        <v>27</v>
      </c>
      <c r="AH35" s="1">
        <v>23</v>
      </c>
      <c r="AI35" s="1">
        <v>41</v>
      </c>
      <c r="AJ35" s="1">
        <v>16</v>
      </c>
      <c r="AK35" s="1">
        <v>28.666</v>
      </c>
      <c r="AL35" s="1">
        <v>94</v>
      </c>
      <c r="AM35" s="1">
        <v>14</v>
      </c>
      <c r="AN35" s="1">
        <v>24</v>
      </c>
      <c r="AO35" s="1">
        <v>44</v>
      </c>
      <c r="AP35" s="1">
        <v>22</v>
      </c>
      <c r="AQ35" s="1">
        <v>26.459</v>
      </c>
      <c r="AR35" s="1">
        <v>104</v>
      </c>
      <c r="AS35" s="1">
        <v>19</v>
      </c>
      <c r="AT35" s="1">
        <v>24</v>
      </c>
      <c r="AU35" s="1">
        <v>41</v>
      </c>
      <c r="AV35" s="1">
        <v>22</v>
      </c>
      <c r="AW35" s="1">
        <v>27.060000000000002</v>
      </c>
      <c r="AX35" s="1">
        <v>93</v>
      </c>
      <c r="AY35" s="1">
        <v>22</v>
      </c>
      <c r="AZ35" s="1">
        <v>24</v>
      </c>
      <c r="BA35" s="1">
        <v>41</v>
      </c>
      <c r="BB35" s="1">
        <v>22</v>
      </c>
      <c r="BC35" s="1">
        <v>26.852</v>
      </c>
      <c r="BD35" s="1">
        <v>86</v>
      </c>
      <c r="BE35" s="1">
        <v>12</v>
      </c>
      <c r="BF35" s="1">
        <v>21</v>
      </c>
      <c r="BG35" s="1">
        <v>43</v>
      </c>
      <c r="BH35" s="1">
        <v>21</v>
      </c>
      <c r="BI35" s="1">
        <v>24.813000000000002</v>
      </c>
      <c r="BJ35" s="1">
        <v>101</v>
      </c>
      <c r="BK35" s="1">
        <v>22</v>
      </c>
      <c r="BL35" s="1">
        <v>23</v>
      </c>
      <c r="BM35" s="1">
        <v>40</v>
      </c>
      <c r="BN35" s="1">
        <v>19</v>
      </c>
      <c r="BO35" s="1">
        <v>27.292000000000002</v>
      </c>
      <c r="BP35" s="1">
        <v>124</v>
      </c>
      <c r="BQ35" s="1">
        <v>25</v>
      </c>
      <c r="BR35" s="1">
        <v>20</v>
      </c>
      <c r="BS35" s="1">
        <v>42</v>
      </c>
      <c r="BT35" s="1">
        <v>23</v>
      </c>
      <c r="BU35" s="1">
        <v>27.166</v>
      </c>
      <c r="BV35" s="1">
        <v>104</v>
      </c>
      <c r="BW35" s="1">
        <v>11</v>
      </c>
      <c r="BX35" s="1">
        <v>28</v>
      </c>
      <c r="BY35" s="1">
        <v>44</v>
      </c>
      <c r="BZ35" s="1">
        <v>20</v>
      </c>
      <c r="CA35" s="1">
        <v>27.499000000000002</v>
      </c>
      <c r="CB35" s="1">
        <v>88</v>
      </c>
      <c r="CC35" s="1">
        <v>23</v>
      </c>
      <c r="CD35" s="1">
        <v>18</v>
      </c>
      <c r="CE35" s="1">
        <v>45</v>
      </c>
      <c r="CF35" s="1">
        <v>23</v>
      </c>
      <c r="CG35" s="1">
        <v>26.322000000000003</v>
      </c>
      <c r="CH35" s="1">
        <v>125</v>
      </c>
      <c r="CI35" s="1">
        <v>19</v>
      </c>
      <c r="CJ35" s="1">
        <v>24</v>
      </c>
      <c r="CK35" s="1">
        <v>44</v>
      </c>
      <c r="CL35" s="1">
        <v>22</v>
      </c>
      <c r="CM35" s="1">
        <v>28.275000000000002</v>
      </c>
      <c r="CN35" s="1">
        <v>100</v>
      </c>
      <c r="CO35" s="1">
        <v>14</v>
      </c>
      <c r="CP35" s="1">
        <v>25</v>
      </c>
      <c r="CQ35" s="1">
        <v>44</v>
      </c>
      <c r="CR35" s="1">
        <v>19</v>
      </c>
      <c r="CS35" s="1">
        <v>27.942</v>
      </c>
      <c r="CT35" s="1">
        <v>93</v>
      </c>
      <c r="CU35" s="1">
        <v>20</v>
      </c>
      <c r="CV35" s="1">
        <v>20</v>
      </c>
      <c r="CW35" s="1">
        <v>41</v>
      </c>
      <c r="CX35" s="1">
        <v>16</v>
      </c>
      <c r="CY35" s="1">
        <v>25.28</v>
      </c>
      <c r="CZ35" s="1">
        <v>71</v>
      </c>
      <c r="DA35" s="1">
        <v>17</v>
      </c>
      <c r="DB35" s="1">
        <v>20</v>
      </c>
      <c r="DC35" s="1">
        <v>42</v>
      </c>
      <c r="DD35" s="1">
        <v>17</v>
      </c>
      <c r="DE35" s="1">
        <v>25.139000000000003</v>
      </c>
      <c r="DF35" s="1">
        <v>71</v>
      </c>
      <c r="DG35" s="1">
        <v>15</v>
      </c>
      <c r="DH35" s="1">
        <v>19</v>
      </c>
      <c r="DI35" s="1">
        <v>44</v>
      </c>
      <c r="DJ35" s="1">
        <v>19</v>
      </c>
      <c r="DK35" s="1">
        <v>26.532</v>
      </c>
      <c r="DL35" s="1">
        <v>66</v>
      </c>
      <c r="DM35" s="1">
        <v>9</v>
      </c>
      <c r="DN35" s="1">
        <v>22</v>
      </c>
      <c r="DO35" s="1">
        <v>43</v>
      </c>
      <c r="DP35" s="1">
        <v>21</v>
      </c>
      <c r="DQ35" s="1">
        <v>24.129000000000001</v>
      </c>
      <c r="DR35" s="1">
        <v>96</v>
      </c>
      <c r="DS35" s="1">
        <v>12</v>
      </c>
      <c r="DT35" s="1">
        <v>23</v>
      </c>
      <c r="DU35" s="1">
        <v>45</v>
      </c>
      <c r="DV35" s="1">
        <v>21</v>
      </c>
      <c r="DW35" s="1">
        <v>28.111000000000001</v>
      </c>
      <c r="DX35" s="1">
        <v>91</v>
      </c>
      <c r="DY35" s="1">
        <v>20</v>
      </c>
      <c r="DZ35" s="1">
        <v>22</v>
      </c>
      <c r="EA35" s="1">
        <v>41</v>
      </c>
      <c r="EB35" s="1">
        <v>21</v>
      </c>
      <c r="EC35" s="1">
        <v>26.32</v>
      </c>
      <c r="ED35" s="1">
        <v>78</v>
      </c>
      <c r="EE35" s="1">
        <v>21</v>
      </c>
      <c r="EF35" s="1">
        <v>18</v>
      </c>
      <c r="EG35" s="1">
        <v>42</v>
      </c>
      <c r="EH35" s="1">
        <v>19</v>
      </c>
      <c r="EI35" s="1">
        <v>26.455000000000002</v>
      </c>
      <c r="EJ35" s="1">
        <v>80</v>
      </c>
      <c r="EK35" s="1">
        <v>18</v>
      </c>
      <c r="EL35" s="1">
        <v>19</v>
      </c>
      <c r="EM35" s="1">
        <v>46</v>
      </c>
      <c r="EN35" s="1">
        <v>19</v>
      </c>
      <c r="EO35" s="1">
        <v>24.519000000000002</v>
      </c>
      <c r="EP35" s="1">
        <v>128</v>
      </c>
      <c r="EQ35" s="1">
        <v>18</v>
      </c>
      <c r="ER35" s="1">
        <v>26</v>
      </c>
      <c r="ES35" s="1">
        <v>43</v>
      </c>
      <c r="ET35" s="1">
        <v>18</v>
      </c>
      <c r="EU35" s="1">
        <v>28.708000000000002</v>
      </c>
      <c r="EV35" s="1">
        <v>77</v>
      </c>
      <c r="EW35" s="1">
        <v>24</v>
      </c>
      <c r="EX35" s="1">
        <v>19</v>
      </c>
      <c r="EY35" s="1">
        <v>44</v>
      </c>
      <c r="EZ35" s="1">
        <v>21</v>
      </c>
      <c r="FA35" s="1">
        <v>25.216000000000001</v>
      </c>
      <c r="FB35" s="1">
        <v>102</v>
      </c>
      <c r="FC35" s="1">
        <v>16</v>
      </c>
      <c r="FD35" s="1">
        <v>22</v>
      </c>
      <c r="FE35" s="1">
        <v>49</v>
      </c>
      <c r="FF35" s="1">
        <v>22</v>
      </c>
      <c r="FG35" s="1">
        <v>28.493000000000002</v>
      </c>
      <c r="FH35" s="1">
        <v>110</v>
      </c>
      <c r="FI35" s="1">
        <v>23</v>
      </c>
      <c r="FJ35" s="1">
        <v>22</v>
      </c>
      <c r="FK35" s="1">
        <v>45</v>
      </c>
      <c r="FL35" s="1">
        <v>17</v>
      </c>
      <c r="FM35" s="1">
        <v>27.877000000000002</v>
      </c>
      <c r="FN35" s="1">
        <v>66</v>
      </c>
      <c r="FO35" s="1">
        <v>19</v>
      </c>
      <c r="FP35" s="1">
        <v>12</v>
      </c>
      <c r="FQ35" s="1">
        <v>43</v>
      </c>
      <c r="FR35" s="1">
        <v>22</v>
      </c>
      <c r="FS35" s="1">
        <v>25.845000000000002</v>
      </c>
      <c r="FT35" s="1">
        <v>123</v>
      </c>
      <c r="FU35" s="1">
        <v>14</v>
      </c>
      <c r="FV35" s="1">
        <v>24</v>
      </c>
      <c r="FW35" s="1">
        <v>41</v>
      </c>
      <c r="FX35" s="1">
        <v>22</v>
      </c>
      <c r="FY35" s="1">
        <v>30.168000000000003</v>
      </c>
      <c r="FZ35" s="1">
        <v>125</v>
      </c>
      <c r="GA35" s="1">
        <v>21</v>
      </c>
      <c r="GB35" s="1">
        <v>25</v>
      </c>
      <c r="GC35" s="1">
        <v>41</v>
      </c>
      <c r="GD35" s="1">
        <v>20</v>
      </c>
      <c r="GE35" s="1">
        <v>27.1</v>
      </c>
      <c r="GF35" s="1">
        <v>80</v>
      </c>
      <c r="GG35" s="1">
        <v>15</v>
      </c>
      <c r="GH35" s="1">
        <v>19</v>
      </c>
      <c r="GI35" s="1">
        <v>44</v>
      </c>
      <c r="GJ35" s="1">
        <v>18</v>
      </c>
      <c r="GK35" s="1">
        <v>26.994</v>
      </c>
      <c r="GL35" s="1">
        <v>114</v>
      </c>
      <c r="GM35" s="1">
        <v>21</v>
      </c>
      <c r="GN35" s="1">
        <v>21</v>
      </c>
      <c r="GO35" s="1">
        <v>45</v>
      </c>
      <c r="GP35" s="1">
        <v>19</v>
      </c>
      <c r="GQ35" s="1">
        <v>28.418000000000003</v>
      </c>
      <c r="GR35" s="1">
        <v>100</v>
      </c>
      <c r="GS35" s="1">
        <v>16</v>
      </c>
      <c r="GT35" s="1">
        <v>22</v>
      </c>
      <c r="GU35" s="1">
        <v>42</v>
      </c>
      <c r="GV35" s="1">
        <v>23</v>
      </c>
      <c r="GW35" s="1">
        <v>27.737000000000002</v>
      </c>
      <c r="GX35" s="1">
        <v>70</v>
      </c>
      <c r="GY35" s="1">
        <v>21</v>
      </c>
      <c r="GZ35" s="1">
        <v>19</v>
      </c>
      <c r="HA35" s="1">
        <v>43</v>
      </c>
      <c r="HB35" s="1">
        <v>17</v>
      </c>
      <c r="HC35" s="1">
        <v>24.874000000000002</v>
      </c>
      <c r="HD35" s="1">
        <v>90</v>
      </c>
      <c r="HE35" s="1">
        <v>18</v>
      </c>
      <c r="HF35" s="1">
        <v>21</v>
      </c>
      <c r="HG35" s="1">
        <v>46</v>
      </c>
      <c r="HH35" s="1">
        <v>21</v>
      </c>
      <c r="HI35" s="1">
        <v>26.294</v>
      </c>
      <c r="HJ35" s="1">
        <v>102</v>
      </c>
      <c r="HK35" s="1">
        <v>19</v>
      </c>
      <c r="HL35" s="1">
        <v>20</v>
      </c>
      <c r="HM35" s="1">
        <v>46</v>
      </c>
      <c r="HN35" s="1">
        <v>21</v>
      </c>
      <c r="HO35" s="1">
        <v>27.906000000000002</v>
      </c>
      <c r="HP35" s="1">
        <v>81</v>
      </c>
      <c r="HQ35" s="1">
        <v>31</v>
      </c>
      <c r="HR35" s="1">
        <v>23</v>
      </c>
      <c r="HS35" s="1">
        <v>39</v>
      </c>
      <c r="HT35" s="1">
        <v>16</v>
      </c>
      <c r="HU35" s="1">
        <v>25.684000000000001</v>
      </c>
      <c r="HV35" s="1">
        <v>97</v>
      </c>
      <c r="HW35" s="1">
        <v>21</v>
      </c>
      <c r="HX35" s="1">
        <v>23</v>
      </c>
      <c r="HY35" s="1">
        <v>46</v>
      </c>
      <c r="HZ35" s="1">
        <v>19</v>
      </c>
      <c r="IA35" s="1">
        <v>26.239000000000001</v>
      </c>
      <c r="IB35" s="1">
        <v>125</v>
      </c>
      <c r="IC35" s="1">
        <v>23</v>
      </c>
      <c r="ID35" s="1">
        <v>23</v>
      </c>
      <c r="IE35" s="1">
        <v>45</v>
      </c>
      <c r="IF35" s="1">
        <v>20</v>
      </c>
      <c r="IG35" s="1">
        <v>29.677</v>
      </c>
      <c r="IH35" s="1">
        <v>86</v>
      </c>
      <c r="II35" s="1">
        <v>24</v>
      </c>
      <c r="IJ35" s="1">
        <v>20</v>
      </c>
      <c r="IK35" s="1">
        <v>45</v>
      </c>
      <c r="IL35" s="1">
        <v>21</v>
      </c>
      <c r="IM35" s="1">
        <v>25.766000000000002</v>
      </c>
      <c r="IN35" s="1">
        <v>112</v>
      </c>
      <c r="IO35" s="1">
        <v>17</v>
      </c>
      <c r="IP35" s="1">
        <v>26</v>
      </c>
      <c r="IQ35" s="1">
        <v>42</v>
      </c>
      <c r="IR35" s="1">
        <v>21</v>
      </c>
      <c r="IS35" s="1">
        <v>29.361000000000001</v>
      </c>
      <c r="IT35" s="1">
        <v>87</v>
      </c>
      <c r="IU35" s="1">
        <v>26</v>
      </c>
      <c r="IV35" s="1">
        <v>21</v>
      </c>
      <c r="IW35" s="1">
        <v>47</v>
      </c>
      <c r="IX35" s="1">
        <v>22</v>
      </c>
      <c r="IY35" s="1">
        <v>26.291</v>
      </c>
      <c r="IZ35" s="1">
        <v>90</v>
      </c>
      <c r="JA35" s="1">
        <v>20</v>
      </c>
      <c r="JB35" s="1">
        <v>23</v>
      </c>
      <c r="JC35" s="1">
        <v>43</v>
      </c>
      <c r="JD35" s="1">
        <v>22</v>
      </c>
      <c r="JE35" s="1">
        <v>27.388000000000002</v>
      </c>
      <c r="JF35" s="1">
        <v>68</v>
      </c>
      <c r="JG35" s="1">
        <v>17</v>
      </c>
      <c r="JH35" s="1">
        <v>18</v>
      </c>
      <c r="JI35" s="1">
        <v>39</v>
      </c>
      <c r="JJ35" s="1">
        <v>21</v>
      </c>
      <c r="JK35" s="1">
        <v>23.34</v>
      </c>
      <c r="JL35" s="1">
        <v>88</v>
      </c>
      <c r="JM35" s="1">
        <v>22</v>
      </c>
      <c r="JN35" s="1">
        <v>22</v>
      </c>
      <c r="JO35" s="1">
        <v>47</v>
      </c>
      <c r="JP35" s="1">
        <v>17</v>
      </c>
      <c r="JQ35" s="1">
        <v>27.932000000000002</v>
      </c>
      <c r="JR35" s="1">
        <v>89</v>
      </c>
      <c r="JS35" s="1">
        <v>16</v>
      </c>
      <c r="JT35" s="1">
        <v>21</v>
      </c>
      <c r="JU35" s="1">
        <v>42</v>
      </c>
      <c r="JV35" s="1">
        <v>19</v>
      </c>
      <c r="JW35" s="1">
        <v>26.425000000000001</v>
      </c>
      <c r="JX35" s="1">
        <v>79</v>
      </c>
      <c r="JY35" s="1">
        <v>22</v>
      </c>
      <c r="JZ35" s="1">
        <v>22</v>
      </c>
      <c r="KA35" s="1">
        <v>45</v>
      </c>
      <c r="KB35" s="1">
        <v>15</v>
      </c>
      <c r="KC35" s="1">
        <v>25.003</v>
      </c>
      <c r="KD35" s="1">
        <v>88</v>
      </c>
      <c r="KE35" s="1">
        <v>26</v>
      </c>
      <c r="KF35" s="1">
        <v>20</v>
      </c>
      <c r="KG35" s="1">
        <v>41</v>
      </c>
      <c r="KH35" s="1">
        <v>17</v>
      </c>
      <c r="KI35" s="1">
        <v>24.382000000000001</v>
      </c>
      <c r="KJ35" s="1">
        <v>87</v>
      </c>
      <c r="KK35" s="1">
        <v>17</v>
      </c>
      <c r="KL35" s="1">
        <v>21</v>
      </c>
      <c r="KM35" s="1">
        <v>39</v>
      </c>
      <c r="KN35" s="1">
        <v>19</v>
      </c>
      <c r="KO35" s="1">
        <v>26.165000000000003</v>
      </c>
      <c r="KP35" s="1">
        <v>75</v>
      </c>
      <c r="KQ35" s="1">
        <v>8</v>
      </c>
      <c r="KR35" s="1">
        <v>19</v>
      </c>
      <c r="KS35" s="1">
        <v>40</v>
      </c>
      <c r="KT35" s="1">
        <v>18</v>
      </c>
      <c r="KU35" s="1">
        <v>26.94</v>
      </c>
      <c r="KV35" s="1">
        <v>92</v>
      </c>
      <c r="KW35" s="1">
        <v>20</v>
      </c>
      <c r="KX35" s="1">
        <v>21</v>
      </c>
      <c r="KY35" s="1">
        <v>40</v>
      </c>
      <c r="KZ35" s="1">
        <v>20</v>
      </c>
      <c r="LA35" s="1">
        <v>27.139000000000003</v>
      </c>
      <c r="LB35" s="1">
        <v>115</v>
      </c>
      <c r="LC35" s="1">
        <v>28</v>
      </c>
      <c r="LD35" s="1">
        <v>21</v>
      </c>
      <c r="LE35" s="1">
        <v>44</v>
      </c>
      <c r="LF35" s="1">
        <v>24</v>
      </c>
      <c r="LG35" s="1">
        <v>30.808</v>
      </c>
      <c r="LH35" s="1">
        <v>89</v>
      </c>
      <c r="LI35" s="1">
        <v>15</v>
      </c>
      <c r="LJ35" s="1">
        <v>21</v>
      </c>
      <c r="LK35" s="1">
        <v>45</v>
      </c>
      <c r="LL35" s="1">
        <v>21</v>
      </c>
      <c r="LM35" s="1">
        <v>27.485000000000003</v>
      </c>
      <c r="LN35" s="1">
        <v>106</v>
      </c>
      <c r="LO35" s="1">
        <v>19</v>
      </c>
      <c r="LP35" s="1">
        <v>28</v>
      </c>
      <c r="LQ35" s="1">
        <v>40</v>
      </c>
      <c r="LR35" s="1">
        <v>22</v>
      </c>
      <c r="LS35" s="1">
        <v>28.274000000000001</v>
      </c>
      <c r="LT35" s="1">
        <v>119</v>
      </c>
      <c r="LU35" s="1">
        <v>17</v>
      </c>
      <c r="LV35" s="1">
        <v>25</v>
      </c>
      <c r="LW35" s="1">
        <v>39</v>
      </c>
      <c r="LX35" s="1">
        <v>19</v>
      </c>
      <c r="LY35" s="1">
        <v>28.435000000000002</v>
      </c>
      <c r="LZ35" s="1">
        <v>99</v>
      </c>
      <c r="MA35" s="1">
        <v>20</v>
      </c>
      <c r="MB35" s="1">
        <v>23</v>
      </c>
      <c r="MC35" s="1">
        <v>44</v>
      </c>
      <c r="MD35" s="1">
        <v>18</v>
      </c>
      <c r="ME35" s="1">
        <v>27.068000000000001</v>
      </c>
      <c r="MF35" s="1">
        <v>115</v>
      </c>
      <c r="MG35" s="1">
        <v>25</v>
      </c>
      <c r="MH35" s="1">
        <v>23</v>
      </c>
      <c r="MI35" s="1">
        <v>43</v>
      </c>
      <c r="MJ35" s="1">
        <v>19</v>
      </c>
      <c r="MK35" s="1">
        <v>28.830000000000002</v>
      </c>
      <c r="ML35" s="1">
        <v>95</v>
      </c>
      <c r="MM35" s="1">
        <v>21</v>
      </c>
      <c r="MN35" s="1">
        <v>16</v>
      </c>
      <c r="MO35" s="1">
        <v>44</v>
      </c>
      <c r="MP35" s="1">
        <v>22</v>
      </c>
      <c r="MQ35" s="1">
        <v>28.477</v>
      </c>
      <c r="MR35" s="1">
        <v>70</v>
      </c>
      <c r="MS35" s="1">
        <v>23</v>
      </c>
      <c r="MT35" s="1">
        <v>18</v>
      </c>
      <c r="MU35" s="1">
        <v>43</v>
      </c>
      <c r="MV35" s="1">
        <v>21</v>
      </c>
      <c r="MW35" s="1">
        <v>25.087</v>
      </c>
    </row>
    <row r="36" spans="1:361">
      <c r="A36" s="1">
        <v>33</v>
      </c>
      <c r="B36" s="1">
        <v>67</v>
      </c>
      <c r="C36" s="1">
        <v>17</v>
      </c>
      <c r="D36" s="1">
        <v>21</v>
      </c>
      <c r="E36" s="1">
        <v>40</v>
      </c>
      <c r="F36" s="1">
        <v>18</v>
      </c>
      <c r="G36" s="1">
        <v>25.205000000000002</v>
      </c>
      <c r="H36" s="1">
        <v>102</v>
      </c>
      <c r="I36" s="1">
        <v>18</v>
      </c>
      <c r="J36" s="1">
        <v>19</v>
      </c>
      <c r="K36" s="1">
        <v>43</v>
      </c>
      <c r="L36" s="1">
        <v>19</v>
      </c>
      <c r="M36" s="1">
        <v>26.37</v>
      </c>
      <c r="N36" s="1">
        <v>93</v>
      </c>
      <c r="O36" s="1">
        <v>20</v>
      </c>
      <c r="P36" s="1">
        <v>25</v>
      </c>
      <c r="Q36" s="1">
        <v>40</v>
      </c>
      <c r="R36" s="1">
        <v>19</v>
      </c>
      <c r="S36" s="1">
        <v>26.788</v>
      </c>
      <c r="T36" s="1">
        <v>129</v>
      </c>
      <c r="U36" s="1">
        <v>12</v>
      </c>
      <c r="V36" s="1">
        <v>25</v>
      </c>
      <c r="W36" s="1">
        <v>44</v>
      </c>
      <c r="X36" s="1">
        <v>21</v>
      </c>
      <c r="Y36" s="1">
        <v>30.933</v>
      </c>
      <c r="Z36" s="1">
        <v>70</v>
      </c>
      <c r="AA36" s="1">
        <v>23</v>
      </c>
      <c r="AB36" s="1">
        <v>26</v>
      </c>
      <c r="AC36" s="1">
        <v>44</v>
      </c>
      <c r="AD36" s="1">
        <v>22</v>
      </c>
      <c r="AE36" s="1">
        <v>25.965</v>
      </c>
      <c r="AF36" s="1">
        <v>81</v>
      </c>
      <c r="AG36" s="1">
        <v>19</v>
      </c>
      <c r="AH36" s="1">
        <v>19</v>
      </c>
      <c r="AI36" s="1">
        <v>42</v>
      </c>
      <c r="AJ36" s="1">
        <v>19</v>
      </c>
      <c r="AK36" s="1">
        <v>25.295000000000002</v>
      </c>
      <c r="AL36" s="1">
        <v>108</v>
      </c>
      <c r="AM36" s="1">
        <v>10</v>
      </c>
      <c r="AN36" s="1">
        <v>22</v>
      </c>
      <c r="AO36" s="1">
        <v>44</v>
      </c>
      <c r="AP36" s="1">
        <v>21</v>
      </c>
      <c r="AQ36" s="1">
        <v>27.917000000000002</v>
      </c>
      <c r="AR36" s="1">
        <v>88</v>
      </c>
      <c r="AS36" s="1">
        <v>15</v>
      </c>
      <c r="AT36" s="1">
        <v>15</v>
      </c>
      <c r="AU36" s="1">
        <v>45</v>
      </c>
      <c r="AV36" s="1">
        <v>21</v>
      </c>
      <c r="AW36" s="1">
        <v>28.008000000000003</v>
      </c>
      <c r="AX36" s="1">
        <v>92</v>
      </c>
      <c r="AY36" s="1">
        <v>17</v>
      </c>
      <c r="AZ36" s="1">
        <v>13</v>
      </c>
      <c r="BA36" s="1">
        <v>41</v>
      </c>
      <c r="BB36" s="1">
        <v>24</v>
      </c>
      <c r="BC36" s="1">
        <v>29.212</v>
      </c>
      <c r="BD36" s="1">
        <v>76</v>
      </c>
      <c r="BE36" s="1">
        <v>22</v>
      </c>
      <c r="BF36" s="1">
        <v>20</v>
      </c>
      <c r="BG36" s="1">
        <v>42</v>
      </c>
      <c r="BH36" s="1">
        <v>21</v>
      </c>
      <c r="BI36" s="1">
        <v>25.611000000000001</v>
      </c>
      <c r="BJ36" s="1">
        <v>113</v>
      </c>
      <c r="BK36" s="1">
        <v>9</v>
      </c>
      <c r="BL36" s="1">
        <v>28</v>
      </c>
      <c r="BM36" s="1">
        <v>43</v>
      </c>
      <c r="BN36" s="1">
        <v>21</v>
      </c>
      <c r="BO36" s="1">
        <v>27.615000000000002</v>
      </c>
      <c r="BP36" s="1">
        <v>95</v>
      </c>
      <c r="BQ36" s="1">
        <v>23</v>
      </c>
      <c r="BR36" s="1">
        <v>21</v>
      </c>
      <c r="BS36" s="1">
        <v>46</v>
      </c>
      <c r="BT36" s="1">
        <v>24</v>
      </c>
      <c r="BU36" s="1">
        <v>28.293000000000003</v>
      </c>
      <c r="BV36" s="1">
        <v>91</v>
      </c>
      <c r="BW36" s="1">
        <v>19</v>
      </c>
      <c r="BX36" s="1">
        <v>19</v>
      </c>
      <c r="BY36" s="1">
        <v>43</v>
      </c>
      <c r="BZ36" s="1">
        <v>19</v>
      </c>
      <c r="CA36" s="1">
        <v>27.068000000000001</v>
      </c>
      <c r="CB36" s="1">
        <v>104</v>
      </c>
      <c r="CC36" s="1">
        <v>16</v>
      </c>
      <c r="CD36" s="1">
        <v>20</v>
      </c>
      <c r="CE36" s="1">
        <v>47</v>
      </c>
      <c r="CF36" s="1">
        <v>21</v>
      </c>
      <c r="CG36" s="1">
        <v>28.663</v>
      </c>
      <c r="CH36" s="1">
        <v>82</v>
      </c>
      <c r="CI36" s="1">
        <v>16</v>
      </c>
      <c r="CJ36" s="1">
        <v>21</v>
      </c>
      <c r="CK36" s="1">
        <v>41</v>
      </c>
      <c r="CL36" s="1">
        <v>18</v>
      </c>
      <c r="CM36" s="1">
        <v>24.431000000000001</v>
      </c>
      <c r="CN36" s="1">
        <v>80</v>
      </c>
      <c r="CO36" s="1">
        <v>14</v>
      </c>
      <c r="CP36" s="1">
        <v>19</v>
      </c>
      <c r="CQ36" s="1">
        <v>41</v>
      </c>
      <c r="CR36" s="1">
        <v>21</v>
      </c>
      <c r="CS36" s="1">
        <v>26.293000000000003</v>
      </c>
      <c r="CT36" s="1">
        <v>107</v>
      </c>
      <c r="CU36" s="1">
        <v>26</v>
      </c>
      <c r="CV36" s="1">
        <v>22</v>
      </c>
      <c r="CW36" s="1">
        <v>46</v>
      </c>
      <c r="CX36" s="1">
        <v>22</v>
      </c>
      <c r="CY36" s="1">
        <v>28.932000000000002</v>
      </c>
      <c r="CZ36" s="1">
        <v>89</v>
      </c>
      <c r="DA36" s="1">
        <v>23</v>
      </c>
      <c r="DB36" s="1">
        <v>19</v>
      </c>
      <c r="DC36" s="1">
        <v>46</v>
      </c>
      <c r="DD36" s="1">
        <v>19</v>
      </c>
      <c r="DE36" s="1">
        <v>26.949000000000002</v>
      </c>
      <c r="DF36" s="1">
        <v>67</v>
      </c>
      <c r="DG36" s="1">
        <v>15</v>
      </c>
      <c r="DH36" s="1">
        <v>13</v>
      </c>
      <c r="DI36" s="1">
        <v>42</v>
      </c>
      <c r="DJ36" s="1">
        <v>22</v>
      </c>
      <c r="DK36" s="1">
        <v>22.151</v>
      </c>
      <c r="DL36" s="1">
        <v>74</v>
      </c>
      <c r="DM36" s="1">
        <v>18</v>
      </c>
      <c r="DN36" s="1">
        <v>16</v>
      </c>
      <c r="DO36" s="1">
        <v>42</v>
      </c>
      <c r="DP36" s="1">
        <v>21</v>
      </c>
      <c r="DQ36" s="1">
        <v>24.671000000000003</v>
      </c>
      <c r="DR36" s="1">
        <v>81</v>
      </c>
      <c r="DS36" s="1">
        <v>22</v>
      </c>
      <c r="DT36" s="1">
        <v>18</v>
      </c>
      <c r="DU36" s="1">
        <v>44</v>
      </c>
      <c r="DV36" s="1">
        <v>22</v>
      </c>
      <c r="DW36" s="1">
        <v>24.149000000000001</v>
      </c>
      <c r="DX36" s="1">
        <v>81</v>
      </c>
      <c r="DY36" s="1">
        <v>10</v>
      </c>
      <c r="DZ36" s="1">
        <v>21</v>
      </c>
      <c r="EA36" s="1">
        <v>41</v>
      </c>
      <c r="EB36" s="1">
        <v>17</v>
      </c>
      <c r="EC36" s="1">
        <v>25.786000000000001</v>
      </c>
      <c r="ED36" s="1">
        <v>88</v>
      </c>
      <c r="EE36" s="1">
        <v>19</v>
      </c>
      <c r="EF36" s="1">
        <v>22</v>
      </c>
      <c r="EG36" s="1">
        <v>43</v>
      </c>
      <c r="EH36" s="1">
        <v>17</v>
      </c>
      <c r="EI36" s="1">
        <v>24.591000000000001</v>
      </c>
      <c r="EJ36" s="1">
        <v>71</v>
      </c>
      <c r="EK36" s="1">
        <v>16</v>
      </c>
      <c r="EL36" s="1">
        <v>21</v>
      </c>
      <c r="EM36" s="1">
        <v>41</v>
      </c>
      <c r="EN36" s="1">
        <v>20</v>
      </c>
      <c r="EO36" s="1">
        <v>23.286000000000001</v>
      </c>
      <c r="EP36" s="1">
        <v>94</v>
      </c>
      <c r="EQ36" s="1">
        <v>22</v>
      </c>
      <c r="ER36" s="1">
        <v>25</v>
      </c>
      <c r="ES36" s="1">
        <v>43</v>
      </c>
      <c r="ET36" s="1">
        <v>25</v>
      </c>
      <c r="EU36" s="1">
        <v>27.311</v>
      </c>
      <c r="EV36" s="1">
        <v>100</v>
      </c>
      <c r="EW36" s="1">
        <v>16</v>
      </c>
      <c r="EX36" s="1">
        <v>20</v>
      </c>
      <c r="EY36" s="1">
        <v>45</v>
      </c>
      <c r="EZ36" s="1">
        <v>19</v>
      </c>
      <c r="FA36" s="1">
        <v>26.533000000000001</v>
      </c>
      <c r="FB36" s="1">
        <v>113</v>
      </c>
      <c r="FC36" s="1">
        <v>12</v>
      </c>
      <c r="FD36" s="1">
        <v>21</v>
      </c>
      <c r="FE36" s="1">
        <v>43</v>
      </c>
      <c r="FF36" s="1">
        <v>20</v>
      </c>
      <c r="FG36" s="1">
        <v>28.132000000000001</v>
      </c>
      <c r="FH36" s="1">
        <v>123</v>
      </c>
      <c r="FI36" s="1">
        <v>21</v>
      </c>
      <c r="FJ36" s="1">
        <v>27</v>
      </c>
      <c r="FK36" s="1">
        <v>40</v>
      </c>
      <c r="FL36" s="1">
        <v>23</v>
      </c>
      <c r="FM36" s="1">
        <v>29.220000000000002</v>
      </c>
      <c r="FN36" s="1">
        <v>82</v>
      </c>
      <c r="FO36" s="1">
        <v>22</v>
      </c>
      <c r="FP36" s="1">
        <v>26</v>
      </c>
      <c r="FQ36" s="1">
        <v>46</v>
      </c>
      <c r="FR36" s="1">
        <v>22</v>
      </c>
      <c r="FS36" s="1">
        <v>25.561</v>
      </c>
      <c r="FT36" s="1">
        <v>99</v>
      </c>
      <c r="FU36" s="1">
        <v>20</v>
      </c>
      <c r="FV36" s="1">
        <v>24</v>
      </c>
      <c r="FW36" s="1">
        <v>44</v>
      </c>
      <c r="FX36" s="1">
        <v>19</v>
      </c>
      <c r="FY36" s="1">
        <v>26.206</v>
      </c>
      <c r="FZ36" s="1">
        <v>85</v>
      </c>
      <c r="GA36" s="1">
        <v>14</v>
      </c>
      <c r="GB36" s="1">
        <v>24</v>
      </c>
      <c r="GC36" s="1">
        <v>46</v>
      </c>
      <c r="GD36" s="1">
        <v>19</v>
      </c>
      <c r="GE36" s="1">
        <v>25.671000000000003</v>
      </c>
      <c r="GF36" s="1">
        <v>115</v>
      </c>
      <c r="GG36" s="1">
        <v>25</v>
      </c>
      <c r="GH36" s="1">
        <v>25</v>
      </c>
      <c r="GI36" s="1">
        <v>42</v>
      </c>
      <c r="GJ36" s="1">
        <v>17</v>
      </c>
      <c r="GK36" s="1">
        <v>28.087</v>
      </c>
      <c r="GL36" s="1">
        <v>83</v>
      </c>
      <c r="GM36" s="1">
        <v>20</v>
      </c>
      <c r="GN36" s="1">
        <v>14</v>
      </c>
      <c r="GO36" s="1">
        <v>40</v>
      </c>
      <c r="GP36" s="1">
        <v>18</v>
      </c>
      <c r="GQ36" s="1">
        <v>25.71</v>
      </c>
      <c r="GR36" s="1">
        <v>106</v>
      </c>
      <c r="GS36" s="1">
        <v>17</v>
      </c>
      <c r="GT36" s="1">
        <v>22</v>
      </c>
      <c r="GU36" s="1">
        <v>45</v>
      </c>
      <c r="GV36" s="1">
        <v>22</v>
      </c>
      <c r="GW36" s="1">
        <v>29.633000000000003</v>
      </c>
      <c r="GX36" s="1">
        <v>104</v>
      </c>
      <c r="GY36" s="1">
        <v>19</v>
      </c>
      <c r="GZ36" s="1">
        <v>22</v>
      </c>
      <c r="HA36" s="1">
        <v>41</v>
      </c>
      <c r="HB36" s="1">
        <v>20</v>
      </c>
      <c r="HC36" s="1">
        <v>27.891999999999999</v>
      </c>
      <c r="HD36" s="1">
        <v>104</v>
      </c>
      <c r="HE36" s="1">
        <v>22</v>
      </c>
      <c r="HF36" s="1">
        <v>20</v>
      </c>
      <c r="HG36" s="1">
        <v>42</v>
      </c>
      <c r="HH36" s="1">
        <v>20</v>
      </c>
      <c r="HI36" s="1">
        <v>25.159000000000002</v>
      </c>
      <c r="HJ36" s="1">
        <v>86</v>
      </c>
      <c r="HK36" s="1">
        <v>14</v>
      </c>
      <c r="HL36" s="1">
        <v>20</v>
      </c>
      <c r="HM36" s="1">
        <v>45</v>
      </c>
      <c r="HN36" s="1">
        <v>17</v>
      </c>
      <c r="HO36" s="1">
        <v>26.866</v>
      </c>
      <c r="HP36" s="1">
        <v>123</v>
      </c>
      <c r="HQ36" s="1">
        <v>26</v>
      </c>
      <c r="HR36" s="1">
        <v>25</v>
      </c>
      <c r="HS36" s="1">
        <v>42</v>
      </c>
      <c r="HT36" s="1">
        <v>19</v>
      </c>
      <c r="HU36" s="1">
        <v>27.415000000000003</v>
      </c>
      <c r="HV36" s="1">
        <v>111</v>
      </c>
      <c r="HW36" s="1">
        <v>16</v>
      </c>
      <c r="HX36" s="1">
        <v>21</v>
      </c>
      <c r="HY36" s="1">
        <v>44</v>
      </c>
      <c r="HZ36" s="1">
        <v>17</v>
      </c>
      <c r="IA36" s="1">
        <v>25.963000000000001</v>
      </c>
      <c r="IB36" s="1">
        <v>116</v>
      </c>
      <c r="IC36" s="1">
        <v>13</v>
      </c>
      <c r="ID36" s="1">
        <v>20</v>
      </c>
      <c r="IE36" s="1">
        <v>45</v>
      </c>
      <c r="IF36" s="1">
        <v>21</v>
      </c>
      <c r="IG36" s="1">
        <v>28.630000000000003</v>
      </c>
      <c r="IH36" s="1">
        <v>73</v>
      </c>
      <c r="II36" s="1">
        <v>17</v>
      </c>
      <c r="IJ36" s="1">
        <v>15</v>
      </c>
      <c r="IK36" s="1">
        <v>47</v>
      </c>
      <c r="IL36" s="1">
        <v>19</v>
      </c>
      <c r="IM36" s="1">
        <v>27.083000000000002</v>
      </c>
      <c r="IN36" s="1">
        <v>113</v>
      </c>
      <c r="IO36" s="1">
        <v>16</v>
      </c>
      <c r="IP36" s="1">
        <v>19</v>
      </c>
      <c r="IQ36" s="1">
        <v>41</v>
      </c>
      <c r="IR36" s="1">
        <v>19</v>
      </c>
      <c r="IS36" s="1">
        <v>29.157</v>
      </c>
      <c r="IT36" s="1">
        <v>92</v>
      </c>
      <c r="IU36" s="1">
        <v>19</v>
      </c>
      <c r="IV36" s="1">
        <v>22</v>
      </c>
      <c r="IW36" s="1">
        <v>43</v>
      </c>
      <c r="IX36" s="1">
        <v>21</v>
      </c>
      <c r="IY36" s="1">
        <v>25.699000000000002</v>
      </c>
      <c r="IZ36" s="1">
        <v>124</v>
      </c>
      <c r="JA36" s="1">
        <v>22</v>
      </c>
      <c r="JB36" s="1">
        <v>25</v>
      </c>
      <c r="JC36" s="1">
        <v>44</v>
      </c>
      <c r="JD36" s="1">
        <v>18</v>
      </c>
      <c r="JE36" s="1">
        <v>29.763000000000002</v>
      </c>
      <c r="JF36" s="1">
        <v>69</v>
      </c>
      <c r="JG36" s="1">
        <v>16</v>
      </c>
      <c r="JH36" s="1">
        <v>19</v>
      </c>
      <c r="JI36" s="1">
        <v>43</v>
      </c>
      <c r="JJ36" s="1">
        <v>21</v>
      </c>
      <c r="JK36" s="1">
        <v>23.785</v>
      </c>
      <c r="JL36" s="1">
        <v>71</v>
      </c>
      <c r="JM36" s="1">
        <v>23</v>
      </c>
      <c r="JN36" s="1">
        <v>20</v>
      </c>
      <c r="JO36" s="1">
        <v>45</v>
      </c>
      <c r="JP36" s="1">
        <v>20</v>
      </c>
      <c r="JQ36" s="1">
        <v>26.860000000000003</v>
      </c>
      <c r="JR36" s="1">
        <v>65</v>
      </c>
      <c r="JS36" s="1">
        <v>13</v>
      </c>
      <c r="JT36" s="1">
        <v>17</v>
      </c>
      <c r="JU36" s="1">
        <v>40</v>
      </c>
      <c r="JV36" s="1">
        <v>22</v>
      </c>
      <c r="JW36" s="1">
        <v>23.02</v>
      </c>
      <c r="JX36" s="1">
        <v>107</v>
      </c>
      <c r="JY36" s="1">
        <v>22</v>
      </c>
      <c r="JZ36" s="1">
        <v>20</v>
      </c>
      <c r="KA36" s="1">
        <v>42</v>
      </c>
      <c r="KB36" s="1">
        <v>20</v>
      </c>
      <c r="KC36" s="1">
        <v>26.741</v>
      </c>
      <c r="KD36" s="1">
        <v>113</v>
      </c>
      <c r="KE36" s="1">
        <v>28</v>
      </c>
      <c r="KF36" s="1">
        <v>24</v>
      </c>
      <c r="KG36" s="1">
        <v>45</v>
      </c>
      <c r="KH36" s="1">
        <v>21</v>
      </c>
      <c r="KI36" s="1">
        <v>29.84</v>
      </c>
      <c r="KJ36" s="1">
        <v>77</v>
      </c>
      <c r="KK36" s="1">
        <v>16</v>
      </c>
      <c r="KL36" s="1">
        <v>20</v>
      </c>
      <c r="KM36" s="1">
        <v>39</v>
      </c>
      <c r="KN36" s="1">
        <v>22</v>
      </c>
      <c r="KO36" s="1">
        <v>25.243000000000002</v>
      </c>
      <c r="KP36" s="1">
        <v>97</v>
      </c>
      <c r="KQ36" s="1">
        <v>20</v>
      </c>
      <c r="KR36" s="1">
        <v>19</v>
      </c>
      <c r="KS36" s="1">
        <v>45</v>
      </c>
      <c r="KT36" s="1">
        <v>19</v>
      </c>
      <c r="KU36" s="1">
        <v>28.272000000000002</v>
      </c>
      <c r="KV36" s="1">
        <v>73</v>
      </c>
      <c r="KW36" s="1">
        <v>21</v>
      </c>
      <c r="KX36" s="1">
        <v>18</v>
      </c>
      <c r="KY36" s="1">
        <v>42</v>
      </c>
      <c r="KZ36" s="1">
        <v>20</v>
      </c>
      <c r="LA36" s="1">
        <v>25.495000000000001</v>
      </c>
      <c r="LB36" s="1">
        <v>109</v>
      </c>
      <c r="LC36" s="1">
        <v>17</v>
      </c>
      <c r="LD36" s="1">
        <v>20</v>
      </c>
      <c r="LE36" s="1">
        <v>44</v>
      </c>
      <c r="LF36" s="1">
        <v>20</v>
      </c>
      <c r="LG36" s="1">
        <v>29.856000000000002</v>
      </c>
      <c r="LH36" s="1">
        <v>89</v>
      </c>
      <c r="LI36" s="1">
        <v>20</v>
      </c>
      <c r="LJ36" s="1">
        <v>20</v>
      </c>
      <c r="LK36" s="1">
        <v>41</v>
      </c>
      <c r="LL36" s="1">
        <v>22</v>
      </c>
      <c r="LM36" s="1">
        <v>26.723000000000003</v>
      </c>
      <c r="LN36" s="1">
        <v>91</v>
      </c>
      <c r="LO36" s="1">
        <v>27</v>
      </c>
      <c r="LP36" s="1">
        <v>24</v>
      </c>
      <c r="LQ36" s="1">
        <v>43</v>
      </c>
      <c r="LR36" s="1">
        <v>22</v>
      </c>
      <c r="LS36" s="1">
        <v>26.944000000000003</v>
      </c>
      <c r="LT36" s="1">
        <v>112</v>
      </c>
      <c r="LU36" s="1">
        <v>22</v>
      </c>
      <c r="LV36" s="1">
        <v>24</v>
      </c>
      <c r="LW36" s="1">
        <v>45</v>
      </c>
      <c r="LX36" s="1">
        <v>18</v>
      </c>
      <c r="LY36" s="1">
        <v>28.928000000000001</v>
      </c>
      <c r="LZ36" s="1">
        <v>78</v>
      </c>
      <c r="MA36" s="1">
        <v>16</v>
      </c>
      <c r="MB36" s="1">
        <v>21</v>
      </c>
      <c r="MC36" s="1">
        <v>40</v>
      </c>
      <c r="MD36" s="1">
        <v>20</v>
      </c>
      <c r="ME36" s="1">
        <v>24.514000000000003</v>
      </c>
      <c r="MF36" s="1">
        <v>108</v>
      </c>
      <c r="MG36" s="1">
        <v>23</v>
      </c>
      <c r="MH36" s="1">
        <v>23</v>
      </c>
      <c r="MI36" s="1">
        <v>42</v>
      </c>
      <c r="MJ36" s="1">
        <v>20</v>
      </c>
      <c r="MK36" s="1">
        <v>28.827000000000002</v>
      </c>
      <c r="ML36" s="1">
        <v>118</v>
      </c>
      <c r="MM36" s="1">
        <v>27</v>
      </c>
      <c r="MN36" s="1">
        <v>22</v>
      </c>
      <c r="MO36" s="1">
        <v>43</v>
      </c>
      <c r="MP36" s="1">
        <v>16</v>
      </c>
      <c r="MQ36" s="1">
        <v>27.256</v>
      </c>
      <c r="MR36" s="1">
        <v>92</v>
      </c>
      <c r="MS36" s="1">
        <v>20</v>
      </c>
      <c r="MT36" s="1">
        <v>29</v>
      </c>
      <c r="MU36" s="1">
        <v>48</v>
      </c>
      <c r="MV36" s="1">
        <v>22</v>
      </c>
      <c r="MW36" s="1">
        <v>27.346</v>
      </c>
    </row>
    <row r="37" spans="1:361">
      <c r="A37" s="1">
        <v>34</v>
      </c>
      <c r="B37" s="1">
        <v>100</v>
      </c>
      <c r="C37" s="1">
        <v>23</v>
      </c>
      <c r="D37" s="1">
        <v>22</v>
      </c>
      <c r="E37" s="1">
        <v>43</v>
      </c>
      <c r="F37" s="1">
        <v>21</v>
      </c>
      <c r="G37" s="1">
        <v>28.393000000000001</v>
      </c>
      <c r="H37" s="1">
        <v>116</v>
      </c>
      <c r="I37" s="1">
        <v>19</v>
      </c>
      <c r="J37" s="1">
        <v>25</v>
      </c>
      <c r="K37" s="1">
        <v>41</v>
      </c>
      <c r="L37" s="1">
        <v>22</v>
      </c>
      <c r="M37" s="1">
        <v>28.098000000000003</v>
      </c>
      <c r="N37" s="1">
        <v>74</v>
      </c>
      <c r="O37" s="1">
        <v>18</v>
      </c>
      <c r="P37" s="1">
        <v>21</v>
      </c>
      <c r="Q37" s="1">
        <v>41</v>
      </c>
      <c r="R37" s="1">
        <v>21</v>
      </c>
      <c r="S37" s="1">
        <v>25.882000000000001</v>
      </c>
      <c r="T37" s="1">
        <v>83</v>
      </c>
      <c r="U37" s="1">
        <v>21</v>
      </c>
      <c r="V37" s="1">
        <v>20</v>
      </c>
      <c r="W37" s="1">
        <v>42</v>
      </c>
      <c r="X37" s="1">
        <v>19</v>
      </c>
      <c r="Y37" s="1">
        <v>26.495000000000001</v>
      </c>
      <c r="Z37" s="1">
        <v>68</v>
      </c>
      <c r="AA37" s="1">
        <v>19</v>
      </c>
      <c r="AB37" s="1">
        <v>17</v>
      </c>
      <c r="AC37" s="1">
        <v>40</v>
      </c>
      <c r="AD37" s="1">
        <v>19</v>
      </c>
      <c r="AE37" s="1">
        <v>25.016000000000002</v>
      </c>
      <c r="AF37" s="1">
        <v>80</v>
      </c>
      <c r="AG37" s="1">
        <v>20</v>
      </c>
      <c r="AH37" s="1">
        <v>19</v>
      </c>
      <c r="AI37" s="1">
        <v>44</v>
      </c>
      <c r="AJ37" s="1">
        <v>17</v>
      </c>
      <c r="AK37" s="1">
        <v>26.285</v>
      </c>
      <c r="AL37" s="1">
        <v>107</v>
      </c>
      <c r="AM37" s="1">
        <v>18</v>
      </c>
      <c r="AN37" s="1">
        <v>23</v>
      </c>
      <c r="AO37" s="1">
        <v>41</v>
      </c>
      <c r="AP37" s="1">
        <v>20</v>
      </c>
      <c r="AQ37" s="1">
        <v>28.734000000000002</v>
      </c>
      <c r="AR37" s="1">
        <v>81</v>
      </c>
      <c r="AS37" s="1">
        <v>30</v>
      </c>
      <c r="AT37" s="1">
        <v>21</v>
      </c>
      <c r="AU37" s="1">
        <v>42</v>
      </c>
      <c r="AV37" s="1">
        <v>20</v>
      </c>
      <c r="AW37" s="1">
        <v>25.903000000000002</v>
      </c>
      <c r="AX37" s="1">
        <v>95</v>
      </c>
      <c r="AY37" s="1">
        <v>22</v>
      </c>
      <c r="AZ37" s="1">
        <v>22</v>
      </c>
      <c r="BA37" s="1">
        <v>46</v>
      </c>
      <c r="BB37" s="1">
        <v>21</v>
      </c>
      <c r="BC37" s="1">
        <v>27.377000000000002</v>
      </c>
      <c r="BD37" s="1">
        <v>85</v>
      </c>
      <c r="BE37" s="1">
        <v>17</v>
      </c>
      <c r="BF37" s="1">
        <v>18</v>
      </c>
      <c r="BG37" s="1">
        <v>43</v>
      </c>
      <c r="BH37" s="1">
        <v>20</v>
      </c>
      <c r="BI37" s="1">
        <v>26.687000000000001</v>
      </c>
      <c r="BJ37" s="1">
        <v>69</v>
      </c>
      <c r="BK37" s="1">
        <v>15</v>
      </c>
      <c r="BL37" s="1">
        <v>23</v>
      </c>
      <c r="BM37" s="1">
        <v>43</v>
      </c>
      <c r="BN37" s="1">
        <v>20</v>
      </c>
      <c r="BO37" s="1">
        <v>23.603000000000002</v>
      </c>
      <c r="BP37" s="1">
        <v>72</v>
      </c>
      <c r="BQ37" s="1">
        <v>18</v>
      </c>
      <c r="BR37" s="1">
        <v>20</v>
      </c>
      <c r="BS37" s="1">
        <v>41</v>
      </c>
      <c r="BT37" s="1">
        <v>20</v>
      </c>
      <c r="BU37" s="1">
        <v>24.990000000000002</v>
      </c>
      <c r="BV37" s="1">
        <v>123</v>
      </c>
      <c r="BW37" s="1">
        <v>36</v>
      </c>
      <c r="BX37" s="1">
        <v>27</v>
      </c>
      <c r="BY37" s="1">
        <v>39</v>
      </c>
      <c r="BZ37" s="1">
        <v>22</v>
      </c>
      <c r="CA37" s="1">
        <v>28.279</v>
      </c>
      <c r="CB37" s="1">
        <v>127</v>
      </c>
      <c r="CC37" s="1">
        <v>13</v>
      </c>
      <c r="CD37" s="1">
        <v>26</v>
      </c>
      <c r="CE37" s="1">
        <v>42</v>
      </c>
      <c r="CF37" s="1">
        <v>20</v>
      </c>
      <c r="CG37" s="1">
        <v>29.441000000000003</v>
      </c>
      <c r="CH37" s="1">
        <v>114</v>
      </c>
      <c r="CI37" s="1">
        <v>23</v>
      </c>
      <c r="CJ37" s="1">
        <v>27</v>
      </c>
      <c r="CK37" s="1">
        <v>44</v>
      </c>
      <c r="CL37" s="1">
        <v>24</v>
      </c>
      <c r="CM37" s="1">
        <v>28.322000000000003</v>
      </c>
      <c r="CN37" s="1">
        <v>125</v>
      </c>
      <c r="CO37" s="1">
        <v>23</v>
      </c>
      <c r="CP37" s="1">
        <v>23</v>
      </c>
      <c r="CQ37" s="1">
        <v>42</v>
      </c>
      <c r="CR37" s="1">
        <v>19</v>
      </c>
      <c r="CS37" s="1">
        <v>30.774000000000001</v>
      </c>
      <c r="CT37" s="1">
        <v>76</v>
      </c>
      <c r="CU37" s="1">
        <v>22</v>
      </c>
      <c r="CV37" s="1">
        <v>16</v>
      </c>
      <c r="CW37" s="1">
        <v>40</v>
      </c>
      <c r="CX37" s="1">
        <v>21</v>
      </c>
      <c r="CY37" s="1">
        <v>26.192</v>
      </c>
      <c r="CZ37" s="1">
        <v>91</v>
      </c>
      <c r="DA37" s="1">
        <v>20</v>
      </c>
      <c r="DB37" s="1">
        <v>22</v>
      </c>
      <c r="DC37" s="1">
        <v>46</v>
      </c>
      <c r="DD37" s="1">
        <v>23</v>
      </c>
      <c r="DE37" s="1">
        <v>26.997</v>
      </c>
      <c r="DF37" s="1">
        <v>87</v>
      </c>
      <c r="DG37" s="1">
        <v>11</v>
      </c>
      <c r="DH37" s="1">
        <v>22</v>
      </c>
      <c r="DI37" s="1">
        <v>42</v>
      </c>
      <c r="DJ37" s="1">
        <v>21</v>
      </c>
      <c r="DK37" s="1">
        <v>26.941000000000003</v>
      </c>
      <c r="DL37" s="1">
        <v>70</v>
      </c>
      <c r="DM37" s="1">
        <v>24</v>
      </c>
      <c r="DN37" s="1">
        <v>21</v>
      </c>
      <c r="DO37" s="1">
        <v>42</v>
      </c>
      <c r="DP37" s="1">
        <v>19</v>
      </c>
      <c r="DQ37" s="1">
        <v>26.498000000000001</v>
      </c>
      <c r="DR37" s="1">
        <v>116</v>
      </c>
      <c r="DS37" s="1">
        <v>27</v>
      </c>
      <c r="DT37" s="1">
        <v>22</v>
      </c>
      <c r="DU37" s="1">
        <v>41</v>
      </c>
      <c r="DV37" s="1">
        <v>20</v>
      </c>
      <c r="DW37" s="1">
        <v>28.462</v>
      </c>
      <c r="DX37" s="1">
        <v>122</v>
      </c>
      <c r="DY37" s="1">
        <v>19</v>
      </c>
      <c r="DZ37" s="1">
        <v>23</v>
      </c>
      <c r="EA37" s="1">
        <v>40</v>
      </c>
      <c r="EB37" s="1">
        <v>19</v>
      </c>
      <c r="EC37" s="1">
        <v>28.974</v>
      </c>
      <c r="ED37" s="1">
        <v>74</v>
      </c>
      <c r="EE37" s="1">
        <v>10</v>
      </c>
      <c r="EF37" s="1">
        <v>19</v>
      </c>
      <c r="EG37" s="1">
        <v>44</v>
      </c>
      <c r="EH37" s="1">
        <v>22</v>
      </c>
      <c r="EI37" s="1">
        <v>26.381</v>
      </c>
      <c r="EJ37" s="1">
        <v>124</v>
      </c>
      <c r="EK37" s="1">
        <v>22</v>
      </c>
      <c r="EL37" s="1">
        <v>21</v>
      </c>
      <c r="EM37" s="1">
        <v>44</v>
      </c>
      <c r="EN37" s="1">
        <v>20</v>
      </c>
      <c r="EO37" s="1">
        <v>29.745000000000001</v>
      </c>
      <c r="EP37" s="1">
        <v>110</v>
      </c>
      <c r="EQ37" s="1">
        <v>33</v>
      </c>
      <c r="ER37" s="1">
        <v>20</v>
      </c>
      <c r="ES37" s="1">
        <v>44</v>
      </c>
      <c r="ET37" s="1">
        <v>22</v>
      </c>
      <c r="EU37" s="1">
        <v>27.803000000000001</v>
      </c>
      <c r="EV37" s="1">
        <v>102</v>
      </c>
      <c r="EW37" s="1">
        <v>19</v>
      </c>
      <c r="EX37" s="1">
        <v>20</v>
      </c>
      <c r="EY37" s="1">
        <v>40</v>
      </c>
      <c r="EZ37" s="1">
        <v>20</v>
      </c>
      <c r="FA37" s="1">
        <v>28.133000000000003</v>
      </c>
      <c r="FB37" s="1">
        <v>119</v>
      </c>
      <c r="FC37" s="1">
        <v>28</v>
      </c>
      <c r="FD37" s="1">
        <v>27</v>
      </c>
      <c r="FE37" s="1">
        <v>41</v>
      </c>
      <c r="FF37" s="1">
        <v>22</v>
      </c>
      <c r="FG37" s="1">
        <v>28.714000000000002</v>
      </c>
      <c r="FH37" s="1">
        <v>122</v>
      </c>
      <c r="FI37" s="1">
        <v>19</v>
      </c>
      <c r="FJ37" s="1">
        <v>26</v>
      </c>
      <c r="FK37" s="1">
        <v>44</v>
      </c>
      <c r="FL37" s="1">
        <v>19</v>
      </c>
      <c r="FM37" s="1">
        <v>31.528000000000002</v>
      </c>
      <c r="FN37" s="1">
        <v>88</v>
      </c>
      <c r="FO37" s="1">
        <v>12</v>
      </c>
      <c r="FP37" s="1">
        <v>23</v>
      </c>
      <c r="FQ37" s="1">
        <v>41</v>
      </c>
      <c r="FR37" s="1">
        <v>17</v>
      </c>
      <c r="FS37" s="1">
        <v>24.997</v>
      </c>
      <c r="FT37" s="1">
        <v>92</v>
      </c>
      <c r="FU37" s="1">
        <v>10</v>
      </c>
      <c r="FV37" s="1">
        <v>20</v>
      </c>
      <c r="FW37" s="1">
        <v>43</v>
      </c>
      <c r="FX37" s="1">
        <v>21</v>
      </c>
      <c r="FY37" s="1">
        <v>26.342000000000002</v>
      </c>
      <c r="FZ37" s="1">
        <v>72</v>
      </c>
      <c r="GA37" s="1">
        <v>20</v>
      </c>
      <c r="GB37" s="1">
        <v>19</v>
      </c>
      <c r="GC37" s="1">
        <v>45</v>
      </c>
      <c r="GD37" s="1">
        <v>18</v>
      </c>
      <c r="GE37" s="1">
        <v>26.563000000000002</v>
      </c>
      <c r="GF37" s="1">
        <v>112</v>
      </c>
      <c r="GG37" s="1">
        <v>14</v>
      </c>
      <c r="GH37" s="1">
        <v>27</v>
      </c>
      <c r="GI37" s="1">
        <v>42</v>
      </c>
      <c r="GJ37" s="1">
        <v>21</v>
      </c>
      <c r="GK37" s="1">
        <v>25.948</v>
      </c>
      <c r="GL37" s="1">
        <v>118</v>
      </c>
      <c r="GM37" s="1">
        <v>10</v>
      </c>
      <c r="GN37" s="1">
        <v>21</v>
      </c>
      <c r="GO37" s="1">
        <v>43</v>
      </c>
      <c r="GP37" s="1">
        <v>22</v>
      </c>
      <c r="GQ37" s="1">
        <v>27.981000000000002</v>
      </c>
      <c r="GR37" s="1">
        <v>122</v>
      </c>
      <c r="GS37" s="1">
        <v>23</v>
      </c>
      <c r="GT37" s="1">
        <v>24</v>
      </c>
      <c r="GU37" s="1">
        <v>42</v>
      </c>
      <c r="GV37" s="1">
        <v>18</v>
      </c>
      <c r="GW37" s="1">
        <v>27.913</v>
      </c>
      <c r="GX37" s="1">
        <v>81</v>
      </c>
      <c r="GY37" s="1">
        <v>22</v>
      </c>
      <c r="GZ37" s="1">
        <v>20</v>
      </c>
      <c r="HA37" s="1">
        <v>44</v>
      </c>
      <c r="HB37" s="1">
        <v>17</v>
      </c>
      <c r="HC37" s="1">
        <v>27.351000000000003</v>
      </c>
      <c r="HD37" s="1">
        <v>83</v>
      </c>
      <c r="HE37" s="1">
        <v>19</v>
      </c>
      <c r="HF37" s="1">
        <v>19</v>
      </c>
      <c r="HG37" s="1">
        <v>44</v>
      </c>
      <c r="HH37" s="1">
        <v>19</v>
      </c>
      <c r="HI37" s="1">
        <v>24.857000000000003</v>
      </c>
      <c r="HJ37" s="1">
        <v>69</v>
      </c>
      <c r="HK37" s="1">
        <v>11</v>
      </c>
      <c r="HL37" s="1">
        <v>16</v>
      </c>
      <c r="HM37" s="1">
        <v>45</v>
      </c>
      <c r="HN37" s="1">
        <v>18</v>
      </c>
      <c r="HO37" s="1">
        <v>24.371000000000002</v>
      </c>
      <c r="HP37" s="1">
        <v>79</v>
      </c>
      <c r="HQ37" s="1">
        <v>16</v>
      </c>
      <c r="HR37" s="1">
        <v>19</v>
      </c>
      <c r="HS37" s="1">
        <v>43</v>
      </c>
      <c r="HT37" s="1">
        <v>22</v>
      </c>
      <c r="HU37" s="1">
        <v>25.329000000000001</v>
      </c>
      <c r="HV37" s="1">
        <v>109</v>
      </c>
      <c r="HW37" s="1">
        <v>17</v>
      </c>
      <c r="HX37" s="1">
        <v>21</v>
      </c>
      <c r="HY37" s="1">
        <v>42</v>
      </c>
      <c r="HZ37" s="1">
        <v>20</v>
      </c>
      <c r="IA37" s="1">
        <v>27.064</v>
      </c>
      <c r="IB37" s="1">
        <v>77</v>
      </c>
      <c r="IC37" s="1">
        <v>14</v>
      </c>
      <c r="ID37" s="1">
        <v>20</v>
      </c>
      <c r="IE37" s="1">
        <v>40</v>
      </c>
      <c r="IF37" s="1">
        <v>20</v>
      </c>
      <c r="IG37" s="1">
        <v>27.227</v>
      </c>
      <c r="IH37" s="1">
        <v>84</v>
      </c>
      <c r="II37" s="1">
        <v>23</v>
      </c>
      <c r="IJ37" s="1">
        <v>20</v>
      </c>
      <c r="IK37" s="1">
        <v>45</v>
      </c>
      <c r="IL37" s="1">
        <v>18</v>
      </c>
      <c r="IM37" s="1">
        <v>27.071000000000002</v>
      </c>
      <c r="IN37" s="1">
        <v>100</v>
      </c>
      <c r="IO37" s="1">
        <v>24</v>
      </c>
      <c r="IP37" s="1">
        <v>23</v>
      </c>
      <c r="IQ37" s="1">
        <v>43</v>
      </c>
      <c r="IR37" s="1">
        <v>19</v>
      </c>
      <c r="IS37" s="1">
        <v>26.48</v>
      </c>
      <c r="IT37" s="1">
        <v>116</v>
      </c>
      <c r="IU37" s="1">
        <v>12</v>
      </c>
      <c r="IV37" s="1">
        <v>20</v>
      </c>
      <c r="IW37" s="1">
        <v>43</v>
      </c>
      <c r="IX37" s="1">
        <v>20</v>
      </c>
      <c r="IY37" s="1">
        <v>30.485000000000003</v>
      </c>
      <c r="IZ37" s="1">
        <v>83</v>
      </c>
      <c r="JA37" s="1">
        <v>11</v>
      </c>
      <c r="JB37" s="1">
        <v>17</v>
      </c>
      <c r="JC37" s="1">
        <v>42</v>
      </c>
      <c r="JD37" s="1">
        <v>22</v>
      </c>
      <c r="JE37" s="1">
        <v>27.263000000000002</v>
      </c>
      <c r="JF37" s="1">
        <v>72</v>
      </c>
      <c r="JG37" s="1">
        <v>14</v>
      </c>
      <c r="JH37" s="1">
        <v>18</v>
      </c>
      <c r="JI37" s="1">
        <v>45</v>
      </c>
      <c r="JJ37" s="1">
        <v>22</v>
      </c>
      <c r="JK37" s="1">
        <v>26.14</v>
      </c>
      <c r="JL37" s="1">
        <v>80</v>
      </c>
      <c r="JM37" s="1">
        <v>22</v>
      </c>
      <c r="JN37" s="1">
        <v>21</v>
      </c>
      <c r="JO37" s="1">
        <v>46</v>
      </c>
      <c r="JP37" s="1">
        <v>20</v>
      </c>
      <c r="JQ37" s="1">
        <v>27.873000000000001</v>
      </c>
      <c r="JR37" s="1">
        <v>104</v>
      </c>
      <c r="JS37" s="1">
        <v>17</v>
      </c>
      <c r="JT37" s="1">
        <v>24</v>
      </c>
      <c r="JU37" s="1">
        <v>42</v>
      </c>
      <c r="JV37" s="1">
        <v>20</v>
      </c>
      <c r="JW37" s="1">
        <v>27.464000000000002</v>
      </c>
      <c r="JX37" s="1">
        <v>82</v>
      </c>
      <c r="JY37" s="1">
        <v>7</v>
      </c>
      <c r="JZ37" s="1">
        <v>22</v>
      </c>
      <c r="KA37" s="1">
        <v>44</v>
      </c>
      <c r="KB37" s="1">
        <v>19</v>
      </c>
      <c r="KC37" s="1">
        <v>25.503</v>
      </c>
      <c r="KD37" s="1">
        <v>111</v>
      </c>
      <c r="KE37" s="1">
        <v>23</v>
      </c>
      <c r="KF37" s="1">
        <v>28</v>
      </c>
      <c r="KG37" s="1">
        <v>46</v>
      </c>
      <c r="KH37" s="1">
        <v>19</v>
      </c>
      <c r="KI37" s="1">
        <v>27.656000000000002</v>
      </c>
      <c r="KJ37" s="1">
        <v>92</v>
      </c>
      <c r="KK37" s="1">
        <v>19</v>
      </c>
      <c r="KL37" s="1">
        <v>22</v>
      </c>
      <c r="KM37" s="1">
        <v>42</v>
      </c>
      <c r="KN37" s="1">
        <v>18</v>
      </c>
      <c r="KO37" s="1">
        <v>26.827000000000002</v>
      </c>
      <c r="KP37" s="1">
        <v>113</v>
      </c>
      <c r="KQ37" s="1">
        <v>22</v>
      </c>
      <c r="KR37" s="1">
        <v>27</v>
      </c>
      <c r="KS37" s="1">
        <v>40</v>
      </c>
      <c r="KT37" s="1">
        <v>19</v>
      </c>
      <c r="KU37" s="1">
        <v>26.891000000000002</v>
      </c>
      <c r="KV37" s="1">
        <v>70</v>
      </c>
      <c r="KW37" s="1">
        <v>19</v>
      </c>
      <c r="KX37" s="1">
        <v>17</v>
      </c>
      <c r="KY37" s="1">
        <v>41</v>
      </c>
      <c r="KZ37" s="1">
        <v>20</v>
      </c>
      <c r="LA37" s="1">
        <v>24.545000000000002</v>
      </c>
      <c r="LB37" s="1">
        <v>97</v>
      </c>
      <c r="LC37" s="1">
        <v>12</v>
      </c>
      <c r="LD37" s="1">
        <v>22</v>
      </c>
      <c r="LE37" s="1">
        <v>43</v>
      </c>
      <c r="LF37" s="1">
        <v>21</v>
      </c>
      <c r="LG37" s="1">
        <v>26.602</v>
      </c>
      <c r="LH37" s="1">
        <v>78</v>
      </c>
      <c r="LI37" s="1">
        <v>31</v>
      </c>
      <c r="LJ37" s="1">
        <v>17</v>
      </c>
      <c r="LK37" s="1">
        <v>43</v>
      </c>
      <c r="LL37" s="1">
        <v>23</v>
      </c>
      <c r="LM37" s="1">
        <v>25.532</v>
      </c>
      <c r="LN37" s="1">
        <v>77</v>
      </c>
      <c r="LO37" s="1">
        <v>14</v>
      </c>
      <c r="LP37" s="1">
        <v>14</v>
      </c>
      <c r="LQ37" s="1">
        <v>43</v>
      </c>
      <c r="LR37" s="1">
        <v>23</v>
      </c>
      <c r="LS37" s="1">
        <v>25.996000000000002</v>
      </c>
      <c r="LT37" s="1">
        <v>74</v>
      </c>
      <c r="LU37" s="1">
        <v>18</v>
      </c>
      <c r="LV37" s="1">
        <v>22</v>
      </c>
      <c r="LW37" s="1">
        <v>46</v>
      </c>
      <c r="LX37" s="1">
        <v>18</v>
      </c>
      <c r="LY37" s="1">
        <v>27.274000000000001</v>
      </c>
      <c r="LZ37" s="1">
        <v>78</v>
      </c>
      <c r="MA37" s="1">
        <v>23</v>
      </c>
      <c r="MB37" s="1">
        <v>17</v>
      </c>
      <c r="MC37" s="1">
        <v>47</v>
      </c>
      <c r="MD37" s="1">
        <v>21</v>
      </c>
      <c r="ME37" s="1">
        <v>25.265000000000001</v>
      </c>
      <c r="MF37" s="1">
        <v>94</v>
      </c>
      <c r="MG37" s="1">
        <v>12</v>
      </c>
      <c r="MH37" s="1">
        <v>21</v>
      </c>
      <c r="MI37" s="1">
        <v>42</v>
      </c>
      <c r="MJ37" s="1">
        <v>21</v>
      </c>
      <c r="MK37" s="1">
        <v>25.188000000000002</v>
      </c>
      <c r="ML37" s="1">
        <v>74</v>
      </c>
      <c r="MM37" s="1">
        <v>24</v>
      </c>
      <c r="MN37" s="1">
        <v>20</v>
      </c>
      <c r="MO37" s="1">
        <v>42</v>
      </c>
      <c r="MP37" s="1">
        <v>16</v>
      </c>
      <c r="MQ37" s="1">
        <v>24.766999999999999</v>
      </c>
      <c r="MR37" s="1">
        <v>69</v>
      </c>
      <c r="MS37" s="1">
        <v>18</v>
      </c>
      <c r="MT37" s="1">
        <v>17</v>
      </c>
      <c r="MU37" s="1">
        <v>40</v>
      </c>
      <c r="MV37" s="1">
        <v>19</v>
      </c>
      <c r="MW37" s="1">
        <v>25.742000000000001</v>
      </c>
    </row>
    <row r="38" spans="1:361">
      <c r="A38" s="1">
        <v>35</v>
      </c>
      <c r="B38" s="1">
        <v>98</v>
      </c>
      <c r="C38" s="1">
        <v>21</v>
      </c>
      <c r="D38" s="1">
        <v>22</v>
      </c>
      <c r="E38" s="1">
        <v>41</v>
      </c>
      <c r="F38" s="1">
        <v>18</v>
      </c>
      <c r="G38" s="1">
        <v>26.108000000000001</v>
      </c>
      <c r="H38" s="1">
        <v>81</v>
      </c>
      <c r="I38" s="1">
        <v>21</v>
      </c>
      <c r="J38" s="1">
        <v>20</v>
      </c>
      <c r="K38" s="1">
        <v>42</v>
      </c>
      <c r="L38" s="1">
        <v>21</v>
      </c>
      <c r="M38" s="1">
        <v>27.6</v>
      </c>
      <c r="N38" s="1">
        <v>127</v>
      </c>
      <c r="O38" s="1">
        <v>29</v>
      </c>
      <c r="P38" s="1">
        <v>26</v>
      </c>
      <c r="Q38" s="1">
        <v>49</v>
      </c>
      <c r="R38" s="1">
        <v>24</v>
      </c>
      <c r="S38" s="1">
        <v>28.923000000000002</v>
      </c>
      <c r="T38" s="1">
        <v>67</v>
      </c>
      <c r="U38" s="1">
        <v>22</v>
      </c>
      <c r="V38" s="1">
        <v>24</v>
      </c>
      <c r="W38" s="1">
        <v>47</v>
      </c>
      <c r="X38" s="1">
        <v>24</v>
      </c>
      <c r="Y38" s="1">
        <v>26.478000000000002</v>
      </c>
      <c r="Z38" s="1">
        <v>87</v>
      </c>
      <c r="AA38" s="1">
        <v>21</v>
      </c>
      <c r="AB38" s="1">
        <v>20</v>
      </c>
      <c r="AC38" s="1">
        <v>44</v>
      </c>
      <c r="AD38" s="1">
        <v>21</v>
      </c>
      <c r="AE38" s="1">
        <v>27.033000000000001</v>
      </c>
      <c r="AF38" s="1">
        <v>109</v>
      </c>
      <c r="AG38" s="1">
        <v>16</v>
      </c>
      <c r="AH38" s="1">
        <v>26</v>
      </c>
      <c r="AI38" s="1">
        <v>45</v>
      </c>
      <c r="AJ38" s="1">
        <v>21</v>
      </c>
      <c r="AK38" s="1">
        <v>28.901</v>
      </c>
      <c r="AL38" s="1">
        <v>101</v>
      </c>
      <c r="AM38" s="1">
        <v>18</v>
      </c>
      <c r="AN38" s="1">
        <v>22</v>
      </c>
      <c r="AO38" s="1">
        <v>43</v>
      </c>
      <c r="AP38" s="1">
        <v>20</v>
      </c>
      <c r="AQ38" s="1">
        <v>27.859000000000002</v>
      </c>
      <c r="AR38" s="1">
        <v>107</v>
      </c>
      <c r="AS38" s="1">
        <v>22</v>
      </c>
      <c r="AT38" s="1">
        <v>23</v>
      </c>
      <c r="AU38" s="1">
        <v>46</v>
      </c>
      <c r="AV38" s="1">
        <v>21</v>
      </c>
      <c r="AW38" s="1">
        <v>29.408000000000001</v>
      </c>
      <c r="AX38" s="1">
        <v>110</v>
      </c>
      <c r="AY38" s="1">
        <v>19</v>
      </c>
      <c r="AZ38" s="1">
        <v>23</v>
      </c>
      <c r="BA38" s="1">
        <v>46</v>
      </c>
      <c r="BB38" s="1">
        <v>22</v>
      </c>
      <c r="BC38" s="1">
        <v>28.069000000000003</v>
      </c>
      <c r="BD38" s="1">
        <v>104</v>
      </c>
      <c r="BE38" s="1">
        <v>23</v>
      </c>
      <c r="BF38" s="1">
        <v>26</v>
      </c>
      <c r="BG38" s="1">
        <v>45</v>
      </c>
      <c r="BH38" s="1">
        <v>21</v>
      </c>
      <c r="BI38" s="1">
        <v>29.303000000000001</v>
      </c>
      <c r="BJ38" s="1">
        <v>115</v>
      </c>
      <c r="BK38" s="1">
        <v>16</v>
      </c>
      <c r="BL38" s="1">
        <v>25</v>
      </c>
      <c r="BM38" s="1">
        <v>43</v>
      </c>
      <c r="BN38" s="1">
        <v>23</v>
      </c>
      <c r="BO38" s="1">
        <v>28.801000000000002</v>
      </c>
      <c r="BP38" s="1">
        <v>109</v>
      </c>
      <c r="BQ38" s="1">
        <v>21</v>
      </c>
      <c r="BR38" s="1">
        <v>22</v>
      </c>
      <c r="BS38" s="1">
        <v>40</v>
      </c>
      <c r="BT38" s="1">
        <v>19</v>
      </c>
      <c r="BU38" s="1">
        <v>25.253</v>
      </c>
      <c r="BV38" s="1">
        <v>73</v>
      </c>
      <c r="BW38" s="1">
        <v>18</v>
      </c>
      <c r="BX38" s="1">
        <v>18</v>
      </c>
      <c r="BY38" s="1">
        <v>41</v>
      </c>
      <c r="BZ38" s="1">
        <v>16</v>
      </c>
      <c r="CA38" s="1">
        <v>24.955000000000002</v>
      </c>
      <c r="CB38" s="1">
        <v>68</v>
      </c>
      <c r="CC38" s="1">
        <v>13</v>
      </c>
      <c r="CD38" s="1">
        <v>16</v>
      </c>
      <c r="CE38" s="1">
        <v>43</v>
      </c>
      <c r="CF38" s="1">
        <v>19</v>
      </c>
      <c r="CG38" s="1">
        <v>24.884</v>
      </c>
      <c r="CH38" s="1">
        <v>98</v>
      </c>
      <c r="CI38" s="1">
        <v>15</v>
      </c>
      <c r="CJ38" s="1">
        <v>20</v>
      </c>
      <c r="CK38" s="1">
        <v>42</v>
      </c>
      <c r="CL38" s="1">
        <v>21</v>
      </c>
      <c r="CM38" s="1">
        <v>25.744</v>
      </c>
      <c r="CN38" s="1">
        <v>84</v>
      </c>
      <c r="CO38" s="1">
        <v>19</v>
      </c>
      <c r="CP38" s="1">
        <v>26</v>
      </c>
      <c r="CQ38" s="1">
        <v>43</v>
      </c>
      <c r="CR38" s="1">
        <v>23</v>
      </c>
      <c r="CS38" s="1">
        <v>28.130000000000003</v>
      </c>
      <c r="CT38" s="1">
        <v>123</v>
      </c>
      <c r="CU38" s="1">
        <v>23</v>
      </c>
      <c r="CV38" s="1">
        <v>23</v>
      </c>
      <c r="CW38" s="1">
        <v>50</v>
      </c>
      <c r="CX38" s="1">
        <v>17</v>
      </c>
      <c r="CY38" s="1">
        <v>28.751000000000001</v>
      </c>
      <c r="CZ38" s="1">
        <v>71</v>
      </c>
      <c r="DA38" s="1">
        <v>26</v>
      </c>
      <c r="DB38" s="1">
        <v>16</v>
      </c>
      <c r="DC38" s="1">
        <v>44</v>
      </c>
      <c r="DD38" s="1">
        <v>23</v>
      </c>
      <c r="DE38" s="1">
        <v>24</v>
      </c>
      <c r="DF38" s="1">
        <v>94</v>
      </c>
      <c r="DG38" s="1">
        <v>18</v>
      </c>
      <c r="DH38" s="1">
        <v>20</v>
      </c>
      <c r="DI38" s="1">
        <v>45</v>
      </c>
      <c r="DJ38" s="1">
        <v>22</v>
      </c>
      <c r="DK38" s="1">
        <v>24.979000000000003</v>
      </c>
      <c r="DL38" s="1">
        <v>89</v>
      </c>
      <c r="DM38" s="1">
        <v>20</v>
      </c>
      <c r="DN38" s="1">
        <v>25</v>
      </c>
      <c r="DO38" s="1">
        <v>40</v>
      </c>
      <c r="DP38" s="1">
        <v>15</v>
      </c>
      <c r="DQ38" s="1">
        <v>27.136000000000003</v>
      </c>
      <c r="DR38" s="1">
        <v>78</v>
      </c>
      <c r="DS38" s="1">
        <v>17</v>
      </c>
      <c r="DT38" s="1">
        <v>19</v>
      </c>
      <c r="DU38" s="1">
        <v>45</v>
      </c>
      <c r="DV38" s="1">
        <v>22</v>
      </c>
      <c r="DW38" s="1">
        <v>26.331</v>
      </c>
      <c r="DX38" s="1">
        <v>75</v>
      </c>
      <c r="DY38" s="1">
        <v>14</v>
      </c>
      <c r="DZ38" s="1">
        <v>19</v>
      </c>
      <c r="EA38" s="1">
        <v>47</v>
      </c>
      <c r="EB38" s="1">
        <v>22</v>
      </c>
      <c r="EC38" s="1">
        <v>25.999000000000002</v>
      </c>
      <c r="ED38" s="1">
        <v>102</v>
      </c>
      <c r="EE38" s="1">
        <v>33</v>
      </c>
      <c r="EF38" s="1">
        <v>26</v>
      </c>
      <c r="EG38" s="1">
        <v>43</v>
      </c>
      <c r="EH38" s="1">
        <v>25</v>
      </c>
      <c r="EI38" s="1">
        <v>28.034000000000002</v>
      </c>
      <c r="EJ38" s="1">
        <v>118</v>
      </c>
      <c r="EK38" s="1">
        <v>25</v>
      </c>
      <c r="EL38" s="1">
        <v>24</v>
      </c>
      <c r="EM38" s="1">
        <v>44</v>
      </c>
      <c r="EN38" s="1">
        <v>16</v>
      </c>
      <c r="EO38" s="1">
        <v>28.885000000000002</v>
      </c>
      <c r="EP38" s="1">
        <v>82</v>
      </c>
      <c r="EQ38" s="1">
        <v>25</v>
      </c>
      <c r="ER38" s="1">
        <v>21</v>
      </c>
      <c r="ES38" s="1">
        <v>46</v>
      </c>
      <c r="ET38" s="1">
        <v>17</v>
      </c>
      <c r="EU38" s="1">
        <v>27.176000000000002</v>
      </c>
      <c r="EV38" s="1">
        <v>91</v>
      </c>
      <c r="EW38" s="1">
        <v>21</v>
      </c>
      <c r="EX38" s="1">
        <v>22</v>
      </c>
      <c r="EY38" s="1">
        <v>42</v>
      </c>
      <c r="EZ38" s="1">
        <v>19</v>
      </c>
      <c r="FA38" s="1">
        <v>27.186</v>
      </c>
      <c r="FB38" s="1">
        <v>102</v>
      </c>
      <c r="FC38" s="1">
        <v>11</v>
      </c>
      <c r="FD38" s="1">
        <v>23</v>
      </c>
      <c r="FE38" s="1">
        <v>43</v>
      </c>
      <c r="FF38" s="1">
        <v>22</v>
      </c>
      <c r="FG38" s="1">
        <v>27.226000000000003</v>
      </c>
      <c r="FH38" s="1">
        <v>80</v>
      </c>
      <c r="FI38" s="1">
        <v>24</v>
      </c>
      <c r="FJ38" s="1">
        <v>26</v>
      </c>
      <c r="FK38" s="1">
        <v>44</v>
      </c>
      <c r="FL38" s="1">
        <v>21</v>
      </c>
      <c r="FM38" s="1">
        <v>25.289000000000001</v>
      </c>
      <c r="FN38" s="1">
        <v>122</v>
      </c>
      <c r="FO38" s="1">
        <v>24</v>
      </c>
      <c r="FP38" s="1">
        <v>22</v>
      </c>
      <c r="FQ38" s="1">
        <v>42</v>
      </c>
      <c r="FR38" s="1">
        <v>20</v>
      </c>
      <c r="FS38" s="1">
        <v>28.825000000000003</v>
      </c>
      <c r="FT38" s="1">
        <v>78</v>
      </c>
      <c r="FU38" s="1">
        <v>21</v>
      </c>
      <c r="FV38" s="1">
        <v>23</v>
      </c>
      <c r="FW38" s="1">
        <v>41</v>
      </c>
      <c r="FX38" s="1">
        <v>21</v>
      </c>
      <c r="FY38" s="1">
        <v>25.054000000000002</v>
      </c>
      <c r="FZ38" s="1">
        <v>118</v>
      </c>
      <c r="GA38" s="1">
        <v>18</v>
      </c>
      <c r="GB38" s="1">
        <v>21</v>
      </c>
      <c r="GC38" s="1">
        <v>44</v>
      </c>
      <c r="GD38" s="1">
        <v>23</v>
      </c>
      <c r="GE38" s="1">
        <v>29.037000000000003</v>
      </c>
      <c r="GF38" s="1">
        <v>89</v>
      </c>
      <c r="GG38" s="1">
        <v>10</v>
      </c>
      <c r="GH38" s="1">
        <v>20</v>
      </c>
      <c r="GI38" s="1">
        <v>41</v>
      </c>
      <c r="GJ38" s="1">
        <v>21</v>
      </c>
      <c r="GK38" s="1">
        <v>25.255000000000003</v>
      </c>
      <c r="GL38" s="1">
        <v>108</v>
      </c>
      <c r="GM38" s="1">
        <v>23</v>
      </c>
      <c r="GN38" s="1">
        <v>22</v>
      </c>
      <c r="GO38" s="1">
        <v>41</v>
      </c>
      <c r="GP38" s="1">
        <v>20</v>
      </c>
      <c r="GQ38" s="1">
        <v>27.722000000000001</v>
      </c>
      <c r="GR38" s="1">
        <v>125</v>
      </c>
      <c r="GS38" s="1">
        <v>23</v>
      </c>
      <c r="GT38" s="1">
        <v>22</v>
      </c>
      <c r="GU38" s="1">
        <v>42</v>
      </c>
      <c r="GV38" s="1">
        <v>20</v>
      </c>
      <c r="GW38" s="1">
        <v>29.999000000000002</v>
      </c>
      <c r="GX38" s="1">
        <v>100</v>
      </c>
      <c r="GY38" s="1">
        <v>11</v>
      </c>
      <c r="GZ38" s="1">
        <v>23</v>
      </c>
      <c r="HA38" s="1">
        <v>46</v>
      </c>
      <c r="HB38" s="1">
        <v>19</v>
      </c>
      <c r="HC38" s="1">
        <v>29.616</v>
      </c>
      <c r="HD38" s="1">
        <v>97</v>
      </c>
      <c r="HE38" s="1">
        <v>22</v>
      </c>
      <c r="HF38" s="1">
        <v>24</v>
      </c>
      <c r="HG38" s="1">
        <v>40</v>
      </c>
      <c r="HH38" s="1">
        <v>17</v>
      </c>
      <c r="HI38" s="1">
        <v>26.32</v>
      </c>
      <c r="HJ38" s="1">
        <v>67</v>
      </c>
      <c r="HK38" s="1">
        <v>28</v>
      </c>
      <c r="HL38" s="1">
        <v>18</v>
      </c>
      <c r="HM38" s="1">
        <v>45</v>
      </c>
      <c r="HN38" s="1">
        <v>20</v>
      </c>
      <c r="HO38" s="1">
        <v>26.492000000000001</v>
      </c>
      <c r="HP38" s="1">
        <v>118</v>
      </c>
      <c r="HQ38" s="1">
        <v>19</v>
      </c>
      <c r="HR38" s="1">
        <v>28</v>
      </c>
      <c r="HS38" s="1">
        <v>46</v>
      </c>
      <c r="HT38" s="1">
        <v>19</v>
      </c>
      <c r="HU38" s="1">
        <v>29.769000000000002</v>
      </c>
      <c r="HV38" s="1">
        <v>79</v>
      </c>
      <c r="HW38" s="1">
        <v>24</v>
      </c>
      <c r="HX38" s="1">
        <v>21</v>
      </c>
      <c r="HY38" s="1">
        <v>45</v>
      </c>
      <c r="HZ38" s="1">
        <v>18</v>
      </c>
      <c r="IA38" s="1">
        <v>26.852</v>
      </c>
      <c r="IB38" s="1">
        <v>108</v>
      </c>
      <c r="IC38" s="1">
        <v>18</v>
      </c>
      <c r="ID38" s="1">
        <v>25</v>
      </c>
      <c r="IE38" s="1">
        <v>42</v>
      </c>
      <c r="IF38" s="1">
        <v>19</v>
      </c>
      <c r="IG38" s="1">
        <v>26.981000000000002</v>
      </c>
      <c r="IH38" s="1">
        <v>105</v>
      </c>
      <c r="II38" s="1">
        <v>29</v>
      </c>
      <c r="IJ38" s="1">
        <v>23</v>
      </c>
      <c r="IK38" s="1">
        <v>43</v>
      </c>
      <c r="IL38" s="1">
        <v>20</v>
      </c>
      <c r="IM38" s="1">
        <v>29.112000000000002</v>
      </c>
      <c r="IN38" s="1">
        <v>114</v>
      </c>
      <c r="IO38" s="1">
        <v>25</v>
      </c>
      <c r="IP38" s="1">
        <v>24</v>
      </c>
      <c r="IQ38" s="1">
        <v>45</v>
      </c>
      <c r="IR38" s="1">
        <v>19</v>
      </c>
      <c r="IS38" s="1">
        <v>29.846</v>
      </c>
      <c r="IT38" s="1">
        <v>113</v>
      </c>
      <c r="IU38" s="1">
        <v>27</v>
      </c>
      <c r="IV38" s="1">
        <v>23</v>
      </c>
      <c r="IW38" s="1">
        <v>44</v>
      </c>
      <c r="IX38" s="1">
        <v>20</v>
      </c>
      <c r="IY38" s="1">
        <v>28.991</v>
      </c>
      <c r="IZ38" s="1">
        <v>121</v>
      </c>
      <c r="JA38" s="1">
        <v>16</v>
      </c>
      <c r="JB38" s="1">
        <v>27</v>
      </c>
      <c r="JC38" s="1">
        <v>44</v>
      </c>
      <c r="JD38" s="1">
        <v>20</v>
      </c>
      <c r="JE38" s="1">
        <v>30.435000000000002</v>
      </c>
      <c r="JF38" s="1">
        <v>101</v>
      </c>
      <c r="JG38" s="1">
        <v>25</v>
      </c>
      <c r="JH38" s="1">
        <v>25</v>
      </c>
      <c r="JI38" s="1">
        <v>41</v>
      </c>
      <c r="JJ38" s="1">
        <v>17</v>
      </c>
      <c r="JK38" s="1">
        <v>26.692</v>
      </c>
      <c r="JL38" s="1">
        <v>121</v>
      </c>
      <c r="JM38" s="1">
        <v>25</v>
      </c>
      <c r="JN38" s="1">
        <v>27</v>
      </c>
      <c r="JO38" s="1">
        <v>42</v>
      </c>
      <c r="JP38" s="1">
        <v>21</v>
      </c>
      <c r="JQ38" s="1">
        <v>29.574000000000002</v>
      </c>
      <c r="JR38" s="1">
        <v>101</v>
      </c>
      <c r="JS38" s="1">
        <v>17</v>
      </c>
      <c r="JT38" s="1">
        <v>21</v>
      </c>
      <c r="JU38" s="1">
        <v>40</v>
      </c>
      <c r="JV38" s="1">
        <v>22</v>
      </c>
      <c r="JW38" s="1">
        <v>28.377000000000002</v>
      </c>
      <c r="JX38" s="1">
        <v>89</v>
      </c>
      <c r="JY38" s="1">
        <v>17</v>
      </c>
      <c r="JZ38" s="1">
        <v>20</v>
      </c>
      <c r="KA38" s="1">
        <v>45</v>
      </c>
      <c r="KB38" s="1">
        <v>19</v>
      </c>
      <c r="KC38" s="1">
        <v>26.179000000000002</v>
      </c>
      <c r="KD38" s="1">
        <v>115</v>
      </c>
      <c r="KE38" s="1">
        <v>12</v>
      </c>
      <c r="KF38" s="1">
        <v>22</v>
      </c>
      <c r="KG38" s="1">
        <v>41</v>
      </c>
      <c r="KH38" s="1">
        <v>21</v>
      </c>
      <c r="KI38" s="1">
        <v>29.315000000000001</v>
      </c>
      <c r="KJ38" s="1">
        <v>116</v>
      </c>
      <c r="KK38" s="1">
        <v>24</v>
      </c>
      <c r="KL38" s="1">
        <v>22</v>
      </c>
      <c r="KM38" s="1">
        <v>44</v>
      </c>
      <c r="KN38" s="1">
        <v>19</v>
      </c>
      <c r="KO38" s="1">
        <v>28.377000000000002</v>
      </c>
      <c r="KP38" s="1">
        <v>122</v>
      </c>
      <c r="KQ38" s="1">
        <v>26</v>
      </c>
      <c r="KR38" s="1">
        <v>27</v>
      </c>
      <c r="KS38" s="1">
        <v>45</v>
      </c>
      <c r="KT38" s="1">
        <v>21</v>
      </c>
      <c r="KU38" s="1">
        <v>28.977</v>
      </c>
      <c r="KV38" s="1">
        <v>105</v>
      </c>
      <c r="KW38" s="1">
        <v>16</v>
      </c>
      <c r="KX38" s="1">
        <v>22</v>
      </c>
      <c r="KY38" s="1">
        <v>45</v>
      </c>
      <c r="KZ38" s="1">
        <v>19</v>
      </c>
      <c r="LA38" s="1">
        <v>29.131</v>
      </c>
      <c r="LB38" s="1">
        <v>67</v>
      </c>
      <c r="LC38" s="1">
        <v>15</v>
      </c>
      <c r="LD38" s="1">
        <v>16</v>
      </c>
      <c r="LE38" s="1">
        <v>42</v>
      </c>
      <c r="LF38" s="1">
        <v>23</v>
      </c>
      <c r="LG38" s="1">
        <v>24.452000000000002</v>
      </c>
      <c r="LH38" s="1">
        <v>87</v>
      </c>
      <c r="LI38" s="1">
        <v>24</v>
      </c>
      <c r="LJ38" s="1">
        <v>21</v>
      </c>
      <c r="LK38" s="1">
        <v>44</v>
      </c>
      <c r="LL38" s="1">
        <v>18</v>
      </c>
      <c r="LM38" s="1">
        <v>25.304000000000002</v>
      </c>
      <c r="LN38" s="1">
        <v>102</v>
      </c>
      <c r="LO38" s="1">
        <v>22</v>
      </c>
      <c r="LP38" s="1">
        <v>22</v>
      </c>
      <c r="LQ38" s="1">
        <v>41</v>
      </c>
      <c r="LR38" s="1">
        <v>19</v>
      </c>
      <c r="LS38" s="1">
        <v>26.816000000000003</v>
      </c>
      <c r="LT38" s="1">
        <v>108</v>
      </c>
      <c r="LU38" s="1">
        <v>15</v>
      </c>
      <c r="LV38" s="1">
        <v>18</v>
      </c>
      <c r="LW38" s="1">
        <v>45</v>
      </c>
      <c r="LX38" s="1">
        <v>20</v>
      </c>
      <c r="LY38" s="1">
        <v>27.327000000000002</v>
      </c>
      <c r="LZ38" s="1">
        <v>90</v>
      </c>
      <c r="MA38" s="1">
        <v>21</v>
      </c>
      <c r="MB38" s="1">
        <v>26</v>
      </c>
      <c r="MC38" s="1">
        <v>42</v>
      </c>
      <c r="MD38" s="1">
        <v>16</v>
      </c>
      <c r="ME38" s="1">
        <v>25.967000000000002</v>
      </c>
      <c r="MF38" s="1">
        <v>89</v>
      </c>
      <c r="MG38" s="1">
        <v>21</v>
      </c>
      <c r="MH38" s="1">
        <v>23</v>
      </c>
      <c r="MI38" s="1">
        <v>43</v>
      </c>
      <c r="MJ38" s="1">
        <v>22</v>
      </c>
      <c r="MK38" s="1">
        <v>27.416</v>
      </c>
      <c r="ML38" s="1">
        <v>101</v>
      </c>
      <c r="MM38" s="1">
        <v>25</v>
      </c>
      <c r="MN38" s="1">
        <v>22</v>
      </c>
      <c r="MO38" s="1">
        <v>41</v>
      </c>
      <c r="MP38" s="1">
        <v>20</v>
      </c>
      <c r="MQ38" s="1">
        <v>26.582000000000001</v>
      </c>
      <c r="MR38" s="1">
        <v>125</v>
      </c>
      <c r="MS38" s="1">
        <v>18</v>
      </c>
      <c r="MT38" s="1">
        <v>24</v>
      </c>
      <c r="MU38" s="1">
        <v>45</v>
      </c>
      <c r="MV38" s="1">
        <v>22</v>
      </c>
      <c r="MW38" s="1">
        <v>30.128</v>
      </c>
    </row>
    <row r="39" spans="1:361">
      <c r="A39" s="1">
        <v>36</v>
      </c>
      <c r="B39" s="1">
        <v>69</v>
      </c>
      <c r="C39" s="1">
        <v>13</v>
      </c>
      <c r="D39" s="1">
        <v>20</v>
      </c>
      <c r="E39" s="1">
        <v>44</v>
      </c>
      <c r="F39" s="1">
        <v>21</v>
      </c>
      <c r="G39" s="1">
        <v>25.133000000000003</v>
      </c>
      <c r="H39" s="1">
        <v>84</v>
      </c>
      <c r="I39" s="1">
        <v>13</v>
      </c>
      <c r="J39" s="1">
        <v>20</v>
      </c>
      <c r="K39" s="1">
        <v>42</v>
      </c>
      <c r="L39" s="1">
        <v>21</v>
      </c>
      <c r="M39" s="1">
        <v>26.975000000000001</v>
      </c>
      <c r="N39" s="1">
        <v>77</v>
      </c>
      <c r="O39" s="1">
        <v>21</v>
      </c>
      <c r="P39" s="1">
        <v>22</v>
      </c>
      <c r="Q39" s="1">
        <v>43</v>
      </c>
      <c r="R39" s="1">
        <v>24</v>
      </c>
      <c r="S39" s="1">
        <v>26.054000000000002</v>
      </c>
      <c r="T39" s="1">
        <v>94</v>
      </c>
      <c r="U39" s="1">
        <v>15</v>
      </c>
      <c r="V39" s="1">
        <v>20</v>
      </c>
      <c r="W39" s="1">
        <v>43</v>
      </c>
      <c r="X39" s="1">
        <v>17</v>
      </c>
      <c r="Y39" s="1">
        <v>27.408000000000001</v>
      </c>
      <c r="Z39" s="1">
        <v>105</v>
      </c>
      <c r="AA39" s="1">
        <v>24</v>
      </c>
      <c r="AB39" s="1">
        <v>19</v>
      </c>
      <c r="AC39" s="1">
        <v>42</v>
      </c>
      <c r="AD39" s="1">
        <v>18</v>
      </c>
      <c r="AE39" s="1">
        <v>25.692</v>
      </c>
      <c r="AF39" s="1">
        <v>100</v>
      </c>
      <c r="AG39" s="1">
        <v>18</v>
      </c>
      <c r="AH39" s="1">
        <v>17</v>
      </c>
      <c r="AI39" s="1">
        <v>40</v>
      </c>
      <c r="AJ39" s="1">
        <v>21</v>
      </c>
      <c r="AK39" s="1">
        <v>25.983000000000001</v>
      </c>
      <c r="AL39" s="1">
        <v>117</v>
      </c>
      <c r="AM39" s="1">
        <v>22</v>
      </c>
      <c r="AN39" s="1">
        <v>25</v>
      </c>
      <c r="AO39" s="1">
        <v>46</v>
      </c>
      <c r="AP39" s="1">
        <v>22</v>
      </c>
      <c r="AQ39" s="1">
        <v>28.201000000000001</v>
      </c>
      <c r="AR39" s="1">
        <v>74</v>
      </c>
      <c r="AS39" s="1">
        <v>7</v>
      </c>
      <c r="AT39" s="1">
        <v>25</v>
      </c>
      <c r="AU39" s="1">
        <v>45</v>
      </c>
      <c r="AV39" s="1">
        <v>18</v>
      </c>
      <c r="AW39" s="1">
        <v>24.881</v>
      </c>
      <c r="AX39" s="1">
        <v>71</v>
      </c>
      <c r="AY39" s="1">
        <v>27</v>
      </c>
      <c r="AZ39" s="1">
        <v>16</v>
      </c>
      <c r="BA39" s="1">
        <v>43</v>
      </c>
      <c r="BB39" s="1">
        <v>22</v>
      </c>
      <c r="BC39" s="1">
        <v>25.241</v>
      </c>
      <c r="BD39" s="1">
        <v>67</v>
      </c>
      <c r="BE39" s="1">
        <v>21</v>
      </c>
      <c r="BF39" s="1">
        <v>20</v>
      </c>
      <c r="BG39" s="1">
        <v>42</v>
      </c>
      <c r="BH39" s="1">
        <v>17</v>
      </c>
      <c r="BI39" s="1">
        <v>24.459</v>
      </c>
      <c r="BJ39" s="1">
        <v>105</v>
      </c>
      <c r="BK39" s="1">
        <v>18</v>
      </c>
      <c r="BL39" s="1">
        <v>21</v>
      </c>
      <c r="BM39" s="1">
        <v>41</v>
      </c>
      <c r="BN39" s="1">
        <v>21</v>
      </c>
      <c r="BO39" s="1">
        <v>27.554000000000002</v>
      </c>
      <c r="BP39" s="1">
        <v>83</v>
      </c>
      <c r="BQ39" s="1">
        <v>25</v>
      </c>
      <c r="BR39" s="1">
        <v>19</v>
      </c>
      <c r="BS39" s="1">
        <v>46</v>
      </c>
      <c r="BT39" s="1">
        <v>21</v>
      </c>
      <c r="BU39" s="1">
        <v>26.509</v>
      </c>
      <c r="BV39" s="1">
        <v>120</v>
      </c>
      <c r="BW39" s="1">
        <v>17</v>
      </c>
      <c r="BX39" s="1">
        <v>21</v>
      </c>
      <c r="BY39" s="1">
        <v>42</v>
      </c>
      <c r="BZ39" s="1">
        <v>16</v>
      </c>
      <c r="CA39" s="1">
        <v>28.936</v>
      </c>
      <c r="CB39" s="1">
        <v>88</v>
      </c>
      <c r="CC39" s="1">
        <v>19</v>
      </c>
      <c r="CD39" s="1">
        <v>19</v>
      </c>
      <c r="CE39" s="1">
        <v>46</v>
      </c>
      <c r="CF39" s="1">
        <v>20</v>
      </c>
      <c r="CG39" s="1">
        <v>26.499000000000002</v>
      </c>
      <c r="CH39" s="1">
        <v>86</v>
      </c>
      <c r="CI39" s="1">
        <v>21</v>
      </c>
      <c r="CJ39" s="1">
        <v>19</v>
      </c>
      <c r="CK39" s="1">
        <v>42</v>
      </c>
      <c r="CL39" s="1">
        <v>17</v>
      </c>
      <c r="CM39" s="1">
        <v>25.975000000000001</v>
      </c>
      <c r="CN39" s="1">
        <v>96</v>
      </c>
      <c r="CO39" s="1">
        <v>21</v>
      </c>
      <c r="CP39" s="1">
        <v>21</v>
      </c>
      <c r="CQ39" s="1">
        <v>46</v>
      </c>
      <c r="CR39" s="1">
        <v>18</v>
      </c>
      <c r="CS39" s="1">
        <v>28.397000000000002</v>
      </c>
      <c r="CT39" s="1">
        <v>112</v>
      </c>
      <c r="CU39" s="1">
        <v>13</v>
      </c>
      <c r="CV39" s="1">
        <v>21</v>
      </c>
      <c r="CW39" s="1">
        <v>46</v>
      </c>
      <c r="CX39" s="1">
        <v>22</v>
      </c>
      <c r="CY39" s="1">
        <v>30.796000000000003</v>
      </c>
      <c r="CZ39" s="1">
        <v>109</v>
      </c>
      <c r="DA39" s="1">
        <v>12</v>
      </c>
      <c r="DB39" s="1">
        <v>21</v>
      </c>
      <c r="DC39" s="1">
        <v>43</v>
      </c>
      <c r="DD39" s="1">
        <v>21</v>
      </c>
      <c r="DE39" s="1">
        <v>26.702000000000002</v>
      </c>
      <c r="DF39" s="1">
        <v>103</v>
      </c>
      <c r="DG39" s="1">
        <v>15</v>
      </c>
      <c r="DH39" s="1">
        <v>21</v>
      </c>
      <c r="DI39" s="1">
        <v>43</v>
      </c>
      <c r="DJ39" s="1">
        <v>22</v>
      </c>
      <c r="DK39" s="1">
        <v>27.874000000000002</v>
      </c>
      <c r="DL39" s="1">
        <v>85</v>
      </c>
      <c r="DM39" s="1">
        <v>14</v>
      </c>
      <c r="DN39" s="1">
        <v>20</v>
      </c>
      <c r="DO39" s="1">
        <v>43</v>
      </c>
      <c r="DP39" s="1">
        <v>20</v>
      </c>
      <c r="DQ39" s="1">
        <v>25.904</v>
      </c>
      <c r="DR39" s="1">
        <v>127</v>
      </c>
      <c r="DS39" s="1">
        <v>21</v>
      </c>
      <c r="DT39" s="1">
        <v>28</v>
      </c>
      <c r="DU39" s="1">
        <v>45</v>
      </c>
      <c r="DV39" s="1">
        <v>22</v>
      </c>
      <c r="DW39" s="1">
        <v>29.645</v>
      </c>
      <c r="DX39" s="1">
        <v>118</v>
      </c>
      <c r="DY39" s="1">
        <v>12</v>
      </c>
      <c r="DZ39" s="1">
        <v>27</v>
      </c>
      <c r="EA39" s="1">
        <v>41</v>
      </c>
      <c r="EB39" s="1">
        <v>19</v>
      </c>
      <c r="EC39" s="1">
        <v>27.608000000000001</v>
      </c>
      <c r="ED39" s="1">
        <v>90</v>
      </c>
      <c r="EE39" s="1">
        <v>23</v>
      </c>
      <c r="EF39" s="1">
        <v>19</v>
      </c>
      <c r="EG39" s="1">
        <v>43</v>
      </c>
      <c r="EH39" s="1">
        <v>19</v>
      </c>
      <c r="EI39" s="1">
        <v>25.862000000000002</v>
      </c>
      <c r="EJ39" s="1">
        <v>122</v>
      </c>
      <c r="EK39" s="1">
        <v>12</v>
      </c>
      <c r="EL39" s="1">
        <v>24</v>
      </c>
      <c r="EM39" s="1">
        <v>42</v>
      </c>
      <c r="EN39" s="1">
        <v>16</v>
      </c>
      <c r="EO39" s="1">
        <v>28.448</v>
      </c>
      <c r="EP39" s="1">
        <v>72</v>
      </c>
      <c r="EQ39" s="1">
        <v>15</v>
      </c>
      <c r="ER39" s="1">
        <v>19</v>
      </c>
      <c r="ES39" s="1">
        <v>42</v>
      </c>
      <c r="ET39" s="1">
        <v>24</v>
      </c>
      <c r="EU39" s="1">
        <v>24.827000000000002</v>
      </c>
      <c r="EV39" s="1">
        <v>108</v>
      </c>
      <c r="EW39" s="1">
        <v>23</v>
      </c>
      <c r="EX39" s="1">
        <v>26</v>
      </c>
      <c r="EY39" s="1">
        <v>42</v>
      </c>
      <c r="EZ39" s="1">
        <v>22</v>
      </c>
      <c r="FA39" s="1">
        <v>29.018000000000001</v>
      </c>
      <c r="FB39" s="1">
        <v>119</v>
      </c>
      <c r="FC39" s="1">
        <v>23</v>
      </c>
      <c r="FD39" s="1">
        <v>27</v>
      </c>
      <c r="FE39" s="1">
        <v>44</v>
      </c>
      <c r="FF39" s="1">
        <v>19</v>
      </c>
      <c r="FG39" s="1">
        <v>30.983000000000001</v>
      </c>
      <c r="FH39" s="1">
        <v>98</v>
      </c>
      <c r="FI39" s="1">
        <v>22</v>
      </c>
      <c r="FJ39" s="1">
        <v>26</v>
      </c>
      <c r="FK39" s="1">
        <v>43</v>
      </c>
      <c r="FL39" s="1">
        <v>22</v>
      </c>
      <c r="FM39" s="1">
        <v>28.204000000000001</v>
      </c>
      <c r="FN39" s="1">
        <v>114</v>
      </c>
      <c r="FO39" s="1">
        <v>22</v>
      </c>
      <c r="FP39" s="1">
        <v>22</v>
      </c>
      <c r="FQ39" s="1">
        <v>40</v>
      </c>
      <c r="FR39" s="1">
        <v>21</v>
      </c>
      <c r="FS39" s="1">
        <v>27.276</v>
      </c>
      <c r="FT39" s="1">
        <v>78</v>
      </c>
      <c r="FU39" s="1">
        <v>12</v>
      </c>
      <c r="FV39" s="1">
        <v>22</v>
      </c>
      <c r="FW39" s="1">
        <v>41</v>
      </c>
      <c r="FX39" s="1">
        <v>18</v>
      </c>
      <c r="FY39" s="1">
        <v>25.131</v>
      </c>
      <c r="FZ39" s="1">
        <v>79</v>
      </c>
      <c r="GA39" s="1">
        <v>18</v>
      </c>
      <c r="GB39" s="1">
        <v>17</v>
      </c>
      <c r="GC39" s="1">
        <v>41</v>
      </c>
      <c r="GD39" s="1">
        <v>18</v>
      </c>
      <c r="GE39" s="1">
        <v>26.32</v>
      </c>
      <c r="GF39" s="1">
        <v>122</v>
      </c>
      <c r="GG39" s="1">
        <v>23</v>
      </c>
      <c r="GH39" s="1">
        <v>21</v>
      </c>
      <c r="GI39" s="1">
        <v>42</v>
      </c>
      <c r="GJ39" s="1">
        <v>20</v>
      </c>
      <c r="GK39" s="1">
        <v>28.327000000000002</v>
      </c>
      <c r="GL39" s="1">
        <v>67</v>
      </c>
      <c r="GM39" s="1">
        <v>21</v>
      </c>
      <c r="GN39" s="1">
        <v>22</v>
      </c>
      <c r="GO39" s="1">
        <v>44</v>
      </c>
      <c r="GP39" s="1">
        <v>19</v>
      </c>
      <c r="GQ39" s="1">
        <v>23.52</v>
      </c>
      <c r="GR39" s="1">
        <v>78</v>
      </c>
      <c r="GS39" s="1">
        <v>25</v>
      </c>
      <c r="GT39" s="1">
        <v>23</v>
      </c>
      <c r="GU39" s="1">
        <v>42</v>
      </c>
      <c r="GV39" s="1">
        <v>19</v>
      </c>
      <c r="GW39" s="1">
        <v>25.406000000000002</v>
      </c>
      <c r="GX39" s="1">
        <v>94</v>
      </c>
      <c r="GY39" s="1">
        <v>17</v>
      </c>
      <c r="GZ39" s="1">
        <v>21</v>
      </c>
      <c r="HA39" s="1">
        <v>41</v>
      </c>
      <c r="HB39" s="1">
        <v>16</v>
      </c>
      <c r="HC39" s="1">
        <v>26.656000000000002</v>
      </c>
      <c r="HD39" s="1">
        <v>77</v>
      </c>
      <c r="HE39" s="1">
        <v>13</v>
      </c>
      <c r="HF39" s="1">
        <v>17</v>
      </c>
      <c r="HG39" s="1">
        <v>40</v>
      </c>
      <c r="HH39" s="1">
        <v>23</v>
      </c>
      <c r="HI39" s="1">
        <v>25.432000000000002</v>
      </c>
      <c r="HJ39" s="1">
        <v>91</v>
      </c>
      <c r="HK39" s="1">
        <v>16</v>
      </c>
      <c r="HL39" s="1">
        <v>24</v>
      </c>
      <c r="HM39" s="1">
        <v>41</v>
      </c>
      <c r="HN39" s="1">
        <v>24</v>
      </c>
      <c r="HO39" s="1">
        <v>25.752000000000002</v>
      </c>
      <c r="HP39" s="1">
        <v>75</v>
      </c>
      <c r="HQ39" s="1">
        <v>13</v>
      </c>
      <c r="HR39" s="1">
        <v>23</v>
      </c>
      <c r="HS39" s="1">
        <v>41</v>
      </c>
      <c r="HT39" s="1">
        <v>18</v>
      </c>
      <c r="HU39" s="1">
        <v>25.112000000000002</v>
      </c>
      <c r="HV39" s="1">
        <v>120</v>
      </c>
      <c r="HW39" s="1">
        <v>17</v>
      </c>
      <c r="HX39" s="1">
        <v>24</v>
      </c>
      <c r="HY39" s="1">
        <v>41</v>
      </c>
      <c r="HZ39" s="1">
        <v>18</v>
      </c>
      <c r="IA39" s="1">
        <v>29.451000000000001</v>
      </c>
      <c r="IB39" s="1">
        <v>71</v>
      </c>
      <c r="IC39" s="1">
        <v>22</v>
      </c>
      <c r="ID39" s="1">
        <v>19</v>
      </c>
      <c r="IE39" s="1">
        <v>41</v>
      </c>
      <c r="IF39" s="1">
        <v>15</v>
      </c>
      <c r="IG39" s="1">
        <v>25.006</v>
      </c>
      <c r="IH39" s="1">
        <v>101</v>
      </c>
      <c r="II39" s="1">
        <v>19</v>
      </c>
      <c r="IJ39" s="1">
        <v>23</v>
      </c>
      <c r="IK39" s="1">
        <v>43</v>
      </c>
      <c r="IL39" s="1">
        <v>18</v>
      </c>
      <c r="IM39" s="1">
        <v>26.876000000000001</v>
      </c>
      <c r="IN39" s="1">
        <v>127</v>
      </c>
      <c r="IO39" s="1">
        <v>31</v>
      </c>
      <c r="IP39" s="1">
        <v>25</v>
      </c>
      <c r="IQ39" s="1">
        <v>44</v>
      </c>
      <c r="IR39" s="1">
        <v>22</v>
      </c>
      <c r="IS39" s="1">
        <v>29.553000000000001</v>
      </c>
      <c r="IT39" s="1">
        <v>84</v>
      </c>
      <c r="IU39" s="1">
        <v>22</v>
      </c>
      <c r="IV39" s="1">
        <v>21</v>
      </c>
      <c r="IW39" s="1">
        <v>43</v>
      </c>
      <c r="IX39" s="1">
        <v>23</v>
      </c>
      <c r="IY39" s="1">
        <v>26.237000000000002</v>
      </c>
      <c r="IZ39" s="1">
        <v>124</v>
      </c>
      <c r="JA39" s="1">
        <v>24</v>
      </c>
      <c r="JB39" s="1">
        <v>27</v>
      </c>
      <c r="JC39" s="1">
        <v>45</v>
      </c>
      <c r="JD39" s="1">
        <v>21</v>
      </c>
      <c r="JE39" s="1">
        <v>31.132000000000001</v>
      </c>
      <c r="JF39" s="1">
        <v>87</v>
      </c>
      <c r="JG39" s="1">
        <v>15</v>
      </c>
      <c r="JH39" s="1">
        <v>18</v>
      </c>
      <c r="JI39" s="1">
        <v>42</v>
      </c>
      <c r="JJ39" s="1">
        <v>20</v>
      </c>
      <c r="JK39" s="1">
        <v>26.587</v>
      </c>
      <c r="JL39" s="1">
        <v>105</v>
      </c>
      <c r="JM39" s="1">
        <v>19</v>
      </c>
      <c r="JN39" s="1">
        <v>22</v>
      </c>
      <c r="JO39" s="1">
        <v>42</v>
      </c>
      <c r="JP39" s="1">
        <v>18</v>
      </c>
      <c r="JQ39" s="1">
        <v>26.662000000000003</v>
      </c>
      <c r="JR39" s="1">
        <v>76</v>
      </c>
      <c r="JS39" s="1">
        <v>31</v>
      </c>
      <c r="JT39" s="1">
        <v>16</v>
      </c>
      <c r="JU39" s="1">
        <v>45</v>
      </c>
      <c r="JV39" s="1">
        <v>19</v>
      </c>
      <c r="JW39" s="1">
        <v>25.565000000000001</v>
      </c>
      <c r="JX39" s="1">
        <v>125</v>
      </c>
      <c r="JY39" s="1">
        <v>27</v>
      </c>
      <c r="JZ39" s="1">
        <v>24</v>
      </c>
      <c r="KA39" s="1">
        <v>43</v>
      </c>
      <c r="KB39" s="1">
        <v>20</v>
      </c>
      <c r="KC39" s="1">
        <v>29.68</v>
      </c>
      <c r="KD39" s="1">
        <v>128</v>
      </c>
      <c r="KE39" s="1">
        <v>22</v>
      </c>
      <c r="KF39" s="1">
        <v>25</v>
      </c>
      <c r="KG39" s="1">
        <v>41</v>
      </c>
      <c r="KH39" s="1">
        <v>16</v>
      </c>
      <c r="KI39" s="1">
        <v>28.398</v>
      </c>
      <c r="KJ39" s="1">
        <v>83</v>
      </c>
      <c r="KK39" s="1">
        <v>11</v>
      </c>
      <c r="KL39" s="1">
        <v>20</v>
      </c>
      <c r="KM39" s="1">
        <v>44</v>
      </c>
      <c r="KN39" s="1">
        <v>21</v>
      </c>
      <c r="KO39" s="1">
        <v>26.337</v>
      </c>
      <c r="KP39" s="1">
        <v>103</v>
      </c>
      <c r="KQ39" s="1">
        <v>22</v>
      </c>
      <c r="KR39" s="1">
        <v>25</v>
      </c>
      <c r="KS39" s="1">
        <v>41</v>
      </c>
      <c r="KT39" s="1">
        <v>18</v>
      </c>
      <c r="KU39" s="1">
        <v>24.356000000000002</v>
      </c>
      <c r="KV39" s="1">
        <v>118</v>
      </c>
      <c r="KW39" s="1">
        <v>21</v>
      </c>
      <c r="KX39" s="1">
        <v>20</v>
      </c>
      <c r="KY39" s="1">
        <v>42</v>
      </c>
      <c r="KZ39" s="1">
        <v>20</v>
      </c>
      <c r="LA39" s="1">
        <v>27.762</v>
      </c>
      <c r="LB39" s="1">
        <v>122</v>
      </c>
      <c r="LC39" s="1">
        <v>17</v>
      </c>
      <c r="LD39" s="1">
        <v>29</v>
      </c>
      <c r="LE39" s="1">
        <v>44</v>
      </c>
      <c r="LF39" s="1">
        <v>24</v>
      </c>
      <c r="LG39" s="1">
        <v>29.713000000000001</v>
      </c>
      <c r="LH39" s="1">
        <v>98</v>
      </c>
      <c r="LI39" s="1">
        <v>27</v>
      </c>
      <c r="LJ39" s="1">
        <v>25</v>
      </c>
      <c r="LK39" s="1">
        <v>44</v>
      </c>
      <c r="LL39" s="1">
        <v>19</v>
      </c>
      <c r="LM39" s="1">
        <v>27.115000000000002</v>
      </c>
      <c r="LN39" s="1">
        <v>66</v>
      </c>
      <c r="LO39" s="1">
        <v>26</v>
      </c>
      <c r="LP39" s="1">
        <v>18</v>
      </c>
      <c r="LQ39" s="1">
        <v>42</v>
      </c>
      <c r="LR39" s="1">
        <v>20</v>
      </c>
      <c r="LS39" s="1">
        <v>24.496000000000002</v>
      </c>
      <c r="LT39" s="1">
        <v>111</v>
      </c>
      <c r="LU39" s="1">
        <v>22</v>
      </c>
      <c r="LV39" s="1">
        <v>25</v>
      </c>
      <c r="LW39" s="1">
        <v>40</v>
      </c>
      <c r="LX39" s="1">
        <v>19</v>
      </c>
      <c r="LY39" s="1">
        <v>28.108000000000001</v>
      </c>
      <c r="LZ39" s="1">
        <v>104</v>
      </c>
      <c r="MA39" s="1">
        <v>20</v>
      </c>
      <c r="MB39" s="1">
        <v>22</v>
      </c>
      <c r="MC39" s="1">
        <v>45</v>
      </c>
      <c r="MD39" s="1">
        <v>22</v>
      </c>
      <c r="ME39" s="1">
        <v>29.702000000000002</v>
      </c>
      <c r="MF39" s="1">
        <v>88</v>
      </c>
      <c r="MG39" s="1">
        <v>14</v>
      </c>
      <c r="MH39" s="1">
        <v>22</v>
      </c>
      <c r="MI39" s="1">
        <v>44</v>
      </c>
      <c r="MJ39" s="1">
        <v>22</v>
      </c>
      <c r="MK39" s="1">
        <v>25.072000000000003</v>
      </c>
      <c r="ML39" s="1">
        <v>110</v>
      </c>
      <c r="MM39" s="1">
        <v>18</v>
      </c>
      <c r="MN39" s="1">
        <v>22</v>
      </c>
      <c r="MO39" s="1">
        <v>41</v>
      </c>
      <c r="MP39" s="1">
        <v>22</v>
      </c>
      <c r="MQ39" s="1">
        <v>27.846</v>
      </c>
      <c r="MR39" s="1">
        <v>126</v>
      </c>
      <c r="MS39" s="1">
        <v>16</v>
      </c>
      <c r="MT39" s="1">
        <v>21</v>
      </c>
      <c r="MU39" s="1">
        <v>44</v>
      </c>
      <c r="MV39" s="1">
        <v>21</v>
      </c>
      <c r="MW39" s="1">
        <v>31.011000000000003</v>
      </c>
    </row>
    <row r="40" spans="1:361">
      <c r="A40" s="1">
        <v>37</v>
      </c>
      <c r="B40" s="1">
        <v>118</v>
      </c>
      <c r="C40" s="1">
        <v>21</v>
      </c>
      <c r="D40" s="1">
        <v>22</v>
      </c>
      <c r="E40" s="1">
        <v>44</v>
      </c>
      <c r="F40" s="1">
        <v>23</v>
      </c>
      <c r="G40" s="1">
        <v>28.749000000000002</v>
      </c>
      <c r="H40" s="1">
        <v>80</v>
      </c>
      <c r="I40" s="1">
        <v>20</v>
      </c>
      <c r="J40" s="1">
        <v>17</v>
      </c>
      <c r="K40" s="1">
        <v>40</v>
      </c>
      <c r="L40" s="1">
        <v>20</v>
      </c>
      <c r="M40" s="1">
        <v>23.885000000000002</v>
      </c>
      <c r="N40" s="1">
        <v>109</v>
      </c>
      <c r="O40" s="1">
        <v>26</v>
      </c>
      <c r="P40" s="1">
        <v>19</v>
      </c>
      <c r="Q40" s="1">
        <v>46</v>
      </c>
      <c r="R40" s="1">
        <v>22</v>
      </c>
      <c r="S40" s="1">
        <v>27.406000000000002</v>
      </c>
      <c r="T40" s="1">
        <v>99</v>
      </c>
      <c r="U40" s="1">
        <v>20</v>
      </c>
      <c r="V40" s="1">
        <v>20</v>
      </c>
      <c r="W40" s="1">
        <v>42</v>
      </c>
      <c r="X40" s="1">
        <v>21</v>
      </c>
      <c r="Y40" s="1">
        <v>26.46</v>
      </c>
      <c r="Z40" s="1">
        <v>69</v>
      </c>
      <c r="AA40" s="1">
        <v>14</v>
      </c>
      <c r="AB40" s="1">
        <v>22</v>
      </c>
      <c r="AC40" s="1">
        <v>41</v>
      </c>
      <c r="AD40" s="1">
        <v>15</v>
      </c>
      <c r="AE40" s="1">
        <v>23.832000000000001</v>
      </c>
      <c r="AF40" s="1">
        <v>105</v>
      </c>
      <c r="AG40" s="1">
        <v>20</v>
      </c>
      <c r="AH40" s="1">
        <v>22</v>
      </c>
      <c r="AI40" s="1">
        <v>46</v>
      </c>
      <c r="AJ40" s="1">
        <v>23</v>
      </c>
      <c r="AK40" s="1">
        <v>28.189</v>
      </c>
      <c r="AL40" s="1">
        <v>118</v>
      </c>
      <c r="AM40" s="1">
        <v>22</v>
      </c>
      <c r="AN40" s="1">
        <v>24</v>
      </c>
      <c r="AO40" s="1">
        <v>40</v>
      </c>
      <c r="AP40" s="1">
        <v>22</v>
      </c>
      <c r="AQ40" s="1">
        <v>29.461000000000002</v>
      </c>
      <c r="AR40" s="1">
        <v>83</v>
      </c>
      <c r="AS40" s="1">
        <v>13</v>
      </c>
      <c r="AT40" s="1">
        <v>22</v>
      </c>
      <c r="AU40" s="1">
        <v>43</v>
      </c>
      <c r="AV40" s="1">
        <v>19</v>
      </c>
      <c r="AW40" s="1">
        <v>25.636000000000003</v>
      </c>
      <c r="AX40" s="1">
        <v>97</v>
      </c>
      <c r="AY40" s="1">
        <v>9</v>
      </c>
      <c r="AZ40" s="1">
        <v>23</v>
      </c>
      <c r="BA40" s="1">
        <v>42</v>
      </c>
      <c r="BB40" s="1">
        <v>19</v>
      </c>
      <c r="BC40" s="1">
        <v>26.884</v>
      </c>
      <c r="BD40" s="1">
        <v>68</v>
      </c>
      <c r="BE40" s="1">
        <v>17</v>
      </c>
      <c r="BF40" s="1">
        <v>18</v>
      </c>
      <c r="BG40" s="1">
        <v>44</v>
      </c>
      <c r="BH40" s="1">
        <v>21</v>
      </c>
      <c r="BI40" s="1">
        <v>25.26</v>
      </c>
      <c r="BJ40" s="1">
        <v>98</v>
      </c>
      <c r="BK40" s="1">
        <v>22</v>
      </c>
      <c r="BL40" s="1">
        <v>27</v>
      </c>
      <c r="BM40" s="1">
        <v>41</v>
      </c>
      <c r="BN40" s="1">
        <v>18</v>
      </c>
      <c r="BO40" s="1">
        <v>26.056000000000001</v>
      </c>
      <c r="BP40" s="1">
        <v>112</v>
      </c>
      <c r="BQ40" s="1">
        <v>21</v>
      </c>
      <c r="BR40" s="1">
        <v>21</v>
      </c>
      <c r="BS40" s="1">
        <v>42</v>
      </c>
      <c r="BT40" s="1">
        <v>18</v>
      </c>
      <c r="BU40" s="1">
        <v>28.062000000000001</v>
      </c>
      <c r="BV40" s="1">
        <v>115</v>
      </c>
      <c r="BW40" s="1">
        <v>18</v>
      </c>
      <c r="BX40" s="1">
        <v>23</v>
      </c>
      <c r="BY40" s="1">
        <v>42</v>
      </c>
      <c r="BZ40" s="1">
        <v>20</v>
      </c>
      <c r="CA40" s="1">
        <v>29.608000000000001</v>
      </c>
      <c r="CB40" s="1">
        <v>119</v>
      </c>
      <c r="CC40" s="1">
        <v>27</v>
      </c>
      <c r="CD40" s="1">
        <v>22</v>
      </c>
      <c r="CE40" s="1">
        <v>46</v>
      </c>
      <c r="CF40" s="1">
        <v>20</v>
      </c>
      <c r="CG40" s="1">
        <v>27.914000000000001</v>
      </c>
      <c r="CH40" s="1">
        <v>73</v>
      </c>
      <c r="CI40" s="1">
        <v>20</v>
      </c>
      <c r="CJ40" s="1">
        <v>19</v>
      </c>
      <c r="CK40" s="1">
        <v>41</v>
      </c>
      <c r="CL40" s="1">
        <v>18</v>
      </c>
      <c r="CM40" s="1">
        <v>25.806000000000001</v>
      </c>
      <c r="CN40" s="1">
        <v>119</v>
      </c>
      <c r="CO40" s="1">
        <v>26</v>
      </c>
      <c r="CP40" s="1">
        <v>26</v>
      </c>
      <c r="CQ40" s="1">
        <v>41</v>
      </c>
      <c r="CR40" s="1">
        <v>21</v>
      </c>
      <c r="CS40" s="1">
        <v>27.673000000000002</v>
      </c>
      <c r="CT40" s="1">
        <v>125</v>
      </c>
      <c r="CU40" s="1">
        <v>26</v>
      </c>
      <c r="CV40" s="1">
        <v>23</v>
      </c>
      <c r="CW40" s="1">
        <v>45</v>
      </c>
      <c r="CX40" s="1">
        <v>20</v>
      </c>
      <c r="CY40" s="1">
        <v>29.772000000000002</v>
      </c>
      <c r="CZ40" s="1">
        <v>82</v>
      </c>
      <c r="DA40" s="1">
        <v>15</v>
      </c>
      <c r="DB40" s="1">
        <v>22</v>
      </c>
      <c r="DC40" s="1">
        <v>43</v>
      </c>
      <c r="DD40" s="1">
        <v>20</v>
      </c>
      <c r="DE40" s="1">
        <v>25.075000000000003</v>
      </c>
      <c r="DF40" s="1">
        <v>73</v>
      </c>
      <c r="DG40" s="1">
        <v>16</v>
      </c>
      <c r="DH40" s="1">
        <v>19</v>
      </c>
      <c r="DI40" s="1">
        <v>42</v>
      </c>
      <c r="DJ40" s="1">
        <v>21</v>
      </c>
      <c r="DK40" s="1">
        <v>26.115000000000002</v>
      </c>
      <c r="DL40" s="1">
        <v>128</v>
      </c>
      <c r="DM40" s="1">
        <v>21</v>
      </c>
      <c r="DN40" s="1">
        <v>29</v>
      </c>
      <c r="DO40" s="1">
        <v>43</v>
      </c>
      <c r="DP40" s="1">
        <v>20</v>
      </c>
      <c r="DQ40" s="1">
        <v>28.758000000000003</v>
      </c>
      <c r="DR40" s="1">
        <v>111</v>
      </c>
      <c r="DS40" s="1">
        <v>20</v>
      </c>
      <c r="DT40" s="1">
        <v>17</v>
      </c>
      <c r="DU40" s="1">
        <v>42</v>
      </c>
      <c r="DV40" s="1">
        <v>19</v>
      </c>
      <c r="DW40" s="1">
        <v>28.217000000000002</v>
      </c>
      <c r="DX40" s="1">
        <v>119</v>
      </c>
      <c r="DY40" s="1">
        <v>15</v>
      </c>
      <c r="DZ40" s="1">
        <v>25</v>
      </c>
      <c r="EA40" s="1">
        <v>43</v>
      </c>
      <c r="EB40" s="1">
        <v>20</v>
      </c>
      <c r="EC40" s="1">
        <v>28.556000000000001</v>
      </c>
      <c r="ED40" s="1">
        <v>111</v>
      </c>
      <c r="EE40" s="1">
        <v>25</v>
      </c>
      <c r="EF40" s="1">
        <v>21</v>
      </c>
      <c r="EG40" s="1">
        <v>44</v>
      </c>
      <c r="EH40" s="1">
        <v>21</v>
      </c>
      <c r="EI40" s="1">
        <v>28.659000000000002</v>
      </c>
      <c r="EJ40" s="1">
        <v>119</v>
      </c>
      <c r="EK40" s="1">
        <v>15</v>
      </c>
      <c r="EL40" s="1">
        <v>23</v>
      </c>
      <c r="EM40" s="1">
        <v>44</v>
      </c>
      <c r="EN40" s="1">
        <v>21</v>
      </c>
      <c r="EO40" s="1">
        <v>27.589000000000002</v>
      </c>
      <c r="EP40" s="1">
        <v>113</v>
      </c>
      <c r="EQ40" s="1">
        <v>23</v>
      </c>
      <c r="ER40" s="1">
        <v>26</v>
      </c>
      <c r="ES40" s="1">
        <v>44</v>
      </c>
      <c r="ET40" s="1">
        <v>19</v>
      </c>
      <c r="EU40" s="1">
        <v>28.068000000000001</v>
      </c>
      <c r="EV40" s="1">
        <v>98</v>
      </c>
      <c r="EW40" s="1">
        <v>13</v>
      </c>
      <c r="EX40" s="1">
        <v>24</v>
      </c>
      <c r="EY40" s="1">
        <v>47</v>
      </c>
      <c r="EZ40" s="1">
        <v>19</v>
      </c>
      <c r="FA40" s="1">
        <v>30.231000000000002</v>
      </c>
      <c r="FB40" s="1">
        <v>69</v>
      </c>
      <c r="FC40" s="1">
        <v>22</v>
      </c>
      <c r="FD40" s="1">
        <v>19</v>
      </c>
      <c r="FE40" s="1">
        <v>45</v>
      </c>
      <c r="FF40" s="1">
        <v>20</v>
      </c>
      <c r="FG40" s="1">
        <v>25.391999999999999</v>
      </c>
      <c r="FH40" s="1">
        <v>110</v>
      </c>
      <c r="FI40" s="1">
        <v>19</v>
      </c>
      <c r="FJ40" s="1">
        <v>19</v>
      </c>
      <c r="FK40" s="1">
        <v>40</v>
      </c>
      <c r="FL40" s="1">
        <v>19</v>
      </c>
      <c r="FM40" s="1">
        <v>27.001000000000001</v>
      </c>
      <c r="FN40" s="1">
        <v>75</v>
      </c>
      <c r="FO40" s="1">
        <v>17</v>
      </c>
      <c r="FP40" s="1">
        <v>19</v>
      </c>
      <c r="FQ40" s="1">
        <v>42</v>
      </c>
      <c r="FR40" s="1">
        <v>17</v>
      </c>
      <c r="FS40" s="1">
        <v>24.976000000000003</v>
      </c>
      <c r="FT40" s="1">
        <v>122</v>
      </c>
      <c r="FU40" s="1">
        <v>19</v>
      </c>
      <c r="FV40" s="1">
        <v>30</v>
      </c>
      <c r="FW40" s="1">
        <v>44</v>
      </c>
      <c r="FX40" s="1">
        <v>21</v>
      </c>
      <c r="FY40" s="1">
        <v>28.201000000000001</v>
      </c>
      <c r="FZ40" s="1">
        <v>80</v>
      </c>
      <c r="GA40" s="1">
        <v>13</v>
      </c>
      <c r="GB40" s="1">
        <v>20</v>
      </c>
      <c r="GC40" s="1">
        <v>46</v>
      </c>
      <c r="GD40" s="1">
        <v>24</v>
      </c>
      <c r="GE40" s="1">
        <v>27.864000000000001</v>
      </c>
      <c r="GF40" s="1">
        <v>104</v>
      </c>
      <c r="GG40" s="1">
        <v>22</v>
      </c>
      <c r="GH40" s="1">
        <v>22</v>
      </c>
      <c r="GI40" s="1">
        <v>48</v>
      </c>
      <c r="GJ40" s="1">
        <v>23</v>
      </c>
      <c r="GK40" s="1">
        <v>29.903000000000002</v>
      </c>
      <c r="GL40" s="1">
        <v>90</v>
      </c>
      <c r="GM40" s="1">
        <v>19</v>
      </c>
      <c r="GN40" s="1">
        <v>18</v>
      </c>
      <c r="GO40" s="1">
        <v>40</v>
      </c>
      <c r="GP40" s="1">
        <v>20</v>
      </c>
      <c r="GQ40" s="1">
        <v>26.263000000000002</v>
      </c>
      <c r="GR40" s="1">
        <v>89</v>
      </c>
      <c r="GS40" s="1">
        <v>16</v>
      </c>
      <c r="GT40" s="1">
        <v>19</v>
      </c>
      <c r="GU40" s="1">
        <v>40</v>
      </c>
      <c r="GV40" s="1">
        <v>20</v>
      </c>
      <c r="GW40" s="1">
        <v>26.450000000000003</v>
      </c>
      <c r="GX40" s="1">
        <v>78</v>
      </c>
      <c r="GY40" s="1">
        <v>24</v>
      </c>
      <c r="GZ40" s="1">
        <v>19</v>
      </c>
      <c r="HA40" s="1">
        <v>47</v>
      </c>
      <c r="HB40" s="1">
        <v>18</v>
      </c>
      <c r="HC40" s="1">
        <v>26.108000000000001</v>
      </c>
      <c r="HD40" s="1">
        <v>87</v>
      </c>
      <c r="HE40" s="1">
        <v>19</v>
      </c>
      <c r="HF40" s="1">
        <v>22</v>
      </c>
      <c r="HG40" s="1">
        <v>40</v>
      </c>
      <c r="HH40" s="1">
        <v>19</v>
      </c>
      <c r="HI40" s="1">
        <v>24.081</v>
      </c>
      <c r="HJ40" s="1">
        <v>76</v>
      </c>
      <c r="HK40" s="1">
        <v>22</v>
      </c>
      <c r="HL40" s="1">
        <v>20</v>
      </c>
      <c r="HM40" s="1">
        <v>39</v>
      </c>
      <c r="HN40" s="1">
        <v>20</v>
      </c>
      <c r="HO40" s="1">
        <v>25.308</v>
      </c>
      <c r="HP40" s="1">
        <v>116</v>
      </c>
      <c r="HQ40" s="1">
        <v>20</v>
      </c>
      <c r="HR40" s="1">
        <v>22</v>
      </c>
      <c r="HS40" s="1">
        <v>39</v>
      </c>
      <c r="HT40" s="1">
        <v>22</v>
      </c>
      <c r="HU40" s="1">
        <v>28.047000000000001</v>
      </c>
      <c r="HV40" s="1">
        <v>73</v>
      </c>
      <c r="HW40" s="1">
        <v>23</v>
      </c>
      <c r="HX40" s="1">
        <v>20</v>
      </c>
      <c r="HY40" s="1">
        <v>43</v>
      </c>
      <c r="HZ40" s="1">
        <v>18</v>
      </c>
      <c r="IA40" s="1">
        <v>27.673000000000002</v>
      </c>
      <c r="IB40" s="1">
        <v>101</v>
      </c>
      <c r="IC40" s="1">
        <v>15</v>
      </c>
      <c r="ID40" s="1">
        <v>22</v>
      </c>
      <c r="IE40" s="1">
        <v>40</v>
      </c>
      <c r="IF40" s="1">
        <v>20</v>
      </c>
      <c r="IG40" s="1">
        <v>25.867000000000001</v>
      </c>
      <c r="IH40" s="1">
        <v>108</v>
      </c>
      <c r="II40" s="1">
        <v>22</v>
      </c>
      <c r="IJ40" s="1">
        <v>23</v>
      </c>
      <c r="IK40" s="1">
        <v>42</v>
      </c>
      <c r="IL40" s="1">
        <v>22</v>
      </c>
      <c r="IM40" s="1">
        <v>29.135000000000002</v>
      </c>
      <c r="IN40" s="1">
        <v>92</v>
      </c>
      <c r="IO40" s="1">
        <v>18</v>
      </c>
      <c r="IP40" s="1">
        <v>19</v>
      </c>
      <c r="IQ40" s="1">
        <v>43</v>
      </c>
      <c r="IR40" s="1">
        <v>23</v>
      </c>
      <c r="IS40" s="1">
        <v>26.360000000000003</v>
      </c>
      <c r="IT40" s="1">
        <v>81</v>
      </c>
      <c r="IU40" s="1">
        <v>18</v>
      </c>
      <c r="IV40" s="1">
        <v>21</v>
      </c>
      <c r="IW40" s="1">
        <v>43</v>
      </c>
      <c r="IX40" s="1">
        <v>21</v>
      </c>
      <c r="IY40" s="1">
        <v>26.378</v>
      </c>
      <c r="IZ40" s="1">
        <v>77</v>
      </c>
      <c r="JA40" s="1">
        <v>22</v>
      </c>
      <c r="JB40" s="1">
        <v>19</v>
      </c>
      <c r="JC40" s="1">
        <v>45</v>
      </c>
      <c r="JD40" s="1">
        <v>18</v>
      </c>
      <c r="JE40" s="1">
        <v>25.637</v>
      </c>
      <c r="JF40" s="1">
        <v>124</v>
      </c>
      <c r="JG40" s="1">
        <v>22</v>
      </c>
      <c r="JH40" s="1">
        <v>28</v>
      </c>
      <c r="JI40" s="1">
        <v>45</v>
      </c>
      <c r="JJ40" s="1">
        <v>18</v>
      </c>
      <c r="JK40" s="1">
        <v>29.838000000000001</v>
      </c>
      <c r="JL40" s="1">
        <v>109</v>
      </c>
      <c r="JM40" s="1">
        <v>20</v>
      </c>
      <c r="JN40" s="1">
        <v>25</v>
      </c>
      <c r="JO40" s="1">
        <v>43</v>
      </c>
      <c r="JP40" s="1">
        <v>23</v>
      </c>
      <c r="JQ40" s="1">
        <v>27.685000000000002</v>
      </c>
      <c r="JR40" s="1">
        <v>108</v>
      </c>
      <c r="JS40" s="1">
        <v>18</v>
      </c>
      <c r="JT40" s="1">
        <v>20</v>
      </c>
      <c r="JU40" s="1">
        <v>45</v>
      </c>
      <c r="JV40" s="1">
        <v>18</v>
      </c>
      <c r="JW40" s="1">
        <v>28.842000000000002</v>
      </c>
      <c r="JX40" s="1">
        <v>93</v>
      </c>
      <c r="JY40" s="1">
        <v>22</v>
      </c>
      <c r="JZ40" s="1">
        <v>22</v>
      </c>
      <c r="KA40" s="1">
        <v>39</v>
      </c>
      <c r="KB40" s="1">
        <v>19</v>
      </c>
      <c r="KC40" s="1">
        <v>26.816000000000003</v>
      </c>
      <c r="KD40" s="1">
        <v>112</v>
      </c>
      <c r="KE40" s="1">
        <v>19</v>
      </c>
      <c r="KF40" s="1">
        <v>28</v>
      </c>
      <c r="KG40" s="1">
        <v>45</v>
      </c>
      <c r="KH40" s="1">
        <v>18</v>
      </c>
      <c r="KI40" s="1">
        <v>27.610000000000003</v>
      </c>
      <c r="KJ40" s="1">
        <v>94</v>
      </c>
      <c r="KK40" s="1">
        <v>17</v>
      </c>
      <c r="KL40" s="1">
        <v>19</v>
      </c>
      <c r="KM40" s="1">
        <v>44</v>
      </c>
      <c r="KN40" s="1">
        <v>19</v>
      </c>
      <c r="KO40" s="1">
        <v>28.754000000000001</v>
      </c>
      <c r="KP40" s="1">
        <v>123</v>
      </c>
      <c r="KQ40" s="1">
        <v>17</v>
      </c>
      <c r="KR40" s="1">
        <v>26</v>
      </c>
      <c r="KS40" s="1">
        <v>44</v>
      </c>
      <c r="KT40" s="1">
        <v>20</v>
      </c>
      <c r="KU40" s="1">
        <v>30.808</v>
      </c>
      <c r="KV40" s="1">
        <v>85</v>
      </c>
      <c r="KW40" s="1">
        <v>18</v>
      </c>
      <c r="KX40" s="1">
        <v>18</v>
      </c>
      <c r="KY40" s="1">
        <v>44</v>
      </c>
      <c r="KZ40" s="1">
        <v>23</v>
      </c>
      <c r="LA40" s="1">
        <v>26.317</v>
      </c>
      <c r="LB40" s="1">
        <v>126</v>
      </c>
      <c r="LC40" s="1">
        <v>23</v>
      </c>
      <c r="LD40" s="1">
        <v>25</v>
      </c>
      <c r="LE40" s="1">
        <v>39</v>
      </c>
      <c r="LF40" s="1">
        <v>19</v>
      </c>
      <c r="LG40" s="1">
        <v>27.284000000000002</v>
      </c>
      <c r="LH40" s="1">
        <v>105</v>
      </c>
      <c r="LI40" s="1">
        <v>27</v>
      </c>
      <c r="LJ40" s="1">
        <v>20</v>
      </c>
      <c r="LK40" s="1">
        <v>45</v>
      </c>
      <c r="LL40" s="1">
        <v>20</v>
      </c>
      <c r="LM40" s="1">
        <v>28.245000000000001</v>
      </c>
      <c r="LN40" s="1">
        <v>124</v>
      </c>
      <c r="LO40" s="1">
        <v>25</v>
      </c>
      <c r="LP40" s="1">
        <v>27</v>
      </c>
      <c r="LQ40" s="1">
        <v>44</v>
      </c>
      <c r="LR40" s="1">
        <v>19</v>
      </c>
      <c r="LS40" s="1">
        <v>30.097000000000001</v>
      </c>
      <c r="LT40" s="1">
        <v>126</v>
      </c>
      <c r="LU40" s="1">
        <v>13</v>
      </c>
      <c r="LV40" s="1">
        <v>27</v>
      </c>
      <c r="LW40" s="1">
        <v>40</v>
      </c>
      <c r="LX40" s="1">
        <v>18</v>
      </c>
      <c r="LY40" s="1">
        <v>28.891999999999999</v>
      </c>
      <c r="LZ40" s="1">
        <v>95</v>
      </c>
      <c r="MA40" s="1">
        <v>19</v>
      </c>
      <c r="MB40" s="1">
        <v>22</v>
      </c>
      <c r="MC40" s="1">
        <v>42</v>
      </c>
      <c r="MD40" s="1">
        <v>20</v>
      </c>
      <c r="ME40" s="1">
        <v>26.98</v>
      </c>
      <c r="MF40" s="1">
        <v>72</v>
      </c>
      <c r="MG40" s="1">
        <v>14</v>
      </c>
      <c r="MH40" s="1">
        <v>20</v>
      </c>
      <c r="MI40" s="1">
        <v>41</v>
      </c>
      <c r="MJ40" s="1">
        <v>21</v>
      </c>
      <c r="MK40" s="1">
        <v>24.266999999999999</v>
      </c>
      <c r="ML40" s="1">
        <v>85</v>
      </c>
      <c r="MM40" s="1">
        <v>9</v>
      </c>
      <c r="MN40" s="1">
        <v>21</v>
      </c>
      <c r="MO40" s="1">
        <v>42</v>
      </c>
      <c r="MP40" s="1">
        <v>19</v>
      </c>
      <c r="MQ40" s="1">
        <v>26.312000000000001</v>
      </c>
      <c r="MR40" s="1">
        <v>105</v>
      </c>
      <c r="MS40" s="1">
        <v>20</v>
      </c>
      <c r="MT40" s="1">
        <v>27</v>
      </c>
      <c r="MU40" s="1">
        <v>40</v>
      </c>
      <c r="MV40" s="1">
        <v>18</v>
      </c>
      <c r="MW40" s="1">
        <v>28.124000000000002</v>
      </c>
    </row>
    <row r="41" spans="1:361">
      <c r="A41" s="1">
        <v>38</v>
      </c>
      <c r="B41" s="1">
        <v>102</v>
      </c>
      <c r="C41" s="1">
        <v>19</v>
      </c>
      <c r="D41" s="1">
        <v>23</v>
      </c>
      <c r="E41" s="1">
        <v>42</v>
      </c>
      <c r="F41" s="1">
        <v>23</v>
      </c>
      <c r="G41" s="1">
        <v>25.209</v>
      </c>
      <c r="H41" s="1">
        <v>79</v>
      </c>
      <c r="I41" s="1">
        <v>17</v>
      </c>
      <c r="J41" s="1">
        <v>19</v>
      </c>
      <c r="K41" s="1">
        <v>44</v>
      </c>
      <c r="L41" s="1">
        <v>19</v>
      </c>
      <c r="M41" s="1">
        <v>24.955000000000002</v>
      </c>
      <c r="N41" s="1">
        <v>124</v>
      </c>
      <c r="O41" s="1">
        <v>29</v>
      </c>
      <c r="P41" s="1">
        <v>24</v>
      </c>
      <c r="Q41" s="1">
        <v>41</v>
      </c>
      <c r="R41" s="1">
        <v>19</v>
      </c>
      <c r="S41" s="1">
        <v>28.756</v>
      </c>
      <c r="T41" s="1">
        <v>72</v>
      </c>
      <c r="U41" s="1">
        <v>23</v>
      </c>
      <c r="V41" s="1">
        <v>16</v>
      </c>
      <c r="W41" s="1">
        <v>44</v>
      </c>
      <c r="X41" s="1">
        <v>21</v>
      </c>
      <c r="Y41" s="1">
        <v>26.686</v>
      </c>
      <c r="Z41" s="1">
        <v>90</v>
      </c>
      <c r="AA41" s="1">
        <v>15</v>
      </c>
      <c r="AB41" s="1">
        <v>24</v>
      </c>
      <c r="AC41" s="1">
        <v>47</v>
      </c>
      <c r="AD41" s="1">
        <v>17</v>
      </c>
      <c r="AE41" s="1">
        <v>26.149000000000001</v>
      </c>
      <c r="AF41" s="1">
        <v>81</v>
      </c>
      <c r="AG41" s="1">
        <v>25</v>
      </c>
      <c r="AH41" s="1">
        <v>17</v>
      </c>
      <c r="AI41" s="1">
        <v>43</v>
      </c>
      <c r="AJ41" s="1">
        <v>19</v>
      </c>
      <c r="AK41" s="1">
        <v>25.732000000000003</v>
      </c>
      <c r="AL41" s="1">
        <v>91</v>
      </c>
      <c r="AM41" s="1">
        <v>27</v>
      </c>
      <c r="AN41" s="1">
        <v>22</v>
      </c>
      <c r="AO41" s="1">
        <v>43</v>
      </c>
      <c r="AP41" s="1">
        <v>20</v>
      </c>
      <c r="AQ41" s="1">
        <v>27.794</v>
      </c>
      <c r="AR41" s="1">
        <v>110</v>
      </c>
      <c r="AS41" s="1">
        <v>22</v>
      </c>
      <c r="AT41" s="1">
        <v>22</v>
      </c>
      <c r="AU41" s="1">
        <v>43</v>
      </c>
      <c r="AV41" s="1">
        <v>18</v>
      </c>
      <c r="AW41" s="1">
        <v>28.311</v>
      </c>
      <c r="AX41" s="1">
        <v>107</v>
      </c>
      <c r="AY41" s="1">
        <v>25</v>
      </c>
      <c r="AZ41" s="1">
        <v>18</v>
      </c>
      <c r="BA41" s="1">
        <v>42</v>
      </c>
      <c r="BB41" s="1">
        <v>18</v>
      </c>
      <c r="BC41" s="1">
        <v>27.454000000000001</v>
      </c>
      <c r="BD41" s="1">
        <v>126</v>
      </c>
      <c r="BE41" s="1">
        <v>24</v>
      </c>
      <c r="BF41" s="1">
        <v>24</v>
      </c>
      <c r="BG41" s="1">
        <v>44</v>
      </c>
      <c r="BH41" s="1">
        <v>20</v>
      </c>
      <c r="BI41" s="1">
        <v>30.575000000000003</v>
      </c>
      <c r="BJ41" s="1">
        <v>69</v>
      </c>
      <c r="BK41" s="1">
        <v>25</v>
      </c>
      <c r="BL41" s="1">
        <v>21</v>
      </c>
      <c r="BM41" s="1">
        <v>45</v>
      </c>
      <c r="BN41" s="1">
        <v>21</v>
      </c>
      <c r="BO41" s="1">
        <v>25.812000000000001</v>
      </c>
      <c r="BP41" s="1">
        <v>110</v>
      </c>
      <c r="BQ41" s="1">
        <v>12</v>
      </c>
      <c r="BR41" s="1">
        <v>25</v>
      </c>
      <c r="BS41" s="1">
        <v>46</v>
      </c>
      <c r="BT41" s="1">
        <v>20</v>
      </c>
      <c r="BU41" s="1">
        <v>29.060000000000002</v>
      </c>
      <c r="BV41" s="1">
        <v>127</v>
      </c>
      <c r="BW41" s="1">
        <v>24</v>
      </c>
      <c r="BX41" s="1">
        <v>29</v>
      </c>
      <c r="BY41" s="1">
        <v>45</v>
      </c>
      <c r="BZ41" s="1">
        <v>21</v>
      </c>
      <c r="CA41" s="1">
        <v>27.151</v>
      </c>
      <c r="CB41" s="1">
        <v>70</v>
      </c>
      <c r="CC41" s="1">
        <v>14</v>
      </c>
      <c r="CD41" s="1">
        <v>15</v>
      </c>
      <c r="CE41" s="1">
        <v>43</v>
      </c>
      <c r="CF41" s="1">
        <v>19</v>
      </c>
      <c r="CG41" s="1">
        <v>24.929000000000002</v>
      </c>
      <c r="CH41" s="1">
        <v>112</v>
      </c>
      <c r="CI41" s="1">
        <v>26</v>
      </c>
      <c r="CJ41" s="1">
        <v>22</v>
      </c>
      <c r="CK41" s="1">
        <v>44</v>
      </c>
      <c r="CL41" s="1">
        <v>19</v>
      </c>
      <c r="CM41" s="1">
        <v>29.384</v>
      </c>
      <c r="CN41" s="1">
        <v>103</v>
      </c>
      <c r="CO41" s="1">
        <v>18</v>
      </c>
      <c r="CP41" s="1">
        <v>21</v>
      </c>
      <c r="CQ41" s="1">
        <v>42</v>
      </c>
      <c r="CR41" s="1">
        <v>15</v>
      </c>
      <c r="CS41" s="1">
        <v>27.601000000000003</v>
      </c>
      <c r="CT41" s="1">
        <v>115</v>
      </c>
      <c r="CU41" s="1">
        <v>29</v>
      </c>
      <c r="CV41" s="1">
        <v>23</v>
      </c>
      <c r="CW41" s="1">
        <v>43</v>
      </c>
      <c r="CX41" s="1">
        <v>22</v>
      </c>
      <c r="CY41" s="1">
        <v>27.394000000000002</v>
      </c>
      <c r="CZ41" s="1">
        <v>92</v>
      </c>
      <c r="DA41" s="1">
        <v>22</v>
      </c>
      <c r="DB41" s="1">
        <v>22</v>
      </c>
      <c r="DC41" s="1">
        <v>43</v>
      </c>
      <c r="DD41" s="1">
        <v>16</v>
      </c>
      <c r="DE41" s="1">
        <v>28.127000000000002</v>
      </c>
      <c r="DF41" s="1">
        <v>92</v>
      </c>
      <c r="DG41" s="1">
        <v>18</v>
      </c>
      <c r="DH41" s="1">
        <v>20</v>
      </c>
      <c r="DI41" s="1">
        <v>42</v>
      </c>
      <c r="DJ41" s="1">
        <v>20</v>
      </c>
      <c r="DK41" s="1">
        <v>26.797000000000001</v>
      </c>
      <c r="DL41" s="1">
        <v>88</v>
      </c>
      <c r="DM41" s="1">
        <v>19</v>
      </c>
      <c r="DN41" s="1">
        <v>22</v>
      </c>
      <c r="DO41" s="1">
        <v>45</v>
      </c>
      <c r="DP41" s="1">
        <v>20</v>
      </c>
      <c r="DQ41" s="1">
        <v>25.568000000000001</v>
      </c>
      <c r="DR41" s="1">
        <v>122</v>
      </c>
      <c r="DS41" s="1">
        <v>24</v>
      </c>
      <c r="DT41" s="1">
        <v>27</v>
      </c>
      <c r="DU41" s="1">
        <v>42</v>
      </c>
      <c r="DV41" s="1">
        <v>21</v>
      </c>
      <c r="DW41" s="1">
        <v>27.756</v>
      </c>
      <c r="DX41" s="1">
        <v>84</v>
      </c>
      <c r="DY41" s="1">
        <v>16</v>
      </c>
      <c r="DZ41" s="1">
        <v>18</v>
      </c>
      <c r="EA41" s="1">
        <v>40</v>
      </c>
      <c r="EB41" s="1">
        <v>18</v>
      </c>
      <c r="EC41" s="1">
        <v>24.798000000000002</v>
      </c>
      <c r="ED41" s="1">
        <v>73</v>
      </c>
      <c r="EE41" s="1">
        <v>29</v>
      </c>
      <c r="EF41" s="1">
        <v>17</v>
      </c>
      <c r="EG41" s="1">
        <v>38</v>
      </c>
      <c r="EH41" s="1">
        <v>21</v>
      </c>
      <c r="EI41" s="1">
        <v>23.555</v>
      </c>
      <c r="EJ41" s="1">
        <v>121</v>
      </c>
      <c r="EK41" s="1">
        <v>20</v>
      </c>
      <c r="EL41" s="1">
        <v>27</v>
      </c>
      <c r="EM41" s="1">
        <v>41</v>
      </c>
      <c r="EN41" s="1">
        <v>18</v>
      </c>
      <c r="EO41" s="1">
        <v>29.172000000000001</v>
      </c>
      <c r="EP41" s="1">
        <v>119</v>
      </c>
      <c r="EQ41" s="1">
        <v>19</v>
      </c>
      <c r="ER41" s="1">
        <v>21</v>
      </c>
      <c r="ES41" s="1">
        <v>41</v>
      </c>
      <c r="ET41" s="1">
        <v>18</v>
      </c>
      <c r="EU41" s="1">
        <v>27.788</v>
      </c>
      <c r="EV41" s="1">
        <v>103</v>
      </c>
      <c r="EW41" s="1">
        <v>15</v>
      </c>
      <c r="EX41" s="1">
        <v>19</v>
      </c>
      <c r="EY41" s="1">
        <v>41</v>
      </c>
      <c r="EZ41" s="1">
        <v>19</v>
      </c>
      <c r="FA41" s="1">
        <v>27.433</v>
      </c>
      <c r="FB41" s="1">
        <v>120</v>
      </c>
      <c r="FC41" s="1">
        <v>15</v>
      </c>
      <c r="FD41" s="1">
        <v>25</v>
      </c>
      <c r="FE41" s="1">
        <v>45</v>
      </c>
      <c r="FF41" s="1">
        <v>19</v>
      </c>
      <c r="FG41" s="1">
        <v>29.950000000000003</v>
      </c>
      <c r="FH41" s="1">
        <v>122</v>
      </c>
      <c r="FI41" s="1">
        <v>18</v>
      </c>
      <c r="FJ41" s="1">
        <v>22</v>
      </c>
      <c r="FK41" s="1">
        <v>41</v>
      </c>
      <c r="FL41" s="1">
        <v>21</v>
      </c>
      <c r="FM41" s="1">
        <v>29.448</v>
      </c>
      <c r="FN41" s="1">
        <v>113</v>
      </c>
      <c r="FO41" s="1">
        <v>23</v>
      </c>
      <c r="FP41" s="1">
        <v>25</v>
      </c>
      <c r="FQ41" s="1">
        <v>44</v>
      </c>
      <c r="FR41" s="1">
        <v>21</v>
      </c>
      <c r="FS41" s="1">
        <v>27.177</v>
      </c>
      <c r="FT41" s="1">
        <v>99</v>
      </c>
      <c r="FU41" s="1">
        <v>10</v>
      </c>
      <c r="FV41" s="1">
        <v>23</v>
      </c>
      <c r="FW41" s="1">
        <v>43</v>
      </c>
      <c r="FX41" s="1">
        <v>23</v>
      </c>
      <c r="FY41" s="1">
        <v>27.706</v>
      </c>
      <c r="FZ41" s="1">
        <v>116</v>
      </c>
      <c r="GA41" s="1">
        <v>22</v>
      </c>
      <c r="GB41" s="1">
        <v>19</v>
      </c>
      <c r="GC41" s="1">
        <v>40</v>
      </c>
      <c r="GD41" s="1">
        <v>22</v>
      </c>
      <c r="GE41" s="1">
        <v>28.113</v>
      </c>
      <c r="GF41" s="1">
        <v>83</v>
      </c>
      <c r="GG41" s="1">
        <v>22</v>
      </c>
      <c r="GH41" s="1">
        <v>21</v>
      </c>
      <c r="GI41" s="1">
        <v>44</v>
      </c>
      <c r="GJ41" s="1">
        <v>21</v>
      </c>
      <c r="GK41" s="1">
        <v>26.374000000000002</v>
      </c>
      <c r="GL41" s="1">
        <v>76</v>
      </c>
      <c r="GM41" s="1">
        <v>15</v>
      </c>
      <c r="GN41" s="1">
        <v>17</v>
      </c>
      <c r="GO41" s="1">
        <v>39</v>
      </c>
      <c r="GP41" s="1">
        <v>19</v>
      </c>
      <c r="GQ41" s="1">
        <v>24.414000000000001</v>
      </c>
      <c r="GR41" s="1">
        <v>115</v>
      </c>
      <c r="GS41" s="1">
        <v>20</v>
      </c>
      <c r="GT41" s="1">
        <v>27</v>
      </c>
      <c r="GU41" s="1">
        <v>45</v>
      </c>
      <c r="GV41" s="1">
        <v>22</v>
      </c>
      <c r="GW41" s="1">
        <v>26.662000000000003</v>
      </c>
      <c r="GX41" s="1">
        <v>64</v>
      </c>
      <c r="GY41" s="1">
        <v>18</v>
      </c>
      <c r="GZ41" s="1">
        <v>20</v>
      </c>
      <c r="HA41" s="1">
        <v>43</v>
      </c>
      <c r="HB41" s="1">
        <v>22</v>
      </c>
      <c r="HC41" s="1">
        <v>24.956</v>
      </c>
      <c r="HD41" s="1">
        <v>79</v>
      </c>
      <c r="HE41" s="1">
        <v>26</v>
      </c>
      <c r="HF41" s="1">
        <v>21</v>
      </c>
      <c r="HG41" s="1">
        <v>40</v>
      </c>
      <c r="HH41" s="1">
        <v>21</v>
      </c>
      <c r="HI41" s="1">
        <v>24.401</v>
      </c>
      <c r="HJ41" s="1">
        <v>106</v>
      </c>
      <c r="HK41" s="1">
        <v>22</v>
      </c>
      <c r="HL41" s="1">
        <v>25</v>
      </c>
      <c r="HM41" s="1">
        <v>45</v>
      </c>
      <c r="HN41" s="1">
        <v>20</v>
      </c>
      <c r="HO41" s="1">
        <v>26.713000000000001</v>
      </c>
      <c r="HP41" s="1">
        <v>116</v>
      </c>
      <c r="HQ41" s="1">
        <v>19</v>
      </c>
      <c r="HR41" s="1">
        <v>25</v>
      </c>
      <c r="HS41" s="1">
        <v>41</v>
      </c>
      <c r="HT41" s="1">
        <v>18</v>
      </c>
      <c r="HU41" s="1">
        <v>28.141000000000002</v>
      </c>
      <c r="HV41" s="1">
        <v>96</v>
      </c>
      <c r="HW41" s="1">
        <v>24</v>
      </c>
      <c r="HX41" s="1">
        <v>21</v>
      </c>
      <c r="HY41" s="1">
        <v>44</v>
      </c>
      <c r="HZ41" s="1">
        <v>22</v>
      </c>
      <c r="IA41" s="1">
        <v>26.461000000000002</v>
      </c>
      <c r="IB41" s="1">
        <v>89</v>
      </c>
      <c r="IC41" s="1">
        <v>21</v>
      </c>
      <c r="ID41" s="1">
        <v>18</v>
      </c>
      <c r="IE41" s="1">
        <v>43</v>
      </c>
      <c r="IF41" s="1">
        <v>23</v>
      </c>
      <c r="IG41" s="1">
        <v>26.857000000000003</v>
      </c>
      <c r="IH41" s="1">
        <v>81</v>
      </c>
      <c r="II41" s="1">
        <v>18</v>
      </c>
      <c r="IJ41" s="1">
        <v>15</v>
      </c>
      <c r="IK41" s="1">
        <v>45</v>
      </c>
      <c r="IL41" s="1">
        <v>22</v>
      </c>
      <c r="IM41" s="1">
        <v>26.008000000000003</v>
      </c>
      <c r="IN41" s="1">
        <v>100</v>
      </c>
      <c r="IO41" s="1">
        <v>19</v>
      </c>
      <c r="IP41" s="1">
        <v>18</v>
      </c>
      <c r="IQ41" s="1">
        <v>40</v>
      </c>
      <c r="IR41" s="1">
        <v>20</v>
      </c>
      <c r="IS41" s="1">
        <v>29.03</v>
      </c>
      <c r="IT41" s="1">
        <v>110</v>
      </c>
      <c r="IU41" s="1">
        <v>23</v>
      </c>
      <c r="IV41" s="1">
        <v>24</v>
      </c>
      <c r="IW41" s="1">
        <v>47</v>
      </c>
      <c r="IX41" s="1">
        <v>21</v>
      </c>
      <c r="IY41" s="1">
        <v>30.046000000000003</v>
      </c>
      <c r="IZ41" s="1">
        <v>71</v>
      </c>
      <c r="JA41" s="1">
        <v>24</v>
      </c>
      <c r="JB41" s="1">
        <v>17</v>
      </c>
      <c r="JC41" s="1">
        <v>43</v>
      </c>
      <c r="JD41" s="1">
        <v>19</v>
      </c>
      <c r="JE41" s="1">
        <v>25.278000000000002</v>
      </c>
      <c r="JF41" s="1">
        <v>95</v>
      </c>
      <c r="JG41" s="1">
        <v>15</v>
      </c>
      <c r="JH41" s="1">
        <v>24</v>
      </c>
      <c r="JI41" s="1">
        <v>43</v>
      </c>
      <c r="JJ41" s="1">
        <v>20</v>
      </c>
      <c r="JK41" s="1">
        <v>27.811</v>
      </c>
      <c r="JL41" s="1">
        <v>99</v>
      </c>
      <c r="JM41" s="1">
        <v>14</v>
      </c>
      <c r="JN41" s="1">
        <v>21</v>
      </c>
      <c r="JO41" s="1">
        <v>42</v>
      </c>
      <c r="JP41" s="1">
        <v>23</v>
      </c>
      <c r="JQ41" s="1">
        <v>28.03</v>
      </c>
      <c r="JR41" s="1">
        <v>97</v>
      </c>
      <c r="JS41" s="1">
        <v>20</v>
      </c>
      <c r="JT41" s="1">
        <v>19</v>
      </c>
      <c r="JU41" s="1">
        <v>42</v>
      </c>
      <c r="JV41" s="1">
        <v>18</v>
      </c>
      <c r="JW41" s="1">
        <v>27.024000000000001</v>
      </c>
      <c r="JX41" s="1">
        <v>75</v>
      </c>
      <c r="JY41" s="1">
        <v>13</v>
      </c>
      <c r="JZ41" s="1">
        <v>20</v>
      </c>
      <c r="KA41" s="1">
        <v>45</v>
      </c>
      <c r="KB41" s="1">
        <v>19</v>
      </c>
      <c r="KC41" s="1">
        <v>26.784000000000002</v>
      </c>
      <c r="KD41" s="1">
        <v>93</v>
      </c>
      <c r="KE41" s="1">
        <v>8</v>
      </c>
      <c r="KF41" s="1">
        <v>23</v>
      </c>
      <c r="KG41" s="1">
        <v>45</v>
      </c>
      <c r="KH41" s="1">
        <v>19</v>
      </c>
      <c r="KI41" s="1">
        <v>26.712</v>
      </c>
      <c r="KJ41" s="1">
        <v>80</v>
      </c>
      <c r="KK41" s="1">
        <v>7</v>
      </c>
      <c r="KL41" s="1">
        <v>22</v>
      </c>
      <c r="KM41" s="1">
        <v>44</v>
      </c>
      <c r="KN41" s="1">
        <v>21</v>
      </c>
      <c r="KO41" s="1">
        <v>27.637</v>
      </c>
      <c r="KP41" s="1">
        <v>91</v>
      </c>
      <c r="KQ41" s="1">
        <v>12</v>
      </c>
      <c r="KR41" s="1">
        <v>24</v>
      </c>
      <c r="KS41" s="1">
        <v>45</v>
      </c>
      <c r="KT41" s="1">
        <v>21</v>
      </c>
      <c r="KU41" s="1">
        <v>26.711000000000002</v>
      </c>
      <c r="KV41" s="1">
        <v>118</v>
      </c>
      <c r="KW41" s="1">
        <v>32</v>
      </c>
      <c r="KX41" s="1">
        <v>19</v>
      </c>
      <c r="KY41" s="1">
        <v>43</v>
      </c>
      <c r="KZ41" s="1">
        <v>16</v>
      </c>
      <c r="LA41" s="1">
        <v>28.415000000000003</v>
      </c>
      <c r="LB41" s="1">
        <v>79</v>
      </c>
      <c r="LC41" s="1">
        <v>22</v>
      </c>
      <c r="LD41" s="1">
        <v>20</v>
      </c>
      <c r="LE41" s="1">
        <v>41</v>
      </c>
      <c r="LF41" s="1">
        <v>19</v>
      </c>
      <c r="LG41" s="1">
        <v>26.969000000000001</v>
      </c>
      <c r="LH41" s="1">
        <v>94</v>
      </c>
      <c r="LI41" s="1">
        <v>24</v>
      </c>
      <c r="LJ41" s="1">
        <v>22</v>
      </c>
      <c r="LK41" s="1">
        <v>41</v>
      </c>
      <c r="LL41" s="1">
        <v>20</v>
      </c>
      <c r="LM41" s="1">
        <v>26.490000000000002</v>
      </c>
      <c r="LN41" s="1">
        <v>115</v>
      </c>
      <c r="LO41" s="1">
        <v>11</v>
      </c>
      <c r="LP41" s="1">
        <v>25</v>
      </c>
      <c r="LQ41" s="1">
        <v>48</v>
      </c>
      <c r="LR41" s="1">
        <v>21</v>
      </c>
      <c r="LS41" s="1">
        <v>28.671000000000003</v>
      </c>
      <c r="LT41" s="1">
        <v>125</v>
      </c>
      <c r="LU41" s="1">
        <v>18</v>
      </c>
      <c r="LV41" s="1">
        <v>22</v>
      </c>
      <c r="LW41" s="1">
        <v>44</v>
      </c>
      <c r="LX41" s="1">
        <v>17</v>
      </c>
      <c r="LY41" s="1">
        <v>29.915000000000003</v>
      </c>
      <c r="LZ41" s="1">
        <v>88</v>
      </c>
      <c r="MA41" s="1">
        <v>13</v>
      </c>
      <c r="MB41" s="1">
        <v>21</v>
      </c>
      <c r="MC41" s="1">
        <v>46</v>
      </c>
      <c r="MD41" s="1">
        <v>21</v>
      </c>
      <c r="ME41" s="1">
        <v>27.621000000000002</v>
      </c>
      <c r="MF41" s="1">
        <v>85</v>
      </c>
      <c r="MG41" s="1">
        <v>14</v>
      </c>
      <c r="MH41" s="1">
        <v>18</v>
      </c>
      <c r="MI41" s="1">
        <v>46</v>
      </c>
      <c r="MJ41" s="1">
        <v>22</v>
      </c>
      <c r="MK41" s="1">
        <v>25.93</v>
      </c>
      <c r="ML41" s="1">
        <v>117</v>
      </c>
      <c r="MM41" s="1">
        <v>20</v>
      </c>
      <c r="MN41" s="1">
        <v>24</v>
      </c>
      <c r="MO41" s="1">
        <v>44</v>
      </c>
      <c r="MP41" s="1">
        <v>18</v>
      </c>
      <c r="MQ41" s="1">
        <v>28.903000000000002</v>
      </c>
      <c r="MR41" s="1">
        <v>91</v>
      </c>
      <c r="MS41" s="1">
        <v>13</v>
      </c>
      <c r="MT41" s="1">
        <v>18</v>
      </c>
      <c r="MU41" s="1">
        <v>43</v>
      </c>
      <c r="MV41" s="1">
        <v>17</v>
      </c>
      <c r="MW41" s="1">
        <v>28.934000000000001</v>
      </c>
    </row>
    <row r="42" spans="1:361">
      <c r="A42" s="1">
        <v>39</v>
      </c>
      <c r="B42" s="1">
        <v>88</v>
      </c>
      <c r="C42" s="1">
        <v>26</v>
      </c>
      <c r="D42" s="1">
        <v>21</v>
      </c>
      <c r="E42" s="1">
        <v>45</v>
      </c>
      <c r="F42" s="1">
        <v>17</v>
      </c>
      <c r="G42" s="1">
        <v>27.033000000000001</v>
      </c>
      <c r="H42" s="1">
        <v>115</v>
      </c>
      <c r="I42" s="1">
        <v>16</v>
      </c>
      <c r="J42" s="1">
        <v>26</v>
      </c>
      <c r="K42" s="1">
        <v>42</v>
      </c>
      <c r="L42" s="1">
        <v>20</v>
      </c>
      <c r="M42" s="1">
        <v>28.46</v>
      </c>
      <c r="N42" s="1">
        <v>71</v>
      </c>
      <c r="O42" s="1">
        <v>13</v>
      </c>
      <c r="P42" s="1">
        <v>18</v>
      </c>
      <c r="Q42" s="1">
        <v>42</v>
      </c>
      <c r="R42" s="1">
        <v>22</v>
      </c>
      <c r="S42" s="1">
        <v>23.223000000000003</v>
      </c>
      <c r="T42" s="1">
        <v>108</v>
      </c>
      <c r="U42" s="1">
        <v>27</v>
      </c>
      <c r="V42" s="1">
        <v>24</v>
      </c>
      <c r="W42" s="1">
        <v>40</v>
      </c>
      <c r="X42" s="1">
        <v>18</v>
      </c>
      <c r="Y42" s="1">
        <v>27.444000000000003</v>
      </c>
      <c r="Z42" s="1">
        <v>127</v>
      </c>
      <c r="AA42" s="1">
        <v>23</v>
      </c>
      <c r="AB42" s="1">
        <v>24</v>
      </c>
      <c r="AC42" s="1">
        <v>44</v>
      </c>
      <c r="AD42" s="1">
        <v>21</v>
      </c>
      <c r="AE42" s="1">
        <v>32.092999999999996</v>
      </c>
      <c r="AF42" s="1">
        <v>114</v>
      </c>
      <c r="AG42" s="1">
        <v>13</v>
      </c>
      <c r="AH42" s="1">
        <v>23</v>
      </c>
      <c r="AI42" s="1">
        <v>41</v>
      </c>
      <c r="AJ42" s="1">
        <v>16</v>
      </c>
      <c r="AK42" s="1">
        <v>26.796000000000003</v>
      </c>
      <c r="AL42" s="1">
        <v>123</v>
      </c>
      <c r="AM42" s="1">
        <v>18</v>
      </c>
      <c r="AN42" s="1">
        <v>24</v>
      </c>
      <c r="AO42" s="1">
        <v>45</v>
      </c>
      <c r="AP42" s="1">
        <v>25</v>
      </c>
      <c r="AQ42" s="1">
        <v>30.551000000000002</v>
      </c>
      <c r="AR42" s="1">
        <v>110</v>
      </c>
      <c r="AS42" s="1">
        <v>25</v>
      </c>
      <c r="AT42" s="1">
        <v>24</v>
      </c>
      <c r="AU42" s="1">
        <v>41</v>
      </c>
      <c r="AV42" s="1">
        <v>20</v>
      </c>
      <c r="AW42" s="1">
        <v>25.244</v>
      </c>
      <c r="AX42" s="1">
        <v>98</v>
      </c>
      <c r="AY42" s="1">
        <v>7</v>
      </c>
      <c r="AZ42" s="1">
        <v>19</v>
      </c>
      <c r="BA42" s="1">
        <v>41</v>
      </c>
      <c r="BB42" s="1">
        <v>21</v>
      </c>
      <c r="BC42" s="1">
        <v>26.824000000000002</v>
      </c>
      <c r="BD42" s="1">
        <v>107</v>
      </c>
      <c r="BE42" s="1">
        <v>22</v>
      </c>
      <c r="BF42" s="1">
        <v>23</v>
      </c>
      <c r="BG42" s="1">
        <v>44</v>
      </c>
      <c r="BH42" s="1">
        <v>22</v>
      </c>
      <c r="BI42" s="1">
        <v>28.345000000000002</v>
      </c>
      <c r="BJ42" s="1">
        <v>108</v>
      </c>
      <c r="BK42" s="1">
        <v>16</v>
      </c>
      <c r="BL42" s="1">
        <v>21</v>
      </c>
      <c r="BM42" s="1">
        <v>42</v>
      </c>
      <c r="BN42" s="1">
        <v>22</v>
      </c>
      <c r="BO42" s="1">
        <v>25.803000000000001</v>
      </c>
      <c r="BP42" s="1">
        <v>83</v>
      </c>
      <c r="BQ42" s="1">
        <v>21</v>
      </c>
      <c r="BR42" s="1">
        <v>18</v>
      </c>
      <c r="BS42" s="1">
        <v>41</v>
      </c>
      <c r="BT42" s="1">
        <v>18</v>
      </c>
      <c r="BU42" s="1">
        <v>25.325000000000003</v>
      </c>
      <c r="BV42" s="1">
        <v>105</v>
      </c>
      <c r="BW42" s="1">
        <v>14</v>
      </c>
      <c r="BX42" s="1">
        <v>24</v>
      </c>
      <c r="BY42" s="1">
        <v>43</v>
      </c>
      <c r="BZ42" s="1">
        <v>18</v>
      </c>
      <c r="CA42" s="1">
        <v>26.864000000000001</v>
      </c>
      <c r="CB42" s="1">
        <v>80</v>
      </c>
      <c r="CC42" s="1">
        <v>14</v>
      </c>
      <c r="CD42" s="1">
        <v>22</v>
      </c>
      <c r="CE42" s="1">
        <v>40</v>
      </c>
      <c r="CF42" s="1">
        <v>21</v>
      </c>
      <c r="CG42" s="1">
        <v>24.845000000000002</v>
      </c>
      <c r="CH42" s="1">
        <v>72</v>
      </c>
      <c r="CI42" s="1">
        <v>22</v>
      </c>
      <c r="CJ42" s="1">
        <v>12</v>
      </c>
      <c r="CK42" s="1">
        <v>41</v>
      </c>
      <c r="CL42" s="1">
        <v>18</v>
      </c>
      <c r="CM42" s="1">
        <v>26.115000000000002</v>
      </c>
      <c r="CN42" s="1">
        <v>113</v>
      </c>
      <c r="CO42" s="1">
        <v>22</v>
      </c>
      <c r="CP42" s="1">
        <v>22</v>
      </c>
      <c r="CQ42" s="1">
        <v>42</v>
      </c>
      <c r="CR42" s="1">
        <v>24</v>
      </c>
      <c r="CS42" s="1">
        <v>26.854000000000003</v>
      </c>
      <c r="CT42" s="1">
        <v>110</v>
      </c>
      <c r="CU42" s="1">
        <v>20</v>
      </c>
      <c r="CV42" s="1">
        <v>23</v>
      </c>
      <c r="CW42" s="1">
        <v>42</v>
      </c>
      <c r="CX42" s="1">
        <v>23</v>
      </c>
      <c r="CY42" s="1">
        <v>27.557000000000002</v>
      </c>
      <c r="CZ42" s="1">
        <v>88</v>
      </c>
      <c r="DA42" s="1">
        <v>23</v>
      </c>
      <c r="DB42" s="1">
        <v>19</v>
      </c>
      <c r="DC42" s="1">
        <v>40</v>
      </c>
      <c r="DD42" s="1">
        <v>17</v>
      </c>
      <c r="DE42" s="1">
        <v>26.59</v>
      </c>
      <c r="DF42" s="1">
        <v>104</v>
      </c>
      <c r="DG42" s="1">
        <v>34</v>
      </c>
      <c r="DH42" s="1">
        <v>19</v>
      </c>
      <c r="DI42" s="1">
        <v>42</v>
      </c>
      <c r="DJ42" s="1">
        <v>16</v>
      </c>
      <c r="DK42" s="1">
        <v>27.502000000000002</v>
      </c>
      <c r="DL42" s="1">
        <v>70</v>
      </c>
      <c r="DM42" s="1">
        <v>21</v>
      </c>
      <c r="DN42" s="1">
        <v>20</v>
      </c>
      <c r="DO42" s="1">
        <v>44</v>
      </c>
      <c r="DP42" s="1">
        <v>20</v>
      </c>
      <c r="DQ42" s="1">
        <v>26.762</v>
      </c>
      <c r="DR42" s="1">
        <v>88</v>
      </c>
      <c r="DS42" s="1">
        <v>17</v>
      </c>
      <c r="DT42" s="1">
        <v>21</v>
      </c>
      <c r="DU42" s="1">
        <v>43</v>
      </c>
      <c r="DV42" s="1">
        <v>20</v>
      </c>
      <c r="DW42" s="1">
        <v>25.521000000000001</v>
      </c>
      <c r="DX42" s="1">
        <v>69</v>
      </c>
      <c r="DY42" s="1">
        <v>22</v>
      </c>
      <c r="DZ42" s="1">
        <v>17</v>
      </c>
      <c r="EA42" s="1">
        <v>44</v>
      </c>
      <c r="EB42" s="1">
        <v>17</v>
      </c>
      <c r="EC42" s="1">
        <v>24.486000000000001</v>
      </c>
      <c r="ED42" s="1">
        <v>109</v>
      </c>
      <c r="EE42" s="1">
        <v>22</v>
      </c>
      <c r="EF42" s="1">
        <v>21</v>
      </c>
      <c r="EG42" s="1">
        <v>45</v>
      </c>
      <c r="EH42" s="1">
        <v>20</v>
      </c>
      <c r="EI42" s="1">
        <v>28.746000000000002</v>
      </c>
      <c r="EJ42" s="1">
        <v>74</v>
      </c>
      <c r="EK42" s="1">
        <v>17</v>
      </c>
      <c r="EL42" s="1">
        <v>18</v>
      </c>
      <c r="EM42" s="1">
        <v>42</v>
      </c>
      <c r="EN42" s="1">
        <v>19</v>
      </c>
      <c r="EO42" s="1">
        <v>25.607000000000003</v>
      </c>
      <c r="EP42" s="1">
        <v>99</v>
      </c>
      <c r="EQ42" s="1">
        <v>23</v>
      </c>
      <c r="ER42" s="1">
        <v>19</v>
      </c>
      <c r="ES42" s="1">
        <v>45</v>
      </c>
      <c r="ET42" s="1">
        <v>18</v>
      </c>
      <c r="EU42" s="1">
        <v>26.743000000000002</v>
      </c>
      <c r="EV42" s="1">
        <v>70</v>
      </c>
      <c r="EW42" s="1">
        <v>19</v>
      </c>
      <c r="EX42" s="1">
        <v>16</v>
      </c>
      <c r="EY42" s="1">
        <v>47</v>
      </c>
      <c r="EZ42" s="1">
        <v>21</v>
      </c>
      <c r="FA42" s="1">
        <v>26.207000000000001</v>
      </c>
      <c r="FB42" s="1">
        <v>71</v>
      </c>
      <c r="FC42" s="1">
        <v>9</v>
      </c>
      <c r="FD42" s="1">
        <v>20</v>
      </c>
      <c r="FE42" s="1">
        <v>45</v>
      </c>
      <c r="FF42" s="1">
        <v>19</v>
      </c>
      <c r="FG42" s="1">
        <v>26.225000000000001</v>
      </c>
      <c r="FH42" s="1">
        <v>107</v>
      </c>
      <c r="FI42" s="1">
        <v>18</v>
      </c>
      <c r="FJ42" s="1">
        <v>22</v>
      </c>
      <c r="FK42" s="1">
        <v>43</v>
      </c>
      <c r="FL42" s="1">
        <v>19</v>
      </c>
      <c r="FM42" s="1">
        <v>27.574000000000002</v>
      </c>
      <c r="FN42" s="1">
        <v>124</v>
      </c>
      <c r="FO42" s="1">
        <v>23</v>
      </c>
      <c r="FP42" s="1">
        <v>19</v>
      </c>
      <c r="FQ42" s="1">
        <v>40</v>
      </c>
      <c r="FR42" s="1">
        <v>23</v>
      </c>
      <c r="FS42" s="1">
        <v>28.516000000000002</v>
      </c>
      <c r="FT42" s="1">
        <v>104</v>
      </c>
      <c r="FU42" s="1">
        <v>21</v>
      </c>
      <c r="FV42" s="1">
        <v>22</v>
      </c>
      <c r="FW42" s="1">
        <v>44</v>
      </c>
      <c r="FX42" s="1">
        <v>18</v>
      </c>
      <c r="FY42" s="1">
        <v>27.417000000000002</v>
      </c>
      <c r="FZ42" s="1">
        <v>86</v>
      </c>
      <c r="GA42" s="1">
        <v>25</v>
      </c>
      <c r="GB42" s="1">
        <v>21</v>
      </c>
      <c r="GC42" s="1">
        <v>42</v>
      </c>
      <c r="GD42" s="1">
        <v>19</v>
      </c>
      <c r="GE42" s="1">
        <v>26.782</v>
      </c>
      <c r="GF42" s="1">
        <v>109</v>
      </c>
      <c r="GG42" s="1">
        <v>9</v>
      </c>
      <c r="GH42" s="1">
        <v>22</v>
      </c>
      <c r="GI42" s="1">
        <v>40</v>
      </c>
      <c r="GJ42" s="1">
        <v>16</v>
      </c>
      <c r="GK42" s="1">
        <v>28.580000000000002</v>
      </c>
      <c r="GL42" s="1">
        <v>67</v>
      </c>
      <c r="GM42" s="1">
        <v>14</v>
      </c>
      <c r="GN42" s="1">
        <v>15</v>
      </c>
      <c r="GO42" s="1">
        <v>45</v>
      </c>
      <c r="GP42" s="1">
        <v>22</v>
      </c>
      <c r="GQ42" s="1">
        <v>25.385000000000002</v>
      </c>
      <c r="GR42" s="1">
        <v>79</v>
      </c>
      <c r="GS42" s="1">
        <v>19</v>
      </c>
      <c r="GT42" s="1">
        <v>20</v>
      </c>
      <c r="GU42" s="1">
        <v>43</v>
      </c>
      <c r="GV42" s="1">
        <v>22</v>
      </c>
      <c r="GW42" s="1">
        <v>26.129000000000001</v>
      </c>
      <c r="GX42" s="1">
        <v>86</v>
      </c>
      <c r="GY42" s="1">
        <v>22</v>
      </c>
      <c r="GZ42" s="1">
        <v>22</v>
      </c>
      <c r="HA42" s="1">
        <v>43</v>
      </c>
      <c r="HB42" s="1">
        <v>19</v>
      </c>
      <c r="HC42" s="1">
        <v>26.645</v>
      </c>
      <c r="HD42" s="1">
        <v>107</v>
      </c>
      <c r="HE42" s="1">
        <v>17</v>
      </c>
      <c r="HF42" s="1">
        <v>23</v>
      </c>
      <c r="HG42" s="1">
        <v>42</v>
      </c>
      <c r="HH42" s="1">
        <v>18</v>
      </c>
      <c r="HI42" s="1">
        <v>28.004000000000001</v>
      </c>
      <c r="HJ42" s="1">
        <v>110</v>
      </c>
      <c r="HK42" s="1">
        <v>23</v>
      </c>
      <c r="HL42" s="1">
        <v>26</v>
      </c>
      <c r="HM42" s="1">
        <v>39</v>
      </c>
      <c r="HN42" s="1">
        <v>22</v>
      </c>
      <c r="HO42" s="1">
        <v>27.865000000000002</v>
      </c>
      <c r="HP42" s="1">
        <v>92</v>
      </c>
      <c r="HQ42" s="1">
        <v>16</v>
      </c>
      <c r="HR42" s="1">
        <v>22</v>
      </c>
      <c r="HS42" s="1">
        <v>48</v>
      </c>
      <c r="HT42" s="1">
        <v>20</v>
      </c>
      <c r="HU42" s="1">
        <v>28.021000000000001</v>
      </c>
      <c r="HV42" s="1">
        <v>96</v>
      </c>
      <c r="HW42" s="1">
        <v>16</v>
      </c>
      <c r="HX42" s="1">
        <v>20</v>
      </c>
      <c r="HY42" s="1">
        <v>42</v>
      </c>
      <c r="HZ42" s="1">
        <v>23</v>
      </c>
      <c r="IA42" s="1">
        <v>26.098000000000003</v>
      </c>
      <c r="IB42" s="1">
        <v>83</v>
      </c>
      <c r="IC42" s="1">
        <v>18</v>
      </c>
      <c r="ID42" s="1">
        <v>17</v>
      </c>
      <c r="IE42" s="1">
        <v>42</v>
      </c>
      <c r="IF42" s="1">
        <v>21</v>
      </c>
      <c r="IG42" s="1">
        <v>26.352</v>
      </c>
      <c r="IH42" s="1">
        <v>93</v>
      </c>
      <c r="II42" s="1">
        <v>16</v>
      </c>
      <c r="IJ42" s="1">
        <v>21</v>
      </c>
      <c r="IK42" s="1">
        <v>42</v>
      </c>
      <c r="IL42" s="1">
        <v>21</v>
      </c>
      <c r="IM42" s="1">
        <v>26.94</v>
      </c>
      <c r="IN42" s="1">
        <v>127</v>
      </c>
      <c r="IO42" s="1">
        <v>18</v>
      </c>
      <c r="IP42" s="1">
        <v>26</v>
      </c>
      <c r="IQ42" s="1">
        <v>44</v>
      </c>
      <c r="IR42" s="1">
        <v>22</v>
      </c>
      <c r="IS42" s="1">
        <v>28.971</v>
      </c>
      <c r="IT42" s="1">
        <v>112</v>
      </c>
      <c r="IU42" s="1">
        <v>23</v>
      </c>
      <c r="IV42" s="1">
        <v>25</v>
      </c>
      <c r="IW42" s="1">
        <v>47</v>
      </c>
      <c r="IX42" s="1">
        <v>20</v>
      </c>
      <c r="IY42" s="1">
        <v>29.041</v>
      </c>
      <c r="IZ42" s="1">
        <v>86</v>
      </c>
      <c r="JA42" s="1">
        <v>18</v>
      </c>
      <c r="JB42" s="1">
        <v>23</v>
      </c>
      <c r="JC42" s="1">
        <v>46</v>
      </c>
      <c r="JD42" s="1">
        <v>20</v>
      </c>
      <c r="JE42" s="1">
        <v>27.801000000000002</v>
      </c>
      <c r="JF42" s="1">
        <v>99</v>
      </c>
      <c r="JG42" s="1">
        <v>22</v>
      </c>
      <c r="JH42" s="1">
        <v>17</v>
      </c>
      <c r="JI42" s="1">
        <v>42</v>
      </c>
      <c r="JJ42" s="1">
        <v>20</v>
      </c>
      <c r="JK42" s="1">
        <v>27.301000000000002</v>
      </c>
      <c r="JL42" s="1">
        <v>99</v>
      </c>
      <c r="JM42" s="1">
        <v>23</v>
      </c>
      <c r="JN42" s="1">
        <v>20</v>
      </c>
      <c r="JO42" s="1">
        <v>46</v>
      </c>
      <c r="JP42" s="1">
        <v>21</v>
      </c>
      <c r="JQ42" s="1">
        <v>28.721</v>
      </c>
      <c r="JR42" s="1">
        <v>81</v>
      </c>
      <c r="JS42" s="1">
        <v>5</v>
      </c>
      <c r="JT42" s="1">
        <v>21</v>
      </c>
      <c r="JU42" s="1">
        <v>41</v>
      </c>
      <c r="JV42" s="1">
        <v>17</v>
      </c>
      <c r="JW42" s="1">
        <v>26.733000000000001</v>
      </c>
      <c r="JX42" s="1">
        <v>94</v>
      </c>
      <c r="JY42" s="1">
        <v>19</v>
      </c>
      <c r="JZ42" s="1">
        <v>17</v>
      </c>
      <c r="KA42" s="1">
        <v>40</v>
      </c>
      <c r="KB42" s="1">
        <v>16</v>
      </c>
      <c r="KC42" s="1">
        <v>24.601000000000003</v>
      </c>
      <c r="KD42" s="1">
        <v>109</v>
      </c>
      <c r="KE42" s="1">
        <v>14</v>
      </c>
      <c r="KF42" s="1">
        <v>22</v>
      </c>
      <c r="KG42" s="1">
        <v>43</v>
      </c>
      <c r="KH42" s="1">
        <v>19</v>
      </c>
      <c r="KI42" s="1">
        <v>27.143000000000001</v>
      </c>
      <c r="KJ42" s="1">
        <v>117</v>
      </c>
      <c r="KK42" s="1">
        <v>21</v>
      </c>
      <c r="KL42" s="1">
        <v>22</v>
      </c>
      <c r="KM42" s="1">
        <v>41</v>
      </c>
      <c r="KN42" s="1">
        <v>19</v>
      </c>
      <c r="KO42" s="1">
        <v>27.949000000000002</v>
      </c>
      <c r="KP42" s="1">
        <v>93</v>
      </c>
      <c r="KQ42" s="1">
        <v>16</v>
      </c>
      <c r="KR42" s="1">
        <v>22</v>
      </c>
      <c r="KS42" s="1">
        <v>44</v>
      </c>
      <c r="KT42" s="1">
        <v>25</v>
      </c>
      <c r="KU42" s="1">
        <v>26.526</v>
      </c>
      <c r="KV42" s="1">
        <v>121</v>
      </c>
      <c r="KW42" s="1">
        <v>12</v>
      </c>
      <c r="KX42" s="1">
        <v>22</v>
      </c>
      <c r="KY42" s="1">
        <v>45</v>
      </c>
      <c r="KZ42" s="1">
        <v>20</v>
      </c>
      <c r="LA42" s="1">
        <v>29.926000000000002</v>
      </c>
      <c r="LB42" s="1">
        <v>85</v>
      </c>
      <c r="LC42" s="1">
        <v>10</v>
      </c>
      <c r="LD42" s="1">
        <v>24</v>
      </c>
      <c r="LE42" s="1">
        <v>43</v>
      </c>
      <c r="LF42" s="1">
        <v>20</v>
      </c>
      <c r="LG42" s="1">
        <v>26.871000000000002</v>
      </c>
      <c r="LH42" s="1">
        <v>69</v>
      </c>
      <c r="LI42" s="1">
        <v>19</v>
      </c>
      <c r="LJ42" s="1">
        <v>19</v>
      </c>
      <c r="LK42" s="1">
        <v>44</v>
      </c>
      <c r="LL42" s="1">
        <v>19</v>
      </c>
      <c r="LM42" s="1">
        <v>24.67</v>
      </c>
      <c r="LN42" s="1">
        <v>122</v>
      </c>
      <c r="LO42" s="1">
        <v>17</v>
      </c>
      <c r="LP42" s="1">
        <v>27</v>
      </c>
      <c r="LQ42" s="1">
        <v>42</v>
      </c>
      <c r="LR42" s="1">
        <v>20</v>
      </c>
      <c r="LS42" s="1">
        <v>30.318000000000001</v>
      </c>
      <c r="LT42" s="1">
        <v>81</v>
      </c>
      <c r="LU42" s="1">
        <v>20</v>
      </c>
      <c r="LV42" s="1">
        <v>20</v>
      </c>
      <c r="LW42" s="1">
        <v>40</v>
      </c>
      <c r="LX42" s="1">
        <v>20</v>
      </c>
      <c r="LY42" s="1">
        <v>24.045000000000002</v>
      </c>
      <c r="LZ42" s="1">
        <v>76</v>
      </c>
      <c r="MA42" s="1">
        <v>18</v>
      </c>
      <c r="MB42" s="1">
        <v>23</v>
      </c>
      <c r="MC42" s="1">
        <v>44</v>
      </c>
      <c r="MD42" s="1">
        <v>17</v>
      </c>
      <c r="ME42" s="1">
        <v>26.289000000000001</v>
      </c>
      <c r="MF42" s="1">
        <v>96</v>
      </c>
      <c r="MG42" s="1">
        <v>23</v>
      </c>
      <c r="MH42" s="1">
        <v>20</v>
      </c>
      <c r="MI42" s="1">
        <v>42</v>
      </c>
      <c r="MJ42" s="1">
        <v>19</v>
      </c>
      <c r="MK42" s="1">
        <v>27.117000000000001</v>
      </c>
      <c r="ML42" s="1">
        <v>81</v>
      </c>
      <c r="MM42" s="1">
        <v>7</v>
      </c>
      <c r="MN42" s="1">
        <v>14</v>
      </c>
      <c r="MO42" s="1">
        <v>43</v>
      </c>
      <c r="MP42" s="1">
        <v>21</v>
      </c>
      <c r="MQ42" s="1">
        <v>24.744</v>
      </c>
      <c r="MR42" s="1">
        <v>106</v>
      </c>
      <c r="MS42" s="1">
        <v>25</v>
      </c>
      <c r="MT42" s="1">
        <v>21</v>
      </c>
      <c r="MU42" s="1">
        <v>45</v>
      </c>
      <c r="MV42" s="1">
        <v>20</v>
      </c>
      <c r="MW42" s="1">
        <v>27.105</v>
      </c>
    </row>
    <row r="43" spans="1:361">
      <c r="A43" s="1">
        <v>40</v>
      </c>
      <c r="B43" s="1">
        <v>107</v>
      </c>
      <c r="C43" s="1">
        <v>19</v>
      </c>
      <c r="D43" s="1">
        <v>22</v>
      </c>
      <c r="E43" s="1">
        <v>40</v>
      </c>
      <c r="F43" s="1">
        <v>21</v>
      </c>
      <c r="G43" s="1">
        <v>27.272000000000002</v>
      </c>
      <c r="H43" s="1">
        <v>82</v>
      </c>
      <c r="I43" s="1">
        <v>18</v>
      </c>
      <c r="J43" s="1">
        <v>17</v>
      </c>
      <c r="K43" s="1">
        <v>45</v>
      </c>
      <c r="L43" s="1">
        <v>16</v>
      </c>
      <c r="M43" s="1">
        <v>28.257000000000001</v>
      </c>
      <c r="N43" s="1">
        <v>71</v>
      </c>
      <c r="O43" s="1">
        <v>13</v>
      </c>
      <c r="P43" s="1">
        <v>18</v>
      </c>
      <c r="Q43" s="1">
        <v>43</v>
      </c>
      <c r="R43" s="1">
        <v>18</v>
      </c>
      <c r="S43" s="1">
        <v>24.446000000000002</v>
      </c>
      <c r="T43" s="1">
        <v>124</v>
      </c>
      <c r="U43" s="1">
        <v>22</v>
      </c>
      <c r="V43" s="1">
        <v>25</v>
      </c>
      <c r="W43" s="1">
        <v>44</v>
      </c>
      <c r="X43" s="1">
        <v>21</v>
      </c>
      <c r="Y43" s="1">
        <v>30.257000000000001</v>
      </c>
      <c r="Z43" s="1">
        <v>85</v>
      </c>
      <c r="AA43" s="1">
        <v>14</v>
      </c>
      <c r="AB43" s="1">
        <v>21</v>
      </c>
      <c r="AC43" s="1">
        <v>45</v>
      </c>
      <c r="AD43" s="1">
        <v>15</v>
      </c>
      <c r="AE43" s="1">
        <v>27.247</v>
      </c>
      <c r="AF43" s="1">
        <v>98</v>
      </c>
      <c r="AG43" s="1">
        <v>13</v>
      </c>
      <c r="AH43" s="1">
        <v>24</v>
      </c>
      <c r="AI43" s="1">
        <v>48</v>
      </c>
      <c r="AJ43" s="1">
        <v>18</v>
      </c>
      <c r="AK43" s="1">
        <v>27.787000000000003</v>
      </c>
      <c r="AL43" s="1">
        <v>84</v>
      </c>
      <c r="AM43" s="1">
        <v>20</v>
      </c>
      <c r="AN43" s="1">
        <v>21</v>
      </c>
      <c r="AO43" s="1">
        <v>42</v>
      </c>
      <c r="AP43" s="1">
        <v>22</v>
      </c>
      <c r="AQ43" s="1">
        <v>27.025000000000002</v>
      </c>
      <c r="AR43" s="1">
        <v>89</v>
      </c>
      <c r="AS43" s="1">
        <v>24</v>
      </c>
      <c r="AT43" s="1">
        <v>20</v>
      </c>
      <c r="AU43" s="1">
        <v>43</v>
      </c>
      <c r="AV43" s="1">
        <v>17</v>
      </c>
      <c r="AW43" s="1">
        <v>26.490000000000002</v>
      </c>
      <c r="AX43" s="1">
        <v>95</v>
      </c>
      <c r="AY43" s="1">
        <v>23</v>
      </c>
      <c r="AZ43" s="1">
        <v>21</v>
      </c>
      <c r="BA43" s="1">
        <v>41</v>
      </c>
      <c r="BB43" s="1">
        <v>17</v>
      </c>
      <c r="BC43" s="1">
        <v>26.173999999999999</v>
      </c>
      <c r="BD43" s="1">
        <v>97</v>
      </c>
      <c r="BE43" s="1">
        <v>23</v>
      </c>
      <c r="BF43" s="1">
        <v>20</v>
      </c>
      <c r="BG43" s="1">
        <v>43</v>
      </c>
      <c r="BH43" s="1">
        <v>21</v>
      </c>
      <c r="BI43" s="1">
        <v>28.384</v>
      </c>
      <c r="BJ43" s="1">
        <v>75</v>
      </c>
      <c r="BK43" s="1">
        <v>22</v>
      </c>
      <c r="BL43" s="1">
        <v>24</v>
      </c>
      <c r="BM43" s="1">
        <v>43</v>
      </c>
      <c r="BN43" s="1">
        <v>22</v>
      </c>
      <c r="BO43" s="1">
        <v>24.874000000000002</v>
      </c>
      <c r="BP43" s="1">
        <v>75</v>
      </c>
      <c r="BQ43" s="1">
        <v>22</v>
      </c>
      <c r="BR43" s="1">
        <v>22</v>
      </c>
      <c r="BS43" s="1">
        <v>44</v>
      </c>
      <c r="BT43" s="1">
        <v>25</v>
      </c>
      <c r="BU43" s="1">
        <v>27.137</v>
      </c>
      <c r="BV43" s="1">
        <v>91</v>
      </c>
      <c r="BW43" s="1">
        <v>18</v>
      </c>
      <c r="BX43" s="1">
        <v>19</v>
      </c>
      <c r="BY43" s="1">
        <v>43</v>
      </c>
      <c r="BZ43" s="1">
        <v>17</v>
      </c>
      <c r="CA43" s="1">
        <v>26.129000000000001</v>
      </c>
      <c r="CB43" s="1">
        <v>78</v>
      </c>
      <c r="CC43" s="1">
        <v>22</v>
      </c>
      <c r="CD43" s="1">
        <v>22</v>
      </c>
      <c r="CE43" s="1">
        <v>42</v>
      </c>
      <c r="CF43" s="1">
        <v>21</v>
      </c>
      <c r="CG43" s="1">
        <v>25.393000000000001</v>
      </c>
      <c r="CH43" s="1">
        <v>93</v>
      </c>
      <c r="CI43" s="1">
        <v>22</v>
      </c>
      <c r="CJ43" s="1">
        <v>23</v>
      </c>
      <c r="CK43" s="1">
        <v>41</v>
      </c>
      <c r="CL43" s="1">
        <v>20</v>
      </c>
      <c r="CM43" s="1">
        <v>27.451000000000001</v>
      </c>
      <c r="CN43" s="1">
        <v>111</v>
      </c>
      <c r="CO43" s="1">
        <v>21</v>
      </c>
      <c r="CP43" s="1">
        <v>26</v>
      </c>
      <c r="CQ43" s="1">
        <v>41</v>
      </c>
      <c r="CR43" s="1">
        <v>22</v>
      </c>
      <c r="CS43" s="1">
        <v>28.548000000000002</v>
      </c>
      <c r="CT43" s="1">
        <v>98</v>
      </c>
      <c r="CU43" s="1">
        <v>20</v>
      </c>
      <c r="CV43" s="1">
        <v>20</v>
      </c>
      <c r="CW43" s="1">
        <v>47</v>
      </c>
      <c r="CX43" s="1">
        <v>22</v>
      </c>
      <c r="CY43" s="1">
        <v>27.714000000000002</v>
      </c>
      <c r="CZ43" s="1">
        <v>92</v>
      </c>
      <c r="DA43" s="1">
        <v>22</v>
      </c>
      <c r="DB43" s="1">
        <v>18</v>
      </c>
      <c r="DC43" s="1">
        <v>43</v>
      </c>
      <c r="DD43" s="1">
        <v>20</v>
      </c>
      <c r="DE43" s="1">
        <v>26.788</v>
      </c>
      <c r="DF43" s="1">
        <v>106</v>
      </c>
      <c r="DG43" s="1">
        <v>15</v>
      </c>
      <c r="DH43" s="1">
        <v>22</v>
      </c>
      <c r="DI43" s="1">
        <v>40</v>
      </c>
      <c r="DJ43" s="1">
        <v>19</v>
      </c>
      <c r="DK43" s="1">
        <v>28.48</v>
      </c>
      <c r="DL43" s="1">
        <v>125</v>
      </c>
      <c r="DM43" s="1">
        <v>17</v>
      </c>
      <c r="DN43" s="1">
        <v>21</v>
      </c>
      <c r="DO43" s="1">
        <v>41</v>
      </c>
      <c r="DP43" s="1">
        <v>20</v>
      </c>
      <c r="DQ43" s="1">
        <v>27.215</v>
      </c>
      <c r="DR43" s="1">
        <v>90</v>
      </c>
      <c r="DS43" s="1">
        <v>15</v>
      </c>
      <c r="DT43" s="1">
        <v>20</v>
      </c>
      <c r="DU43" s="1">
        <v>44</v>
      </c>
      <c r="DV43" s="1">
        <v>22</v>
      </c>
      <c r="DW43" s="1">
        <v>25.883000000000003</v>
      </c>
      <c r="DX43" s="1">
        <v>104</v>
      </c>
      <c r="DY43" s="1">
        <v>18</v>
      </c>
      <c r="DZ43" s="1">
        <v>17</v>
      </c>
      <c r="EA43" s="1">
        <v>44</v>
      </c>
      <c r="EB43" s="1">
        <v>18</v>
      </c>
      <c r="EC43" s="1">
        <v>29.048000000000002</v>
      </c>
      <c r="ED43" s="1">
        <v>127</v>
      </c>
      <c r="EE43" s="1">
        <v>22</v>
      </c>
      <c r="EF43" s="1">
        <v>24</v>
      </c>
      <c r="EG43" s="1">
        <v>42</v>
      </c>
      <c r="EH43" s="1">
        <v>23</v>
      </c>
      <c r="EI43" s="1">
        <v>27.853000000000002</v>
      </c>
      <c r="EJ43" s="1">
        <v>91</v>
      </c>
      <c r="EK43" s="1">
        <v>21</v>
      </c>
      <c r="EL43" s="1">
        <v>23</v>
      </c>
      <c r="EM43" s="1">
        <v>46</v>
      </c>
      <c r="EN43" s="1">
        <v>22</v>
      </c>
      <c r="EO43" s="1">
        <v>26.281000000000002</v>
      </c>
      <c r="EP43" s="1">
        <v>121</v>
      </c>
      <c r="EQ43" s="1">
        <v>12</v>
      </c>
      <c r="ER43" s="1">
        <v>19</v>
      </c>
      <c r="ES43" s="1">
        <v>41</v>
      </c>
      <c r="ET43" s="1">
        <v>19</v>
      </c>
      <c r="EU43" s="1">
        <v>29.054000000000002</v>
      </c>
      <c r="EV43" s="1">
        <v>75</v>
      </c>
      <c r="EW43" s="1">
        <v>25</v>
      </c>
      <c r="EX43" s="1">
        <v>20</v>
      </c>
      <c r="EY43" s="1">
        <v>44</v>
      </c>
      <c r="EZ43" s="1">
        <v>19</v>
      </c>
      <c r="FA43" s="1">
        <v>26.664000000000001</v>
      </c>
      <c r="FB43" s="1">
        <v>94</v>
      </c>
      <c r="FC43" s="1">
        <v>17</v>
      </c>
      <c r="FD43" s="1">
        <v>20</v>
      </c>
      <c r="FE43" s="1">
        <v>45</v>
      </c>
      <c r="FF43" s="1">
        <v>23</v>
      </c>
      <c r="FG43" s="1">
        <v>27.8</v>
      </c>
      <c r="FH43" s="1">
        <v>100</v>
      </c>
      <c r="FI43" s="1">
        <v>23</v>
      </c>
      <c r="FJ43" s="1">
        <v>24</v>
      </c>
      <c r="FK43" s="1">
        <v>40</v>
      </c>
      <c r="FL43" s="1">
        <v>17</v>
      </c>
      <c r="FM43" s="1">
        <v>27.042000000000002</v>
      </c>
      <c r="FN43" s="1">
        <v>118</v>
      </c>
      <c r="FO43" s="1">
        <v>19</v>
      </c>
      <c r="FP43" s="1">
        <v>25</v>
      </c>
      <c r="FQ43" s="1">
        <v>42</v>
      </c>
      <c r="FR43" s="1">
        <v>21</v>
      </c>
      <c r="FS43" s="1">
        <v>27.540000000000003</v>
      </c>
      <c r="FT43" s="1">
        <v>73</v>
      </c>
      <c r="FU43" s="1">
        <v>23</v>
      </c>
      <c r="FV43" s="1">
        <v>19</v>
      </c>
      <c r="FW43" s="1">
        <v>41</v>
      </c>
      <c r="FX43" s="1">
        <v>24</v>
      </c>
      <c r="FY43" s="1">
        <v>26.033000000000001</v>
      </c>
      <c r="FZ43" s="1">
        <v>86</v>
      </c>
      <c r="GA43" s="1">
        <v>13</v>
      </c>
      <c r="GB43" s="1">
        <v>21</v>
      </c>
      <c r="GC43" s="1">
        <v>44</v>
      </c>
      <c r="GD43" s="1">
        <v>23</v>
      </c>
      <c r="GE43" s="1">
        <v>25.369</v>
      </c>
      <c r="GF43" s="1">
        <v>100</v>
      </c>
      <c r="GG43" s="1">
        <v>16</v>
      </c>
      <c r="GH43" s="1">
        <v>24</v>
      </c>
      <c r="GI43" s="1">
        <v>46</v>
      </c>
      <c r="GJ43" s="1">
        <v>21</v>
      </c>
      <c r="GK43" s="1">
        <v>26.413</v>
      </c>
      <c r="GL43" s="1">
        <v>86</v>
      </c>
      <c r="GM43" s="1">
        <v>21</v>
      </c>
      <c r="GN43" s="1">
        <v>21</v>
      </c>
      <c r="GO43" s="1">
        <v>43</v>
      </c>
      <c r="GP43" s="1">
        <v>18</v>
      </c>
      <c r="GQ43" s="1">
        <v>28.434000000000001</v>
      </c>
      <c r="GR43" s="1">
        <v>84</v>
      </c>
      <c r="GS43" s="1">
        <v>20</v>
      </c>
      <c r="GT43" s="1">
        <v>24</v>
      </c>
      <c r="GU43" s="1">
        <v>42</v>
      </c>
      <c r="GV43" s="1">
        <v>20</v>
      </c>
      <c r="GW43" s="1">
        <v>24.907</v>
      </c>
      <c r="GX43" s="1">
        <v>67</v>
      </c>
      <c r="GY43" s="1">
        <v>21</v>
      </c>
      <c r="GZ43" s="1">
        <v>20</v>
      </c>
      <c r="HA43" s="1">
        <v>43</v>
      </c>
      <c r="HB43" s="1">
        <v>22</v>
      </c>
      <c r="HC43" s="1">
        <v>26.720000000000002</v>
      </c>
      <c r="HD43" s="1">
        <v>105</v>
      </c>
      <c r="HE43" s="1">
        <v>20</v>
      </c>
      <c r="HF43" s="1">
        <v>21</v>
      </c>
      <c r="HG43" s="1">
        <v>43</v>
      </c>
      <c r="HH43" s="1">
        <v>21</v>
      </c>
      <c r="HI43" s="1">
        <v>27.85</v>
      </c>
      <c r="HJ43" s="1">
        <v>69</v>
      </c>
      <c r="HK43" s="1">
        <v>21</v>
      </c>
      <c r="HL43" s="1">
        <v>21</v>
      </c>
      <c r="HM43" s="1">
        <v>41</v>
      </c>
      <c r="HN43" s="1">
        <v>20</v>
      </c>
      <c r="HO43" s="1">
        <v>23.179000000000002</v>
      </c>
      <c r="HP43" s="1">
        <v>76</v>
      </c>
      <c r="HQ43" s="1">
        <v>28</v>
      </c>
      <c r="HR43" s="1">
        <v>22</v>
      </c>
      <c r="HS43" s="1">
        <v>43</v>
      </c>
      <c r="HT43" s="1">
        <v>19</v>
      </c>
      <c r="HU43" s="1">
        <v>25.602</v>
      </c>
      <c r="HV43" s="1">
        <v>117</v>
      </c>
      <c r="HW43" s="1">
        <v>13</v>
      </c>
      <c r="HX43" s="1">
        <v>16</v>
      </c>
      <c r="HY43" s="1">
        <v>44</v>
      </c>
      <c r="HZ43" s="1">
        <v>18</v>
      </c>
      <c r="IA43" s="1">
        <v>29.026</v>
      </c>
      <c r="IB43" s="1">
        <v>118</v>
      </c>
      <c r="IC43" s="1">
        <v>18</v>
      </c>
      <c r="ID43" s="1">
        <v>23</v>
      </c>
      <c r="IE43" s="1">
        <v>42</v>
      </c>
      <c r="IF43" s="1">
        <v>23</v>
      </c>
      <c r="IG43" s="1">
        <v>28.751000000000001</v>
      </c>
      <c r="IH43" s="1">
        <v>106</v>
      </c>
      <c r="II43" s="1">
        <v>20</v>
      </c>
      <c r="IJ43" s="1">
        <v>21</v>
      </c>
      <c r="IK43" s="1">
        <v>45</v>
      </c>
      <c r="IL43" s="1">
        <v>21</v>
      </c>
      <c r="IM43" s="1">
        <v>26.991</v>
      </c>
      <c r="IN43" s="1">
        <v>102</v>
      </c>
      <c r="IO43" s="1">
        <v>17</v>
      </c>
      <c r="IP43" s="1">
        <v>20</v>
      </c>
      <c r="IQ43" s="1">
        <v>42</v>
      </c>
      <c r="IR43" s="1">
        <v>17</v>
      </c>
      <c r="IS43" s="1">
        <v>29.133000000000003</v>
      </c>
      <c r="IT43" s="1">
        <v>93</v>
      </c>
      <c r="IU43" s="1">
        <v>12</v>
      </c>
      <c r="IV43" s="1">
        <v>26</v>
      </c>
      <c r="IW43" s="1">
        <v>45</v>
      </c>
      <c r="IX43" s="1">
        <v>24</v>
      </c>
      <c r="IY43" s="1">
        <v>29.086000000000002</v>
      </c>
      <c r="IZ43" s="1">
        <v>116</v>
      </c>
      <c r="JA43" s="1">
        <v>13</v>
      </c>
      <c r="JB43" s="1">
        <v>21</v>
      </c>
      <c r="JC43" s="1">
        <v>45</v>
      </c>
      <c r="JD43" s="1">
        <v>17</v>
      </c>
      <c r="JE43" s="1">
        <v>27.526</v>
      </c>
      <c r="JF43" s="1">
        <v>115</v>
      </c>
      <c r="JG43" s="1">
        <v>29</v>
      </c>
      <c r="JH43" s="1">
        <v>24</v>
      </c>
      <c r="JI43" s="1">
        <v>43</v>
      </c>
      <c r="JJ43" s="1">
        <v>24</v>
      </c>
      <c r="JK43" s="1">
        <v>28.871000000000002</v>
      </c>
      <c r="JL43" s="1">
        <v>120</v>
      </c>
      <c r="JM43" s="1">
        <v>15</v>
      </c>
      <c r="JN43" s="1">
        <v>23</v>
      </c>
      <c r="JO43" s="1">
        <v>43</v>
      </c>
      <c r="JP43" s="1">
        <v>20</v>
      </c>
      <c r="JQ43" s="1">
        <v>28.519000000000002</v>
      </c>
      <c r="JR43" s="1">
        <v>75</v>
      </c>
      <c r="JS43" s="1">
        <v>7</v>
      </c>
      <c r="JT43" s="1">
        <v>19</v>
      </c>
      <c r="JU43" s="1">
        <v>45</v>
      </c>
      <c r="JV43" s="1">
        <v>20</v>
      </c>
      <c r="JW43" s="1">
        <v>27.219000000000001</v>
      </c>
      <c r="JX43" s="1">
        <v>73</v>
      </c>
      <c r="JY43" s="1">
        <v>20</v>
      </c>
      <c r="JZ43" s="1">
        <v>20</v>
      </c>
      <c r="KA43" s="1">
        <v>43</v>
      </c>
      <c r="KB43" s="1">
        <v>20</v>
      </c>
      <c r="KC43" s="1">
        <v>25.339000000000002</v>
      </c>
      <c r="KD43" s="1">
        <v>92</v>
      </c>
      <c r="KE43" s="1">
        <v>15</v>
      </c>
      <c r="KF43" s="1">
        <v>21</v>
      </c>
      <c r="KG43" s="1">
        <v>44</v>
      </c>
      <c r="KH43" s="1">
        <v>20</v>
      </c>
      <c r="KI43" s="1">
        <v>25.111000000000001</v>
      </c>
      <c r="KJ43" s="1">
        <v>82</v>
      </c>
      <c r="KK43" s="1">
        <v>20</v>
      </c>
      <c r="KL43" s="1">
        <v>20</v>
      </c>
      <c r="KM43" s="1">
        <v>41</v>
      </c>
      <c r="KN43" s="1">
        <v>21</v>
      </c>
      <c r="KO43" s="1">
        <v>24.858000000000001</v>
      </c>
      <c r="KP43" s="1">
        <v>123</v>
      </c>
      <c r="KQ43" s="1">
        <v>19</v>
      </c>
      <c r="KR43" s="1">
        <v>25</v>
      </c>
      <c r="KS43" s="1">
        <v>41</v>
      </c>
      <c r="KT43" s="1">
        <v>17</v>
      </c>
      <c r="KU43" s="1">
        <v>29.921000000000003</v>
      </c>
      <c r="KV43" s="1">
        <v>121</v>
      </c>
      <c r="KW43" s="1">
        <v>23</v>
      </c>
      <c r="KX43" s="1">
        <v>25</v>
      </c>
      <c r="KY43" s="1">
        <v>42</v>
      </c>
      <c r="KZ43" s="1">
        <v>20</v>
      </c>
      <c r="LA43" s="1">
        <v>29.273</v>
      </c>
      <c r="LB43" s="1">
        <v>81</v>
      </c>
      <c r="LC43" s="1">
        <v>19</v>
      </c>
      <c r="LD43" s="1">
        <v>18</v>
      </c>
      <c r="LE43" s="1">
        <v>45</v>
      </c>
      <c r="LF43" s="1">
        <v>22</v>
      </c>
      <c r="LG43" s="1">
        <v>26.998000000000001</v>
      </c>
      <c r="LH43" s="1">
        <v>68</v>
      </c>
      <c r="LI43" s="1">
        <v>19</v>
      </c>
      <c r="LJ43" s="1">
        <v>18</v>
      </c>
      <c r="LK43" s="1">
        <v>44</v>
      </c>
      <c r="LL43" s="1">
        <v>18</v>
      </c>
      <c r="LM43" s="1">
        <v>25.514000000000003</v>
      </c>
      <c r="LN43" s="1">
        <v>85</v>
      </c>
      <c r="LO43" s="1">
        <v>25</v>
      </c>
      <c r="LP43" s="1">
        <v>18</v>
      </c>
      <c r="LQ43" s="1">
        <v>41</v>
      </c>
      <c r="LR43" s="1">
        <v>18</v>
      </c>
      <c r="LS43" s="1">
        <v>26.226000000000003</v>
      </c>
      <c r="LT43" s="1">
        <v>90</v>
      </c>
      <c r="LU43" s="1">
        <v>13</v>
      </c>
      <c r="LV43" s="1">
        <v>18</v>
      </c>
      <c r="LW43" s="1">
        <v>44</v>
      </c>
      <c r="LX43" s="1">
        <v>22</v>
      </c>
      <c r="LY43" s="1">
        <v>25.307000000000002</v>
      </c>
      <c r="LZ43" s="1">
        <v>89</v>
      </c>
      <c r="MA43" s="1">
        <v>16</v>
      </c>
      <c r="MB43" s="1">
        <v>22</v>
      </c>
      <c r="MC43" s="1">
        <v>45</v>
      </c>
      <c r="MD43" s="1">
        <v>20</v>
      </c>
      <c r="ME43" s="1">
        <v>26.681000000000001</v>
      </c>
      <c r="MF43" s="1">
        <v>74</v>
      </c>
      <c r="MG43" s="1">
        <v>23</v>
      </c>
      <c r="MH43" s="1">
        <v>23</v>
      </c>
      <c r="MI43" s="1">
        <v>40</v>
      </c>
      <c r="MJ43" s="1">
        <v>20</v>
      </c>
      <c r="MK43" s="1">
        <v>25.054000000000002</v>
      </c>
      <c r="ML43" s="1">
        <v>91</v>
      </c>
      <c r="MM43" s="1">
        <v>16</v>
      </c>
      <c r="MN43" s="1">
        <v>25</v>
      </c>
      <c r="MO43" s="1">
        <v>41</v>
      </c>
      <c r="MP43" s="1">
        <v>17</v>
      </c>
      <c r="MQ43" s="1">
        <v>26.898</v>
      </c>
      <c r="MR43" s="1">
        <v>92</v>
      </c>
      <c r="MS43" s="1">
        <v>13</v>
      </c>
      <c r="MT43" s="1">
        <v>21</v>
      </c>
      <c r="MU43" s="1">
        <v>42</v>
      </c>
      <c r="MV43" s="1">
        <v>22</v>
      </c>
      <c r="MW43" s="1">
        <v>25.25</v>
      </c>
    </row>
    <row r="44" spans="1:361">
      <c r="A44" s="1">
        <v>41</v>
      </c>
      <c r="B44" s="1">
        <v>75</v>
      </c>
      <c r="C44" s="1">
        <v>17</v>
      </c>
      <c r="D44" s="1">
        <v>19</v>
      </c>
      <c r="E44" s="1">
        <v>46</v>
      </c>
      <c r="F44" s="1">
        <v>22</v>
      </c>
      <c r="G44" s="1">
        <v>26.007000000000001</v>
      </c>
      <c r="H44" s="1">
        <v>102</v>
      </c>
      <c r="I44" s="1">
        <v>13</v>
      </c>
      <c r="J44" s="1">
        <v>19</v>
      </c>
      <c r="K44" s="1">
        <v>42</v>
      </c>
      <c r="L44" s="1">
        <v>19</v>
      </c>
      <c r="M44" s="1">
        <v>26.979000000000003</v>
      </c>
      <c r="N44" s="1">
        <v>66</v>
      </c>
      <c r="O44" s="1">
        <v>21</v>
      </c>
      <c r="P44" s="1">
        <v>18</v>
      </c>
      <c r="Q44" s="1">
        <v>44</v>
      </c>
      <c r="R44" s="1">
        <v>22</v>
      </c>
      <c r="S44" s="1">
        <v>25.675000000000001</v>
      </c>
      <c r="T44" s="1">
        <v>86</v>
      </c>
      <c r="U44" s="1">
        <v>14</v>
      </c>
      <c r="V44" s="1">
        <v>21</v>
      </c>
      <c r="W44" s="1">
        <v>44</v>
      </c>
      <c r="X44" s="1">
        <v>20</v>
      </c>
      <c r="Y44" s="1">
        <v>26.503</v>
      </c>
      <c r="Z44" s="1">
        <v>95</v>
      </c>
      <c r="AA44" s="1">
        <v>18</v>
      </c>
      <c r="AB44" s="1">
        <v>20</v>
      </c>
      <c r="AC44" s="1">
        <v>41</v>
      </c>
      <c r="AD44" s="1">
        <v>21</v>
      </c>
      <c r="AE44" s="1">
        <v>25.619</v>
      </c>
      <c r="AF44" s="1">
        <v>87</v>
      </c>
      <c r="AG44" s="1">
        <v>21</v>
      </c>
      <c r="AH44" s="1">
        <v>17</v>
      </c>
      <c r="AI44" s="1">
        <v>46</v>
      </c>
      <c r="AJ44" s="1">
        <v>23</v>
      </c>
      <c r="AK44" s="1">
        <v>28.067</v>
      </c>
      <c r="AL44" s="1">
        <v>93</v>
      </c>
      <c r="AM44" s="1">
        <v>18</v>
      </c>
      <c r="AN44" s="1">
        <v>24</v>
      </c>
      <c r="AO44" s="1">
        <v>41</v>
      </c>
      <c r="AP44" s="1">
        <v>18</v>
      </c>
      <c r="AQ44" s="1">
        <v>27.373000000000001</v>
      </c>
      <c r="AR44" s="1">
        <v>97</v>
      </c>
      <c r="AS44" s="1">
        <v>23</v>
      </c>
      <c r="AT44" s="1">
        <v>25</v>
      </c>
      <c r="AU44" s="1">
        <v>45</v>
      </c>
      <c r="AV44" s="1">
        <v>16</v>
      </c>
      <c r="AW44" s="1">
        <v>28.957000000000001</v>
      </c>
      <c r="AX44" s="1">
        <v>120</v>
      </c>
      <c r="AY44" s="1">
        <v>24</v>
      </c>
      <c r="AZ44" s="1">
        <v>19</v>
      </c>
      <c r="BA44" s="1">
        <v>43</v>
      </c>
      <c r="BB44" s="1">
        <v>22</v>
      </c>
      <c r="BC44" s="1">
        <v>28.6</v>
      </c>
      <c r="BD44" s="1">
        <v>107</v>
      </c>
      <c r="BE44" s="1">
        <v>18</v>
      </c>
      <c r="BF44" s="1">
        <v>24</v>
      </c>
      <c r="BG44" s="1">
        <v>45</v>
      </c>
      <c r="BH44" s="1">
        <v>16</v>
      </c>
      <c r="BI44" s="1">
        <v>28.613</v>
      </c>
      <c r="BJ44" s="1">
        <v>99</v>
      </c>
      <c r="BK44" s="1">
        <v>18</v>
      </c>
      <c r="BL44" s="1">
        <v>20</v>
      </c>
      <c r="BM44" s="1">
        <v>41</v>
      </c>
      <c r="BN44" s="1">
        <v>21</v>
      </c>
      <c r="BO44" s="1">
        <v>26.59</v>
      </c>
      <c r="BP44" s="1">
        <v>90</v>
      </c>
      <c r="BQ44" s="1">
        <v>22</v>
      </c>
      <c r="BR44" s="1">
        <v>21</v>
      </c>
      <c r="BS44" s="1">
        <v>42</v>
      </c>
      <c r="BT44" s="1">
        <v>21</v>
      </c>
      <c r="BU44" s="1">
        <v>24.711000000000002</v>
      </c>
      <c r="BV44" s="1">
        <v>88</v>
      </c>
      <c r="BW44" s="1">
        <v>13</v>
      </c>
      <c r="BX44" s="1">
        <v>18</v>
      </c>
      <c r="BY44" s="1">
        <v>45</v>
      </c>
      <c r="BZ44" s="1">
        <v>20</v>
      </c>
      <c r="CA44" s="1">
        <v>27.045000000000002</v>
      </c>
      <c r="CB44" s="1">
        <v>76</v>
      </c>
      <c r="CC44" s="1">
        <v>20</v>
      </c>
      <c r="CD44" s="1">
        <v>20</v>
      </c>
      <c r="CE44" s="1">
        <v>43</v>
      </c>
      <c r="CF44" s="1">
        <v>19</v>
      </c>
      <c r="CG44" s="1">
        <v>26.843</v>
      </c>
      <c r="CH44" s="1">
        <v>84</v>
      </c>
      <c r="CI44" s="1">
        <v>17</v>
      </c>
      <c r="CJ44" s="1">
        <v>18</v>
      </c>
      <c r="CK44" s="1">
        <v>41</v>
      </c>
      <c r="CL44" s="1">
        <v>18</v>
      </c>
      <c r="CM44" s="1">
        <v>27.073</v>
      </c>
      <c r="CN44" s="1">
        <v>91</v>
      </c>
      <c r="CO44" s="1">
        <v>16</v>
      </c>
      <c r="CP44" s="1">
        <v>21</v>
      </c>
      <c r="CQ44" s="1">
        <v>41</v>
      </c>
      <c r="CR44" s="1">
        <v>18</v>
      </c>
      <c r="CS44" s="1">
        <v>24.324000000000002</v>
      </c>
      <c r="CT44" s="1">
        <v>104</v>
      </c>
      <c r="CU44" s="1">
        <v>16</v>
      </c>
      <c r="CV44" s="1">
        <v>24</v>
      </c>
      <c r="CW44" s="1">
        <v>39</v>
      </c>
      <c r="CX44" s="1">
        <v>19</v>
      </c>
      <c r="CY44" s="1">
        <v>26.283000000000001</v>
      </c>
      <c r="CZ44" s="1">
        <v>90</v>
      </c>
      <c r="DA44" s="1">
        <v>25</v>
      </c>
      <c r="DB44" s="1">
        <v>22</v>
      </c>
      <c r="DC44" s="1">
        <v>45</v>
      </c>
      <c r="DD44" s="1">
        <v>24</v>
      </c>
      <c r="DE44" s="1">
        <v>25.53</v>
      </c>
      <c r="DF44" s="1">
        <v>118</v>
      </c>
      <c r="DG44" s="1">
        <v>16</v>
      </c>
      <c r="DH44" s="1">
        <v>26</v>
      </c>
      <c r="DI44" s="1">
        <v>40</v>
      </c>
      <c r="DJ44" s="1">
        <v>21</v>
      </c>
      <c r="DK44" s="1">
        <v>28.381</v>
      </c>
      <c r="DL44" s="1">
        <v>67</v>
      </c>
      <c r="DM44" s="1">
        <v>18</v>
      </c>
      <c r="DN44" s="1">
        <v>20</v>
      </c>
      <c r="DO44" s="1">
        <v>45</v>
      </c>
      <c r="DP44" s="1">
        <v>19</v>
      </c>
      <c r="DQ44" s="1">
        <v>25.131</v>
      </c>
      <c r="DR44" s="1">
        <v>117</v>
      </c>
      <c r="DS44" s="1">
        <v>19</v>
      </c>
      <c r="DT44" s="1">
        <v>23</v>
      </c>
      <c r="DU44" s="1">
        <v>41</v>
      </c>
      <c r="DV44" s="1">
        <v>21</v>
      </c>
      <c r="DW44" s="1">
        <v>27.75</v>
      </c>
      <c r="DX44" s="1">
        <v>81</v>
      </c>
      <c r="DY44" s="1">
        <v>20</v>
      </c>
      <c r="DZ44" s="1">
        <v>14</v>
      </c>
      <c r="EA44" s="1">
        <v>43</v>
      </c>
      <c r="EB44" s="1">
        <v>21</v>
      </c>
      <c r="EC44" s="1">
        <v>26.643000000000001</v>
      </c>
      <c r="ED44" s="1">
        <v>120</v>
      </c>
      <c r="EE44" s="1">
        <v>21</v>
      </c>
      <c r="EF44" s="1">
        <v>23</v>
      </c>
      <c r="EG44" s="1">
        <v>40</v>
      </c>
      <c r="EH44" s="1">
        <v>18</v>
      </c>
      <c r="EI44" s="1">
        <v>29.256</v>
      </c>
      <c r="EJ44" s="1">
        <v>83</v>
      </c>
      <c r="EK44" s="1">
        <v>14</v>
      </c>
      <c r="EL44" s="1">
        <v>23</v>
      </c>
      <c r="EM44" s="1">
        <v>44</v>
      </c>
      <c r="EN44" s="1">
        <v>22</v>
      </c>
      <c r="EO44" s="1">
        <v>27.672000000000001</v>
      </c>
      <c r="EP44" s="1">
        <v>92</v>
      </c>
      <c r="EQ44" s="1">
        <v>15</v>
      </c>
      <c r="ER44" s="1">
        <v>23</v>
      </c>
      <c r="ES44" s="1">
        <v>43</v>
      </c>
      <c r="ET44" s="1">
        <v>19</v>
      </c>
      <c r="EU44" s="1">
        <v>25.293000000000003</v>
      </c>
      <c r="EV44" s="1">
        <v>99</v>
      </c>
      <c r="EW44" s="1">
        <v>19</v>
      </c>
      <c r="EX44" s="1">
        <v>21</v>
      </c>
      <c r="EY44" s="1">
        <v>42</v>
      </c>
      <c r="EZ44" s="1">
        <v>23</v>
      </c>
      <c r="FA44" s="1">
        <v>27.636000000000003</v>
      </c>
      <c r="FB44" s="1">
        <v>95</v>
      </c>
      <c r="FC44" s="1">
        <v>16</v>
      </c>
      <c r="FD44" s="1">
        <v>19</v>
      </c>
      <c r="FE44" s="1">
        <v>43</v>
      </c>
      <c r="FF44" s="1">
        <v>21</v>
      </c>
      <c r="FG44" s="1">
        <v>25.849</v>
      </c>
      <c r="FH44" s="1">
        <v>112</v>
      </c>
      <c r="FI44" s="1">
        <v>20</v>
      </c>
      <c r="FJ44" s="1">
        <v>20</v>
      </c>
      <c r="FK44" s="1">
        <v>44</v>
      </c>
      <c r="FL44" s="1">
        <v>18</v>
      </c>
      <c r="FM44" s="1">
        <v>27.37</v>
      </c>
      <c r="FN44" s="1">
        <v>115</v>
      </c>
      <c r="FO44" s="1">
        <v>21</v>
      </c>
      <c r="FP44" s="1">
        <v>21</v>
      </c>
      <c r="FQ44" s="1">
        <v>40</v>
      </c>
      <c r="FR44" s="1">
        <v>21</v>
      </c>
      <c r="FS44" s="1">
        <v>27.644000000000002</v>
      </c>
      <c r="FT44" s="1">
        <v>72</v>
      </c>
      <c r="FU44" s="1">
        <v>18</v>
      </c>
      <c r="FV44" s="1">
        <v>19</v>
      </c>
      <c r="FW44" s="1">
        <v>43</v>
      </c>
      <c r="FX44" s="1">
        <v>21</v>
      </c>
      <c r="FY44" s="1">
        <v>24.248000000000001</v>
      </c>
      <c r="FZ44" s="1">
        <v>116</v>
      </c>
      <c r="GA44" s="1">
        <v>16</v>
      </c>
      <c r="GB44" s="1">
        <v>22</v>
      </c>
      <c r="GC44" s="1">
        <v>42</v>
      </c>
      <c r="GD44" s="1">
        <v>20</v>
      </c>
      <c r="GE44" s="1">
        <v>29.007000000000001</v>
      </c>
      <c r="GF44" s="1">
        <v>85</v>
      </c>
      <c r="GG44" s="1">
        <v>20</v>
      </c>
      <c r="GH44" s="1">
        <v>16</v>
      </c>
      <c r="GI44" s="1">
        <v>45</v>
      </c>
      <c r="GJ44" s="1">
        <v>19</v>
      </c>
      <c r="GK44" s="1">
        <v>28.686</v>
      </c>
      <c r="GL44" s="1">
        <v>74</v>
      </c>
      <c r="GM44" s="1">
        <v>13</v>
      </c>
      <c r="GN44" s="1">
        <v>18</v>
      </c>
      <c r="GO44" s="1">
        <v>44</v>
      </c>
      <c r="GP44" s="1">
        <v>20</v>
      </c>
      <c r="GQ44" s="1">
        <v>24.359000000000002</v>
      </c>
      <c r="GR44" s="1">
        <v>98</v>
      </c>
      <c r="GS44" s="1">
        <v>21</v>
      </c>
      <c r="GT44" s="1">
        <v>19</v>
      </c>
      <c r="GU44" s="1">
        <v>46</v>
      </c>
      <c r="GV44" s="1">
        <v>22</v>
      </c>
      <c r="GW44" s="1">
        <v>28.404</v>
      </c>
      <c r="GX44" s="1">
        <v>118</v>
      </c>
      <c r="GY44" s="1">
        <v>23</v>
      </c>
      <c r="GZ44" s="1">
        <v>23</v>
      </c>
      <c r="HA44" s="1">
        <v>42</v>
      </c>
      <c r="HB44" s="1">
        <v>19</v>
      </c>
      <c r="HC44" s="1">
        <v>26.830000000000002</v>
      </c>
      <c r="HD44" s="1">
        <v>73</v>
      </c>
      <c r="HE44" s="1">
        <v>20</v>
      </c>
      <c r="HF44" s="1">
        <v>19</v>
      </c>
      <c r="HG44" s="1">
        <v>44</v>
      </c>
      <c r="HH44" s="1">
        <v>16</v>
      </c>
      <c r="HI44" s="1">
        <v>25.502000000000002</v>
      </c>
      <c r="HJ44" s="1">
        <v>105</v>
      </c>
      <c r="HK44" s="1">
        <v>14</v>
      </c>
      <c r="HL44" s="1">
        <v>24</v>
      </c>
      <c r="HM44" s="1">
        <v>40</v>
      </c>
      <c r="HN44" s="1">
        <v>15</v>
      </c>
      <c r="HO44" s="1">
        <v>25.753</v>
      </c>
      <c r="HP44" s="1">
        <v>103</v>
      </c>
      <c r="HQ44" s="1">
        <v>14</v>
      </c>
      <c r="HR44" s="1">
        <v>24</v>
      </c>
      <c r="HS44" s="1">
        <v>43</v>
      </c>
      <c r="HT44" s="1">
        <v>19</v>
      </c>
      <c r="HU44" s="1">
        <v>25.734000000000002</v>
      </c>
      <c r="HV44" s="1">
        <v>90</v>
      </c>
      <c r="HW44" s="1">
        <v>8</v>
      </c>
      <c r="HX44" s="1">
        <v>27</v>
      </c>
      <c r="HY44" s="1">
        <v>44</v>
      </c>
      <c r="HZ44" s="1">
        <v>19</v>
      </c>
      <c r="IA44" s="1">
        <v>26.76</v>
      </c>
      <c r="IB44" s="1">
        <v>76</v>
      </c>
      <c r="IC44" s="1">
        <v>28</v>
      </c>
      <c r="ID44" s="1">
        <v>19</v>
      </c>
      <c r="IE44" s="1">
        <v>44</v>
      </c>
      <c r="IF44" s="1">
        <v>20</v>
      </c>
      <c r="IG44" s="1">
        <v>26.298999999999999</v>
      </c>
      <c r="IH44" s="1">
        <v>119</v>
      </c>
      <c r="II44" s="1">
        <v>20</v>
      </c>
      <c r="IJ44" s="1">
        <v>24</v>
      </c>
      <c r="IK44" s="1">
        <v>39</v>
      </c>
      <c r="IL44" s="1">
        <v>20</v>
      </c>
      <c r="IM44" s="1">
        <v>28.991</v>
      </c>
      <c r="IN44" s="1">
        <v>76</v>
      </c>
      <c r="IO44" s="1">
        <v>11</v>
      </c>
      <c r="IP44" s="1">
        <v>17</v>
      </c>
      <c r="IQ44" s="1">
        <v>41</v>
      </c>
      <c r="IR44" s="1">
        <v>18</v>
      </c>
      <c r="IS44" s="1">
        <v>25.704000000000001</v>
      </c>
      <c r="IT44" s="1">
        <v>80</v>
      </c>
      <c r="IU44" s="1">
        <v>19</v>
      </c>
      <c r="IV44" s="1">
        <v>23</v>
      </c>
      <c r="IW44" s="1">
        <v>42</v>
      </c>
      <c r="IX44" s="1">
        <v>19</v>
      </c>
      <c r="IY44" s="1">
        <v>24.141999999999999</v>
      </c>
      <c r="IZ44" s="1">
        <v>85</v>
      </c>
      <c r="JA44" s="1">
        <v>13</v>
      </c>
      <c r="JB44" s="1">
        <v>20</v>
      </c>
      <c r="JC44" s="1">
        <v>44</v>
      </c>
      <c r="JD44" s="1">
        <v>26</v>
      </c>
      <c r="JE44" s="1">
        <v>25.899000000000001</v>
      </c>
      <c r="JF44" s="1">
        <v>108</v>
      </c>
      <c r="JG44" s="1">
        <v>18</v>
      </c>
      <c r="JH44" s="1">
        <v>26</v>
      </c>
      <c r="JI44" s="1">
        <v>42</v>
      </c>
      <c r="JJ44" s="1">
        <v>18</v>
      </c>
      <c r="JK44" s="1">
        <v>26.826000000000001</v>
      </c>
      <c r="JL44" s="1">
        <v>65</v>
      </c>
      <c r="JM44" s="1">
        <v>23</v>
      </c>
      <c r="JN44" s="1">
        <v>13</v>
      </c>
      <c r="JO44" s="1">
        <v>41</v>
      </c>
      <c r="JP44" s="1">
        <v>19</v>
      </c>
      <c r="JQ44" s="1">
        <v>23.816000000000003</v>
      </c>
      <c r="JR44" s="1">
        <v>122</v>
      </c>
      <c r="JS44" s="1">
        <v>16</v>
      </c>
      <c r="JT44" s="1">
        <v>29</v>
      </c>
      <c r="JU44" s="1">
        <v>43</v>
      </c>
      <c r="JV44" s="1">
        <v>19</v>
      </c>
      <c r="JW44" s="1">
        <v>28.527000000000001</v>
      </c>
      <c r="JX44" s="1">
        <v>72</v>
      </c>
      <c r="JY44" s="1">
        <v>20</v>
      </c>
      <c r="JZ44" s="1">
        <v>19</v>
      </c>
      <c r="KA44" s="1">
        <v>45</v>
      </c>
      <c r="KB44" s="1">
        <v>21</v>
      </c>
      <c r="KC44" s="1">
        <v>23.863</v>
      </c>
      <c r="KD44" s="1">
        <v>112</v>
      </c>
      <c r="KE44" s="1">
        <v>30</v>
      </c>
      <c r="KF44" s="1">
        <v>24</v>
      </c>
      <c r="KG44" s="1">
        <v>42</v>
      </c>
      <c r="KH44" s="1">
        <v>19</v>
      </c>
      <c r="KI44" s="1">
        <v>26.85</v>
      </c>
      <c r="KJ44" s="1">
        <v>76</v>
      </c>
      <c r="KK44" s="1">
        <v>20</v>
      </c>
      <c r="KL44" s="1">
        <v>18</v>
      </c>
      <c r="KM44" s="1">
        <v>44</v>
      </c>
      <c r="KN44" s="1">
        <v>18</v>
      </c>
      <c r="KO44" s="1">
        <v>24.269000000000002</v>
      </c>
      <c r="KP44" s="1">
        <v>77</v>
      </c>
      <c r="KQ44" s="1">
        <v>10</v>
      </c>
      <c r="KR44" s="1">
        <v>19</v>
      </c>
      <c r="KS44" s="1">
        <v>44</v>
      </c>
      <c r="KT44" s="1">
        <v>20</v>
      </c>
      <c r="KU44" s="1">
        <v>26.589000000000002</v>
      </c>
      <c r="KV44" s="1">
        <v>114</v>
      </c>
      <c r="KW44" s="1">
        <v>24</v>
      </c>
      <c r="KX44" s="1">
        <v>25</v>
      </c>
      <c r="KY44" s="1">
        <v>45</v>
      </c>
      <c r="KZ44" s="1">
        <v>20</v>
      </c>
      <c r="LA44" s="1">
        <v>28.416</v>
      </c>
      <c r="LB44" s="1">
        <v>115</v>
      </c>
      <c r="LC44" s="1">
        <v>19</v>
      </c>
      <c r="LD44" s="1">
        <v>23</v>
      </c>
      <c r="LE44" s="1">
        <v>41</v>
      </c>
      <c r="LF44" s="1">
        <v>15</v>
      </c>
      <c r="LG44" s="1">
        <v>27.458000000000002</v>
      </c>
      <c r="LH44" s="1">
        <v>69</v>
      </c>
      <c r="LI44" s="1">
        <v>16</v>
      </c>
      <c r="LJ44" s="1">
        <v>22</v>
      </c>
      <c r="LK44" s="1">
        <v>41</v>
      </c>
      <c r="LL44" s="1">
        <v>21</v>
      </c>
      <c r="LM44" s="1">
        <v>22.966000000000001</v>
      </c>
      <c r="LN44" s="1">
        <v>96</v>
      </c>
      <c r="LO44" s="1">
        <v>26</v>
      </c>
      <c r="LP44" s="1">
        <v>18</v>
      </c>
      <c r="LQ44" s="1">
        <v>42</v>
      </c>
      <c r="LR44" s="1">
        <v>19</v>
      </c>
      <c r="LS44" s="1">
        <v>27.281000000000002</v>
      </c>
      <c r="LT44" s="1">
        <v>128</v>
      </c>
      <c r="LU44" s="1">
        <v>26</v>
      </c>
      <c r="LV44" s="1">
        <v>24</v>
      </c>
      <c r="LW44" s="1">
        <v>40</v>
      </c>
      <c r="LX44" s="1">
        <v>19</v>
      </c>
      <c r="LY44" s="1">
        <v>27.661000000000001</v>
      </c>
      <c r="LZ44" s="1">
        <v>127</v>
      </c>
      <c r="MA44" s="1">
        <v>21</v>
      </c>
      <c r="MB44" s="1">
        <v>23</v>
      </c>
      <c r="MC44" s="1">
        <v>41</v>
      </c>
      <c r="MD44" s="1">
        <v>19</v>
      </c>
      <c r="ME44" s="1">
        <v>30.548000000000002</v>
      </c>
      <c r="MF44" s="1">
        <v>91</v>
      </c>
      <c r="MG44" s="1">
        <v>17</v>
      </c>
      <c r="MH44" s="1">
        <v>17</v>
      </c>
      <c r="MI44" s="1">
        <v>43</v>
      </c>
      <c r="MJ44" s="1">
        <v>19</v>
      </c>
      <c r="MK44" s="1">
        <v>24.631</v>
      </c>
      <c r="ML44" s="1">
        <v>115</v>
      </c>
      <c r="MM44" s="1">
        <v>28</v>
      </c>
      <c r="MN44" s="1">
        <v>27</v>
      </c>
      <c r="MO44" s="1">
        <v>42</v>
      </c>
      <c r="MP44" s="1">
        <v>24</v>
      </c>
      <c r="MQ44" s="1">
        <v>28.873000000000001</v>
      </c>
      <c r="MR44" s="1">
        <v>122</v>
      </c>
      <c r="MS44" s="1">
        <v>22</v>
      </c>
      <c r="MT44" s="1">
        <v>27</v>
      </c>
      <c r="MU44" s="1">
        <v>42</v>
      </c>
      <c r="MV44" s="1">
        <v>23</v>
      </c>
      <c r="MW44" s="1">
        <v>27.632000000000001</v>
      </c>
    </row>
    <row r="45" spans="1:361">
      <c r="A45" s="1">
        <v>42</v>
      </c>
      <c r="B45" s="1">
        <v>78</v>
      </c>
      <c r="C45" s="1">
        <v>20</v>
      </c>
      <c r="D45" s="1">
        <v>20</v>
      </c>
      <c r="E45" s="1">
        <v>44</v>
      </c>
      <c r="F45" s="1">
        <v>22</v>
      </c>
      <c r="G45" s="1">
        <v>24.849</v>
      </c>
      <c r="H45" s="1">
        <v>115</v>
      </c>
      <c r="I45" s="1">
        <v>16</v>
      </c>
      <c r="J45" s="1">
        <v>21</v>
      </c>
      <c r="K45" s="1">
        <v>43</v>
      </c>
      <c r="L45" s="1">
        <v>21</v>
      </c>
      <c r="M45" s="1">
        <v>27.504000000000001</v>
      </c>
      <c r="N45" s="1">
        <v>109</v>
      </c>
      <c r="O45" s="1">
        <v>16</v>
      </c>
      <c r="P45" s="1">
        <v>23</v>
      </c>
      <c r="Q45" s="1">
        <v>41</v>
      </c>
      <c r="R45" s="1">
        <v>21</v>
      </c>
      <c r="S45" s="1">
        <v>27.080000000000002</v>
      </c>
      <c r="T45" s="1">
        <v>97</v>
      </c>
      <c r="U45" s="1">
        <v>22</v>
      </c>
      <c r="V45" s="1">
        <v>22</v>
      </c>
      <c r="W45" s="1">
        <v>40</v>
      </c>
      <c r="X45" s="1">
        <v>20</v>
      </c>
      <c r="Y45" s="1">
        <v>27.383000000000003</v>
      </c>
      <c r="Z45" s="1">
        <v>96</v>
      </c>
      <c r="AA45" s="1">
        <v>22</v>
      </c>
      <c r="AB45" s="1">
        <v>21</v>
      </c>
      <c r="AC45" s="1">
        <v>41</v>
      </c>
      <c r="AD45" s="1">
        <v>19</v>
      </c>
      <c r="AE45" s="1">
        <v>25.039000000000001</v>
      </c>
      <c r="AF45" s="1">
        <v>75</v>
      </c>
      <c r="AG45" s="1">
        <v>12</v>
      </c>
      <c r="AH45" s="1">
        <v>19</v>
      </c>
      <c r="AI45" s="1">
        <v>44</v>
      </c>
      <c r="AJ45" s="1">
        <v>18</v>
      </c>
      <c r="AK45" s="1">
        <v>25.244</v>
      </c>
      <c r="AL45" s="1">
        <v>115</v>
      </c>
      <c r="AM45" s="1">
        <v>17</v>
      </c>
      <c r="AN45" s="1">
        <v>23</v>
      </c>
      <c r="AO45" s="1">
        <v>44</v>
      </c>
      <c r="AP45" s="1">
        <v>20</v>
      </c>
      <c r="AQ45" s="1">
        <v>27.946000000000002</v>
      </c>
      <c r="AR45" s="1">
        <v>104</v>
      </c>
      <c r="AS45" s="1">
        <v>14</v>
      </c>
      <c r="AT45" s="1">
        <v>22</v>
      </c>
      <c r="AU45" s="1">
        <v>42</v>
      </c>
      <c r="AV45" s="1">
        <v>17</v>
      </c>
      <c r="AW45" s="1">
        <v>28.953000000000003</v>
      </c>
      <c r="AX45" s="1">
        <v>90</v>
      </c>
      <c r="AY45" s="1">
        <v>24</v>
      </c>
      <c r="AZ45" s="1">
        <v>21</v>
      </c>
      <c r="BA45" s="1">
        <v>40</v>
      </c>
      <c r="BB45" s="1">
        <v>18</v>
      </c>
      <c r="BC45" s="1">
        <v>23.996000000000002</v>
      </c>
      <c r="BD45" s="1">
        <v>90</v>
      </c>
      <c r="BE45" s="1">
        <v>17</v>
      </c>
      <c r="BF45" s="1">
        <v>18</v>
      </c>
      <c r="BG45" s="1">
        <v>41</v>
      </c>
      <c r="BH45" s="1">
        <v>17</v>
      </c>
      <c r="BI45" s="1">
        <v>26.334</v>
      </c>
      <c r="BJ45" s="1">
        <v>93</v>
      </c>
      <c r="BK45" s="1">
        <v>20</v>
      </c>
      <c r="BL45" s="1">
        <v>18</v>
      </c>
      <c r="BM45" s="1">
        <v>43</v>
      </c>
      <c r="BN45" s="1">
        <v>24</v>
      </c>
      <c r="BO45" s="1">
        <v>29.432000000000002</v>
      </c>
      <c r="BP45" s="1">
        <v>74</v>
      </c>
      <c r="BQ45" s="1">
        <v>14</v>
      </c>
      <c r="BR45" s="1">
        <v>19</v>
      </c>
      <c r="BS45" s="1">
        <v>43</v>
      </c>
      <c r="BT45" s="1">
        <v>22</v>
      </c>
      <c r="BU45" s="1">
        <v>25.912000000000003</v>
      </c>
      <c r="BV45" s="1">
        <v>105</v>
      </c>
      <c r="BW45" s="1">
        <v>15</v>
      </c>
      <c r="BX45" s="1">
        <v>24</v>
      </c>
      <c r="BY45" s="1">
        <v>39</v>
      </c>
      <c r="BZ45" s="1">
        <v>16</v>
      </c>
      <c r="CA45" s="1">
        <v>27.094000000000001</v>
      </c>
      <c r="CB45" s="1">
        <v>77</v>
      </c>
      <c r="CC45" s="1">
        <v>18</v>
      </c>
      <c r="CD45" s="1">
        <v>17</v>
      </c>
      <c r="CE45" s="1">
        <v>40</v>
      </c>
      <c r="CF45" s="1">
        <v>21</v>
      </c>
      <c r="CG45" s="1">
        <v>25.64</v>
      </c>
      <c r="CH45" s="1">
        <v>101</v>
      </c>
      <c r="CI45" s="1">
        <v>22</v>
      </c>
      <c r="CJ45" s="1">
        <v>20</v>
      </c>
      <c r="CK45" s="1">
        <v>43</v>
      </c>
      <c r="CL45" s="1">
        <v>26</v>
      </c>
      <c r="CM45" s="1">
        <v>28.545000000000002</v>
      </c>
      <c r="CN45" s="1">
        <v>70</v>
      </c>
      <c r="CO45" s="1">
        <v>18</v>
      </c>
      <c r="CP45" s="1">
        <v>19</v>
      </c>
      <c r="CQ45" s="1">
        <v>42</v>
      </c>
      <c r="CR45" s="1">
        <v>20</v>
      </c>
      <c r="CS45" s="1">
        <v>25.403000000000002</v>
      </c>
      <c r="CT45" s="1">
        <v>90</v>
      </c>
      <c r="CU45" s="1">
        <v>21</v>
      </c>
      <c r="CV45" s="1">
        <v>18</v>
      </c>
      <c r="CW45" s="1">
        <v>45</v>
      </c>
      <c r="CX45" s="1">
        <v>19</v>
      </c>
      <c r="CY45" s="1">
        <v>25.17</v>
      </c>
      <c r="CZ45" s="1">
        <v>74</v>
      </c>
      <c r="DA45" s="1">
        <v>23</v>
      </c>
      <c r="DB45" s="1">
        <v>19</v>
      </c>
      <c r="DC45" s="1">
        <v>45</v>
      </c>
      <c r="DD45" s="1">
        <v>24</v>
      </c>
      <c r="DE45" s="1">
        <v>26.372</v>
      </c>
      <c r="DF45" s="1">
        <v>106</v>
      </c>
      <c r="DG45" s="1">
        <v>30</v>
      </c>
      <c r="DH45" s="1">
        <v>18</v>
      </c>
      <c r="DI45" s="1">
        <v>40</v>
      </c>
      <c r="DJ45" s="1">
        <v>17</v>
      </c>
      <c r="DK45" s="1">
        <v>28.1</v>
      </c>
      <c r="DL45" s="1">
        <v>92</v>
      </c>
      <c r="DM45" s="1">
        <v>16</v>
      </c>
      <c r="DN45" s="1">
        <v>18</v>
      </c>
      <c r="DO45" s="1">
        <v>44</v>
      </c>
      <c r="DP45" s="1">
        <v>19</v>
      </c>
      <c r="DQ45" s="1">
        <v>27.554000000000002</v>
      </c>
      <c r="DR45" s="1">
        <v>111</v>
      </c>
      <c r="DS45" s="1">
        <v>26</v>
      </c>
      <c r="DT45" s="1">
        <v>26</v>
      </c>
      <c r="DU45" s="1">
        <v>43</v>
      </c>
      <c r="DV45" s="1">
        <v>21</v>
      </c>
      <c r="DW45" s="1">
        <v>26.945</v>
      </c>
      <c r="DX45" s="1">
        <v>106</v>
      </c>
      <c r="DY45" s="1">
        <v>20</v>
      </c>
      <c r="DZ45" s="1">
        <v>16</v>
      </c>
      <c r="EA45" s="1">
        <v>47</v>
      </c>
      <c r="EB45" s="1">
        <v>21</v>
      </c>
      <c r="EC45" s="1">
        <v>29.650000000000002</v>
      </c>
      <c r="ED45" s="1">
        <v>74</v>
      </c>
      <c r="EE45" s="1">
        <v>16</v>
      </c>
      <c r="EF45" s="1">
        <v>21</v>
      </c>
      <c r="EG45" s="1">
        <v>42</v>
      </c>
      <c r="EH45" s="1">
        <v>17</v>
      </c>
      <c r="EI45" s="1">
        <v>24.827000000000002</v>
      </c>
      <c r="EJ45" s="1">
        <v>99</v>
      </c>
      <c r="EK45" s="1">
        <v>10</v>
      </c>
      <c r="EL45" s="1">
        <v>19</v>
      </c>
      <c r="EM45" s="1">
        <v>43</v>
      </c>
      <c r="EN45" s="1">
        <v>20</v>
      </c>
      <c r="EO45" s="1">
        <v>27.181000000000001</v>
      </c>
      <c r="EP45" s="1">
        <v>72</v>
      </c>
      <c r="EQ45" s="1">
        <v>18</v>
      </c>
      <c r="ER45" s="1">
        <v>18</v>
      </c>
      <c r="ES45" s="1">
        <v>40</v>
      </c>
      <c r="ET45" s="1">
        <v>19</v>
      </c>
      <c r="EU45" s="1">
        <v>22.958000000000002</v>
      </c>
      <c r="EV45" s="1">
        <v>112</v>
      </c>
      <c r="EW45" s="1">
        <v>17</v>
      </c>
      <c r="EX45" s="1">
        <v>26</v>
      </c>
      <c r="EY45" s="1">
        <v>40</v>
      </c>
      <c r="EZ45" s="1">
        <v>21</v>
      </c>
      <c r="FA45" s="1">
        <v>25.853000000000002</v>
      </c>
      <c r="FB45" s="1">
        <v>85</v>
      </c>
      <c r="FC45" s="1">
        <v>12</v>
      </c>
      <c r="FD45" s="1">
        <v>20</v>
      </c>
      <c r="FE45" s="1">
        <v>45</v>
      </c>
      <c r="FF45" s="1">
        <v>22</v>
      </c>
      <c r="FG45" s="1">
        <v>28.747</v>
      </c>
      <c r="FH45" s="1">
        <v>119</v>
      </c>
      <c r="FI45" s="1">
        <v>24</v>
      </c>
      <c r="FJ45" s="1">
        <v>22</v>
      </c>
      <c r="FK45" s="1">
        <v>44</v>
      </c>
      <c r="FL45" s="1">
        <v>18</v>
      </c>
      <c r="FM45" s="1">
        <v>27.927</v>
      </c>
      <c r="FN45" s="1">
        <v>100</v>
      </c>
      <c r="FO45" s="1">
        <v>20</v>
      </c>
      <c r="FP45" s="1">
        <v>25</v>
      </c>
      <c r="FQ45" s="1">
        <v>43</v>
      </c>
      <c r="FR45" s="1">
        <v>21</v>
      </c>
      <c r="FS45" s="1">
        <v>28.074000000000002</v>
      </c>
      <c r="FT45" s="1">
        <v>87</v>
      </c>
      <c r="FU45" s="1">
        <v>24</v>
      </c>
      <c r="FV45" s="1">
        <v>25</v>
      </c>
      <c r="FW45" s="1">
        <v>43</v>
      </c>
      <c r="FX45" s="1">
        <v>26</v>
      </c>
      <c r="FY45" s="1">
        <v>28.599</v>
      </c>
      <c r="FZ45" s="1">
        <v>123</v>
      </c>
      <c r="GA45" s="1">
        <v>27</v>
      </c>
      <c r="GB45" s="1">
        <v>25</v>
      </c>
      <c r="GC45" s="1">
        <v>44</v>
      </c>
      <c r="GD45" s="1">
        <v>19</v>
      </c>
      <c r="GE45" s="1">
        <v>28.798999999999999</v>
      </c>
      <c r="GF45" s="1">
        <v>84</v>
      </c>
      <c r="GG45" s="1">
        <v>20</v>
      </c>
      <c r="GH45" s="1">
        <v>23</v>
      </c>
      <c r="GI45" s="1">
        <v>41</v>
      </c>
      <c r="GJ45" s="1">
        <v>19</v>
      </c>
      <c r="GK45" s="1">
        <v>25.641999999999999</v>
      </c>
      <c r="GL45" s="1">
        <v>82</v>
      </c>
      <c r="GM45" s="1">
        <v>19</v>
      </c>
      <c r="GN45" s="1">
        <v>20</v>
      </c>
      <c r="GO45" s="1">
        <v>40</v>
      </c>
      <c r="GP45" s="1">
        <v>20</v>
      </c>
      <c r="GQ45" s="1">
        <v>24.740000000000002</v>
      </c>
      <c r="GR45" s="1">
        <v>126</v>
      </c>
      <c r="GS45" s="1">
        <v>24</v>
      </c>
      <c r="GT45" s="1">
        <v>24</v>
      </c>
      <c r="GU45" s="1">
        <v>41</v>
      </c>
      <c r="GV45" s="1">
        <v>21</v>
      </c>
      <c r="GW45" s="1">
        <v>29.675000000000001</v>
      </c>
      <c r="GX45" s="1">
        <v>70</v>
      </c>
      <c r="GY45" s="1">
        <v>11</v>
      </c>
      <c r="GZ45" s="1">
        <v>19</v>
      </c>
      <c r="HA45" s="1">
        <v>43</v>
      </c>
      <c r="HB45" s="1">
        <v>23</v>
      </c>
      <c r="HC45" s="1">
        <v>27.183</v>
      </c>
      <c r="HD45" s="1">
        <v>97</v>
      </c>
      <c r="HE45" s="1">
        <v>14</v>
      </c>
      <c r="HF45" s="1">
        <v>20</v>
      </c>
      <c r="HG45" s="1">
        <v>42</v>
      </c>
      <c r="HH45" s="1">
        <v>20</v>
      </c>
      <c r="HI45" s="1">
        <v>25.505000000000003</v>
      </c>
      <c r="HJ45" s="1">
        <v>97</v>
      </c>
      <c r="HK45" s="1">
        <v>18</v>
      </c>
      <c r="HL45" s="1">
        <v>22</v>
      </c>
      <c r="HM45" s="1">
        <v>43</v>
      </c>
      <c r="HN45" s="1">
        <v>20</v>
      </c>
      <c r="HO45" s="1">
        <v>27.101000000000003</v>
      </c>
      <c r="HP45" s="1">
        <v>79</v>
      </c>
      <c r="HQ45" s="1">
        <v>27</v>
      </c>
      <c r="HR45" s="1">
        <v>20</v>
      </c>
      <c r="HS45" s="1">
        <v>46</v>
      </c>
      <c r="HT45" s="1">
        <v>21</v>
      </c>
      <c r="HU45" s="1">
        <v>26.627000000000002</v>
      </c>
      <c r="HV45" s="1">
        <v>107</v>
      </c>
      <c r="HW45" s="1">
        <v>12</v>
      </c>
      <c r="HX45" s="1">
        <v>19</v>
      </c>
      <c r="HY45" s="1">
        <v>43</v>
      </c>
      <c r="HZ45" s="1">
        <v>20</v>
      </c>
      <c r="IA45" s="1">
        <v>28.831</v>
      </c>
      <c r="IB45" s="1">
        <v>107</v>
      </c>
      <c r="IC45" s="1">
        <v>21</v>
      </c>
      <c r="ID45" s="1">
        <v>24</v>
      </c>
      <c r="IE45" s="1">
        <v>42</v>
      </c>
      <c r="IF45" s="1">
        <v>16</v>
      </c>
      <c r="IG45" s="1">
        <v>26.188000000000002</v>
      </c>
      <c r="IH45" s="1">
        <v>110</v>
      </c>
      <c r="II45" s="1">
        <v>23</v>
      </c>
      <c r="IJ45" s="1">
        <v>21</v>
      </c>
      <c r="IK45" s="1">
        <v>41</v>
      </c>
      <c r="IL45" s="1">
        <v>22</v>
      </c>
      <c r="IM45" s="1">
        <v>27.808</v>
      </c>
      <c r="IN45" s="1">
        <v>84</v>
      </c>
      <c r="IO45" s="1">
        <v>22</v>
      </c>
      <c r="IP45" s="1">
        <v>23</v>
      </c>
      <c r="IQ45" s="1">
        <v>45</v>
      </c>
      <c r="IR45" s="1">
        <v>21</v>
      </c>
      <c r="IS45" s="1">
        <v>26.111000000000001</v>
      </c>
      <c r="IT45" s="1">
        <v>91</v>
      </c>
      <c r="IU45" s="1">
        <v>24</v>
      </c>
      <c r="IV45" s="1">
        <v>21</v>
      </c>
      <c r="IW45" s="1">
        <v>42</v>
      </c>
      <c r="IX45" s="1">
        <v>21</v>
      </c>
      <c r="IY45" s="1">
        <v>28.053000000000001</v>
      </c>
      <c r="IZ45" s="1">
        <v>96</v>
      </c>
      <c r="JA45" s="1">
        <v>13</v>
      </c>
      <c r="JB45" s="1">
        <v>19</v>
      </c>
      <c r="JC45" s="1">
        <v>45</v>
      </c>
      <c r="JD45" s="1">
        <v>21</v>
      </c>
      <c r="JE45" s="1">
        <v>25.67</v>
      </c>
      <c r="JF45" s="1">
        <v>99</v>
      </c>
      <c r="JG45" s="1">
        <v>31</v>
      </c>
      <c r="JH45" s="1">
        <v>24</v>
      </c>
      <c r="JI45" s="1">
        <v>41</v>
      </c>
      <c r="JJ45" s="1">
        <v>18</v>
      </c>
      <c r="JK45" s="1">
        <v>26.632000000000001</v>
      </c>
      <c r="JL45" s="1">
        <v>89</v>
      </c>
      <c r="JM45" s="1">
        <v>13</v>
      </c>
      <c r="JN45" s="1">
        <v>22</v>
      </c>
      <c r="JO45" s="1">
        <v>43</v>
      </c>
      <c r="JP45" s="1">
        <v>19</v>
      </c>
      <c r="JQ45" s="1">
        <v>25.845000000000002</v>
      </c>
      <c r="JR45" s="1">
        <v>78</v>
      </c>
      <c r="JS45" s="1">
        <v>22</v>
      </c>
      <c r="JT45" s="1">
        <v>21</v>
      </c>
      <c r="JU45" s="1">
        <v>41</v>
      </c>
      <c r="JV45" s="1">
        <v>19</v>
      </c>
      <c r="JW45" s="1">
        <v>26.127000000000002</v>
      </c>
      <c r="JX45" s="1">
        <v>108</v>
      </c>
      <c r="JY45" s="1">
        <v>21</v>
      </c>
      <c r="JZ45" s="1">
        <v>22</v>
      </c>
      <c r="KA45" s="1">
        <v>42</v>
      </c>
      <c r="KB45" s="1">
        <v>22</v>
      </c>
      <c r="KC45" s="1">
        <v>27.846</v>
      </c>
      <c r="KD45" s="1">
        <v>105</v>
      </c>
      <c r="KE45" s="1">
        <v>24</v>
      </c>
      <c r="KF45" s="1">
        <v>20</v>
      </c>
      <c r="KG45" s="1">
        <v>46</v>
      </c>
      <c r="KH45" s="1">
        <v>19</v>
      </c>
      <c r="KI45" s="1">
        <v>26.68</v>
      </c>
      <c r="KJ45" s="1">
        <v>77</v>
      </c>
      <c r="KK45" s="1">
        <v>13</v>
      </c>
      <c r="KL45" s="1">
        <v>19</v>
      </c>
      <c r="KM45" s="1">
        <v>43</v>
      </c>
      <c r="KN45" s="1">
        <v>20</v>
      </c>
      <c r="KO45" s="1">
        <v>24.232000000000003</v>
      </c>
      <c r="KP45" s="1">
        <v>93</v>
      </c>
      <c r="KQ45" s="1">
        <v>20</v>
      </c>
      <c r="KR45" s="1">
        <v>23</v>
      </c>
      <c r="KS45" s="1">
        <v>46</v>
      </c>
      <c r="KT45" s="1">
        <v>23</v>
      </c>
      <c r="KU45" s="1">
        <v>26.719000000000001</v>
      </c>
      <c r="KV45" s="1">
        <v>86</v>
      </c>
      <c r="KW45" s="1">
        <v>20</v>
      </c>
      <c r="KX45" s="1">
        <v>20</v>
      </c>
      <c r="KY45" s="1">
        <v>40</v>
      </c>
      <c r="KZ45" s="1">
        <v>21</v>
      </c>
      <c r="LA45" s="1">
        <v>25.446000000000002</v>
      </c>
      <c r="LB45" s="1">
        <v>107</v>
      </c>
      <c r="LC45" s="1">
        <v>15</v>
      </c>
      <c r="LD45" s="1">
        <v>29</v>
      </c>
      <c r="LE45" s="1">
        <v>44</v>
      </c>
      <c r="LF45" s="1">
        <v>19</v>
      </c>
      <c r="LG45" s="1">
        <v>27.921000000000003</v>
      </c>
      <c r="LH45" s="1">
        <v>98</v>
      </c>
      <c r="LI45" s="1">
        <v>17</v>
      </c>
      <c r="LJ45" s="1">
        <v>26</v>
      </c>
      <c r="LK45" s="1">
        <v>44</v>
      </c>
      <c r="LL45" s="1">
        <v>20</v>
      </c>
      <c r="LM45" s="1">
        <v>27.005000000000003</v>
      </c>
      <c r="LN45" s="1">
        <v>92</v>
      </c>
      <c r="LO45" s="1">
        <v>15</v>
      </c>
      <c r="LP45" s="1">
        <v>18</v>
      </c>
      <c r="LQ45" s="1">
        <v>45</v>
      </c>
      <c r="LR45" s="1">
        <v>21</v>
      </c>
      <c r="LS45" s="1">
        <v>26.877000000000002</v>
      </c>
      <c r="LT45" s="1">
        <v>128</v>
      </c>
      <c r="LU45" s="1">
        <v>16</v>
      </c>
      <c r="LV45" s="1">
        <v>22</v>
      </c>
      <c r="LW45" s="1">
        <v>42</v>
      </c>
      <c r="LX45" s="1">
        <v>20</v>
      </c>
      <c r="LY45" s="1">
        <v>29.602</v>
      </c>
      <c r="LZ45" s="1">
        <v>69</v>
      </c>
      <c r="MA45" s="1">
        <v>20</v>
      </c>
      <c r="MB45" s="1">
        <v>17</v>
      </c>
      <c r="MC45" s="1">
        <v>46</v>
      </c>
      <c r="MD45" s="1">
        <v>20</v>
      </c>
      <c r="ME45" s="1">
        <v>23.395</v>
      </c>
      <c r="MF45" s="1">
        <v>88</v>
      </c>
      <c r="MG45" s="1">
        <v>14</v>
      </c>
      <c r="MH45" s="1">
        <v>17</v>
      </c>
      <c r="MI45" s="1">
        <v>42</v>
      </c>
      <c r="MJ45" s="1">
        <v>22</v>
      </c>
      <c r="MK45" s="1">
        <v>25.998000000000001</v>
      </c>
      <c r="ML45" s="1">
        <v>114</v>
      </c>
      <c r="MM45" s="1">
        <v>15</v>
      </c>
      <c r="MN45" s="1">
        <v>26</v>
      </c>
      <c r="MO45" s="1">
        <v>41</v>
      </c>
      <c r="MP45" s="1">
        <v>18</v>
      </c>
      <c r="MQ45" s="1">
        <v>29.754000000000001</v>
      </c>
      <c r="MR45" s="1">
        <v>78</v>
      </c>
      <c r="MS45" s="1">
        <v>16</v>
      </c>
      <c r="MT45" s="1">
        <v>18</v>
      </c>
      <c r="MU45" s="1">
        <v>41</v>
      </c>
      <c r="MV45" s="1">
        <v>17</v>
      </c>
      <c r="MW45" s="1">
        <v>25.704000000000001</v>
      </c>
    </row>
    <row r="46" spans="1:361">
      <c r="A46" s="1">
        <v>43</v>
      </c>
      <c r="B46" s="1">
        <v>75</v>
      </c>
      <c r="C46" s="1">
        <v>18</v>
      </c>
      <c r="D46" s="1">
        <v>20</v>
      </c>
      <c r="E46" s="1">
        <v>41</v>
      </c>
      <c r="F46" s="1">
        <v>20</v>
      </c>
      <c r="G46" s="1">
        <v>27.516000000000002</v>
      </c>
      <c r="H46" s="1">
        <v>98</v>
      </c>
      <c r="I46" s="1">
        <v>21</v>
      </c>
      <c r="J46" s="1">
        <v>24</v>
      </c>
      <c r="K46" s="1">
        <v>41</v>
      </c>
      <c r="L46" s="1">
        <v>21</v>
      </c>
      <c r="M46" s="1">
        <v>25.527000000000001</v>
      </c>
      <c r="N46" s="1">
        <v>128</v>
      </c>
      <c r="O46" s="1">
        <v>20</v>
      </c>
      <c r="P46" s="1">
        <v>25</v>
      </c>
      <c r="Q46" s="1">
        <v>43</v>
      </c>
      <c r="R46" s="1">
        <v>22</v>
      </c>
      <c r="S46" s="1">
        <v>30.407</v>
      </c>
      <c r="T46" s="1">
        <v>97</v>
      </c>
      <c r="U46" s="1">
        <v>14</v>
      </c>
      <c r="V46" s="1">
        <v>18</v>
      </c>
      <c r="W46" s="1">
        <v>42</v>
      </c>
      <c r="X46" s="1">
        <v>18</v>
      </c>
      <c r="Y46" s="1">
        <v>26.624000000000002</v>
      </c>
      <c r="Z46" s="1">
        <v>101</v>
      </c>
      <c r="AA46" s="1">
        <v>24</v>
      </c>
      <c r="AB46" s="1">
        <v>21</v>
      </c>
      <c r="AC46" s="1">
        <v>41</v>
      </c>
      <c r="AD46" s="1">
        <v>19</v>
      </c>
      <c r="AE46" s="1">
        <v>27.173000000000002</v>
      </c>
      <c r="AF46" s="1">
        <v>128</v>
      </c>
      <c r="AG46" s="1">
        <v>21</v>
      </c>
      <c r="AH46" s="1">
        <v>20</v>
      </c>
      <c r="AI46" s="1">
        <v>42</v>
      </c>
      <c r="AJ46" s="1">
        <v>21</v>
      </c>
      <c r="AK46" s="1">
        <v>29.358000000000001</v>
      </c>
      <c r="AL46" s="1">
        <v>82</v>
      </c>
      <c r="AM46" s="1">
        <v>26</v>
      </c>
      <c r="AN46" s="1">
        <v>22</v>
      </c>
      <c r="AO46" s="1">
        <v>44</v>
      </c>
      <c r="AP46" s="1">
        <v>21</v>
      </c>
      <c r="AQ46" s="1">
        <v>28.426000000000002</v>
      </c>
      <c r="AR46" s="1">
        <v>77</v>
      </c>
      <c r="AS46" s="1">
        <v>16</v>
      </c>
      <c r="AT46" s="1">
        <v>15</v>
      </c>
      <c r="AU46" s="1">
        <v>47</v>
      </c>
      <c r="AV46" s="1">
        <v>21</v>
      </c>
      <c r="AW46" s="1">
        <v>25.741</v>
      </c>
      <c r="AX46" s="1">
        <v>120</v>
      </c>
      <c r="AY46" s="1">
        <v>11</v>
      </c>
      <c r="AZ46" s="1">
        <v>23</v>
      </c>
      <c r="BA46" s="1">
        <v>46</v>
      </c>
      <c r="BB46" s="1">
        <v>19</v>
      </c>
      <c r="BC46" s="1">
        <v>29.666</v>
      </c>
      <c r="BD46" s="1">
        <v>109</v>
      </c>
      <c r="BE46" s="1">
        <v>17</v>
      </c>
      <c r="BF46" s="1">
        <v>19</v>
      </c>
      <c r="BG46" s="1">
        <v>45</v>
      </c>
      <c r="BH46" s="1">
        <v>19</v>
      </c>
      <c r="BI46" s="1">
        <v>29.84</v>
      </c>
      <c r="BJ46" s="1">
        <v>115</v>
      </c>
      <c r="BK46" s="1">
        <v>10</v>
      </c>
      <c r="BL46" s="1">
        <v>22</v>
      </c>
      <c r="BM46" s="1">
        <v>44</v>
      </c>
      <c r="BN46" s="1">
        <v>20</v>
      </c>
      <c r="BO46" s="1">
        <v>26.130000000000003</v>
      </c>
      <c r="BP46" s="1">
        <v>94</v>
      </c>
      <c r="BQ46" s="1">
        <v>24</v>
      </c>
      <c r="BR46" s="1">
        <v>23</v>
      </c>
      <c r="BS46" s="1">
        <v>42</v>
      </c>
      <c r="BT46" s="1">
        <v>21</v>
      </c>
      <c r="BU46" s="1">
        <v>27.212</v>
      </c>
      <c r="BV46" s="1">
        <v>113</v>
      </c>
      <c r="BW46" s="1">
        <v>16</v>
      </c>
      <c r="BX46" s="1">
        <v>25</v>
      </c>
      <c r="BY46" s="1">
        <v>43</v>
      </c>
      <c r="BZ46" s="1">
        <v>20</v>
      </c>
      <c r="CA46" s="1">
        <v>29.163</v>
      </c>
      <c r="CB46" s="1">
        <v>73</v>
      </c>
      <c r="CC46" s="1">
        <v>16</v>
      </c>
      <c r="CD46" s="1">
        <v>24</v>
      </c>
      <c r="CE46" s="1">
        <v>42</v>
      </c>
      <c r="CF46" s="1">
        <v>19</v>
      </c>
      <c r="CG46" s="1">
        <v>25.348000000000003</v>
      </c>
      <c r="CH46" s="1">
        <v>80</v>
      </c>
      <c r="CI46" s="1">
        <v>18</v>
      </c>
      <c r="CJ46" s="1">
        <v>22</v>
      </c>
      <c r="CK46" s="1">
        <v>44</v>
      </c>
      <c r="CL46" s="1">
        <v>22</v>
      </c>
      <c r="CM46" s="1">
        <v>24.631</v>
      </c>
      <c r="CN46" s="1">
        <v>92</v>
      </c>
      <c r="CO46" s="1">
        <v>25</v>
      </c>
      <c r="CP46" s="1">
        <v>16</v>
      </c>
      <c r="CQ46" s="1">
        <v>45</v>
      </c>
      <c r="CR46" s="1">
        <v>23</v>
      </c>
      <c r="CS46" s="1">
        <v>26.219000000000001</v>
      </c>
      <c r="CT46" s="1">
        <v>94</v>
      </c>
      <c r="CU46" s="1">
        <v>18</v>
      </c>
      <c r="CV46" s="1">
        <v>24</v>
      </c>
      <c r="CW46" s="1">
        <v>40</v>
      </c>
      <c r="CX46" s="1">
        <v>20</v>
      </c>
      <c r="CY46" s="1">
        <v>25.756</v>
      </c>
      <c r="CZ46" s="1">
        <v>122</v>
      </c>
      <c r="DA46" s="1">
        <v>14</v>
      </c>
      <c r="DB46" s="1">
        <v>25</v>
      </c>
      <c r="DC46" s="1">
        <v>43</v>
      </c>
      <c r="DD46" s="1">
        <v>18</v>
      </c>
      <c r="DE46" s="1">
        <v>27.832000000000001</v>
      </c>
      <c r="DF46" s="1">
        <v>87</v>
      </c>
      <c r="DG46" s="1">
        <v>8</v>
      </c>
      <c r="DH46" s="1">
        <v>22</v>
      </c>
      <c r="DI46" s="1">
        <v>43</v>
      </c>
      <c r="DJ46" s="1">
        <v>23</v>
      </c>
      <c r="DK46" s="1">
        <v>25.769000000000002</v>
      </c>
      <c r="DL46" s="1">
        <v>103</v>
      </c>
      <c r="DM46" s="1">
        <v>22</v>
      </c>
      <c r="DN46" s="1">
        <v>25</v>
      </c>
      <c r="DO46" s="1">
        <v>41</v>
      </c>
      <c r="DP46" s="1">
        <v>17</v>
      </c>
      <c r="DQ46" s="1">
        <v>26.236000000000001</v>
      </c>
      <c r="DR46" s="1">
        <v>74</v>
      </c>
      <c r="DS46" s="1">
        <v>23</v>
      </c>
      <c r="DT46" s="1">
        <v>18</v>
      </c>
      <c r="DU46" s="1">
        <v>42</v>
      </c>
      <c r="DV46" s="1">
        <v>22</v>
      </c>
      <c r="DW46" s="1">
        <v>25.052</v>
      </c>
      <c r="DX46" s="1">
        <v>87</v>
      </c>
      <c r="DY46" s="1">
        <v>13</v>
      </c>
      <c r="DZ46" s="1">
        <v>20</v>
      </c>
      <c r="EA46" s="1">
        <v>44</v>
      </c>
      <c r="EB46" s="1">
        <v>20</v>
      </c>
      <c r="EC46" s="1">
        <v>26.656000000000002</v>
      </c>
      <c r="ED46" s="1">
        <v>128</v>
      </c>
      <c r="EE46" s="1">
        <v>16</v>
      </c>
      <c r="EF46" s="1">
        <v>28</v>
      </c>
      <c r="EG46" s="1">
        <v>42</v>
      </c>
      <c r="EH46" s="1">
        <v>20</v>
      </c>
      <c r="EI46" s="1">
        <v>29.540000000000003</v>
      </c>
      <c r="EJ46" s="1">
        <v>90</v>
      </c>
      <c r="EK46" s="1">
        <v>17</v>
      </c>
      <c r="EL46" s="1">
        <v>21</v>
      </c>
      <c r="EM46" s="1">
        <v>41</v>
      </c>
      <c r="EN46" s="1">
        <v>19</v>
      </c>
      <c r="EO46" s="1">
        <v>25.291</v>
      </c>
      <c r="EP46" s="1">
        <v>119</v>
      </c>
      <c r="EQ46" s="1">
        <v>30</v>
      </c>
      <c r="ER46" s="1">
        <v>21</v>
      </c>
      <c r="ES46" s="1">
        <v>44</v>
      </c>
      <c r="ET46" s="1">
        <v>20</v>
      </c>
      <c r="EU46" s="1">
        <v>28.853000000000002</v>
      </c>
      <c r="EV46" s="1">
        <v>80</v>
      </c>
      <c r="EW46" s="1">
        <v>20</v>
      </c>
      <c r="EX46" s="1">
        <v>22</v>
      </c>
      <c r="EY46" s="1">
        <v>47</v>
      </c>
      <c r="EZ46" s="1">
        <v>22</v>
      </c>
      <c r="FA46" s="1">
        <v>25.75</v>
      </c>
      <c r="FB46" s="1">
        <v>66</v>
      </c>
      <c r="FC46" s="1">
        <v>16</v>
      </c>
      <c r="FD46" s="1">
        <v>17</v>
      </c>
      <c r="FE46" s="1">
        <v>45</v>
      </c>
      <c r="FF46" s="1">
        <v>14</v>
      </c>
      <c r="FG46" s="1">
        <v>27.473000000000003</v>
      </c>
      <c r="FH46" s="1">
        <v>106</v>
      </c>
      <c r="FI46" s="1">
        <v>15</v>
      </c>
      <c r="FJ46" s="1">
        <v>23</v>
      </c>
      <c r="FK46" s="1">
        <v>40</v>
      </c>
      <c r="FL46" s="1">
        <v>19</v>
      </c>
      <c r="FM46" s="1">
        <v>26.379000000000001</v>
      </c>
      <c r="FN46" s="1">
        <v>112</v>
      </c>
      <c r="FO46" s="1">
        <v>18</v>
      </c>
      <c r="FP46" s="1">
        <v>15</v>
      </c>
      <c r="FQ46" s="1">
        <v>43</v>
      </c>
      <c r="FR46" s="1">
        <v>16</v>
      </c>
      <c r="FS46" s="1">
        <v>27.739000000000001</v>
      </c>
      <c r="FT46" s="1">
        <v>123</v>
      </c>
      <c r="FU46" s="1">
        <v>13</v>
      </c>
      <c r="FV46" s="1">
        <v>24</v>
      </c>
      <c r="FW46" s="1">
        <v>43</v>
      </c>
      <c r="FX46" s="1">
        <v>19</v>
      </c>
      <c r="FY46" s="1">
        <v>28.986000000000001</v>
      </c>
      <c r="FZ46" s="1">
        <v>103</v>
      </c>
      <c r="GA46" s="1">
        <v>22</v>
      </c>
      <c r="GB46" s="1">
        <v>17</v>
      </c>
      <c r="GC46" s="1">
        <v>42</v>
      </c>
      <c r="GD46" s="1">
        <v>22</v>
      </c>
      <c r="GE46" s="1">
        <v>29.471</v>
      </c>
      <c r="GF46" s="1">
        <v>96</v>
      </c>
      <c r="GG46" s="1">
        <v>28</v>
      </c>
      <c r="GH46" s="1">
        <v>19</v>
      </c>
      <c r="GI46" s="1">
        <v>41</v>
      </c>
      <c r="GJ46" s="1">
        <v>20</v>
      </c>
      <c r="GK46" s="1">
        <v>25.672000000000001</v>
      </c>
      <c r="GL46" s="1">
        <v>79</v>
      </c>
      <c r="GM46" s="1">
        <v>18</v>
      </c>
      <c r="GN46" s="1">
        <v>18</v>
      </c>
      <c r="GO46" s="1">
        <v>42</v>
      </c>
      <c r="GP46" s="1">
        <v>19</v>
      </c>
      <c r="GQ46" s="1">
        <v>25.429000000000002</v>
      </c>
      <c r="GR46" s="1">
        <v>90</v>
      </c>
      <c r="GS46" s="1">
        <v>21</v>
      </c>
      <c r="GT46" s="1">
        <v>16</v>
      </c>
      <c r="GU46" s="1">
        <v>42</v>
      </c>
      <c r="GV46" s="1">
        <v>22</v>
      </c>
      <c r="GW46" s="1">
        <v>26.782</v>
      </c>
      <c r="GX46" s="1">
        <v>84</v>
      </c>
      <c r="GY46" s="1">
        <v>24</v>
      </c>
      <c r="GZ46" s="1">
        <v>20</v>
      </c>
      <c r="HA46" s="1">
        <v>40</v>
      </c>
      <c r="HB46" s="1">
        <v>19</v>
      </c>
      <c r="HC46" s="1">
        <v>25.91</v>
      </c>
      <c r="HD46" s="1">
        <v>79</v>
      </c>
      <c r="HE46" s="1">
        <v>17</v>
      </c>
      <c r="HF46" s="1">
        <v>17</v>
      </c>
      <c r="HG46" s="1">
        <v>43</v>
      </c>
      <c r="HH46" s="1">
        <v>17</v>
      </c>
      <c r="HI46" s="1">
        <v>24.844000000000001</v>
      </c>
      <c r="HJ46" s="1">
        <v>89</v>
      </c>
      <c r="HK46" s="1">
        <v>24</v>
      </c>
      <c r="HL46" s="1">
        <v>24</v>
      </c>
      <c r="HM46" s="1">
        <v>40</v>
      </c>
      <c r="HN46" s="1">
        <v>19</v>
      </c>
      <c r="HO46" s="1">
        <v>25.950000000000003</v>
      </c>
      <c r="HP46" s="1">
        <v>67</v>
      </c>
      <c r="HQ46" s="1">
        <v>5</v>
      </c>
      <c r="HR46" s="1">
        <v>18</v>
      </c>
      <c r="HS46" s="1">
        <v>40</v>
      </c>
      <c r="HT46" s="1">
        <v>20</v>
      </c>
      <c r="HU46" s="1">
        <v>24.758000000000003</v>
      </c>
      <c r="HV46" s="1">
        <v>117</v>
      </c>
      <c r="HW46" s="1">
        <v>18</v>
      </c>
      <c r="HX46" s="1">
        <v>26</v>
      </c>
      <c r="HY46" s="1">
        <v>42</v>
      </c>
      <c r="HZ46" s="1">
        <v>21</v>
      </c>
      <c r="IA46" s="1">
        <v>29.772000000000002</v>
      </c>
      <c r="IB46" s="1">
        <v>68</v>
      </c>
      <c r="IC46" s="1">
        <v>19</v>
      </c>
      <c r="ID46" s="1">
        <v>19</v>
      </c>
      <c r="IE46" s="1">
        <v>42</v>
      </c>
      <c r="IF46" s="1">
        <v>16</v>
      </c>
      <c r="IG46" s="1">
        <v>22.534000000000002</v>
      </c>
      <c r="IH46" s="1">
        <v>100</v>
      </c>
      <c r="II46" s="1">
        <v>18</v>
      </c>
      <c r="IJ46" s="1">
        <v>21</v>
      </c>
      <c r="IK46" s="1">
        <v>44</v>
      </c>
      <c r="IL46" s="1">
        <v>21</v>
      </c>
      <c r="IM46" s="1">
        <v>28.536000000000001</v>
      </c>
      <c r="IN46" s="1">
        <v>71</v>
      </c>
      <c r="IO46" s="1">
        <v>16</v>
      </c>
      <c r="IP46" s="1">
        <v>19</v>
      </c>
      <c r="IQ46" s="1">
        <v>44</v>
      </c>
      <c r="IR46" s="1">
        <v>21</v>
      </c>
      <c r="IS46" s="1">
        <v>24.658000000000001</v>
      </c>
      <c r="IT46" s="1">
        <v>67</v>
      </c>
      <c r="IU46" s="1">
        <v>20</v>
      </c>
      <c r="IV46" s="1">
        <v>19</v>
      </c>
      <c r="IW46" s="1">
        <v>43</v>
      </c>
      <c r="IX46" s="1">
        <v>20</v>
      </c>
      <c r="IY46" s="1">
        <v>25.593</v>
      </c>
      <c r="IZ46" s="1">
        <v>114</v>
      </c>
      <c r="JA46" s="1">
        <v>32</v>
      </c>
      <c r="JB46" s="1">
        <v>22</v>
      </c>
      <c r="JC46" s="1">
        <v>45</v>
      </c>
      <c r="JD46" s="1">
        <v>24</v>
      </c>
      <c r="JE46" s="1">
        <v>26.322000000000003</v>
      </c>
      <c r="JF46" s="1">
        <v>123</v>
      </c>
      <c r="JG46" s="1">
        <v>17</v>
      </c>
      <c r="JH46" s="1">
        <v>24</v>
      </c>
      <c r="JI46" s="1">
        <v>44</v>
      </c>
      <c r="JJ46" s="1">
        <v>16</v>
      </c>
      <c r="JK46" s="1">
        <v>30.164000000000001</v>
      </c>
      <c r="JL46" s="1">
        <v>68</v>
      </c>
      <c r="JM46" s="1">
        <v>9</v>
      </c>
      <c r="JN46" s="1">
        <v>19</v>
      </c>
      <c r="JO46" s="1">
        <v>40</v>
      </c>
      <c r="JP46" s="1">
        <v>19</v>
      </c>
      <c r="JQ46" s="1">
        <v>24.766999999999999</v>
      </c>
      <c r="JR46" s="1">
        <v>101</v>
      </c>
      <c r="JS46" s="1">
        <v>16</v>
      </c>
      <c r="JT46" s="1">
        <v>24</v>
      </c>
      <c r="JU46" s="1">
        <v>42</v>
      </c>
      <c r="JV46" s="1">
        <v>21</v>
      </c>
      <c r="JW46" s="1">
        <v>28.442</v>
      </c>
      <c r="JX46" s="1">
        <v>87</v>
      </c>
      <c r="JY46" s="1">
        <v>15</v>
      </c>
      <c r="JZ46" s="1">
        <v>22</v>
      </c>
      <c r="KA46" s="1">
        <v>44</v>
      </c>
      <c r="KB46" s="1">
        <v>21</v>
      </c>
      <c r="KC46" s="1">
        <v>26.196000000000002</v>
      </c>
      <c r="KD46" s="1">
        <v>94</v>
      </c>
      <c r="KE46" s="1">
        <v>22</v>
      </c>
      <c r="KF46" s="1">
        <v>20</v>
      </c>
      <c r="KG46" s="1">
        <v>45</v>
      </c>
      <c r="KH46" s="1">
        <v>16</v>
      </c>
      <c r="KI46" s="1">
        <v>28.536000000000001</v>
      </c>
      <c r="KJ46" s="1">
        <v>127</v>
      </c>
      <c r="KK46" s="1">
        <v>20</v>
      </c>
      <c r="KL46" s="1">
        <v>26</v>
      </c>
      <c r="KM46" s="1">
        <v>43</v>
      </c>
      <c r="KN46" s="1">
        <v>16</v>
      </c>
      <c r="KO46" s="1">
        <v>27.78</v>
      </c>
      <c r="KP46" s="1">
        <v>118</v>
      </c>
      <c r="KQ46" s="1">
        <v>23</v>
      </c>
      <c r="KR46" s="1">
        <v>23</v>
      </c>
      <c r="KS46" s="1">
        <v>39</v>
      </c>
      <c r="KT46" s="1">
        <v>17</v>
      </c>
      <c r="KU46" s="1">
        <v>27.063000000000002</v>
      </c>
      <c r="KV46" s="1">
        <v>76</v>
      </c>
      <c r="KW46" s="1">
        <v>23</v>
      </c>
      <c r="KX46" s="1">
        <v>18</v>
      </c>
      <c r="KY46" s="1">
        <v>43</v>
      </c>
      <c r="KZ46" s="1">
        <v>19</v>
      </c>
      <c r="LA46" s="1">
        <v>25.118000000000002</v>
      </c>
      <c r="LB46" s="1">
        <v>78</v>
      </c>
      <c r="LC46" s="1">
        <v>22</v>
      </c>
      <c r="LD46" s="1">
        <v>21</v>
      </c>
      <c r="LE46" s="1">
        <v>41</v>
      </c>
      <c r="LF46" s="1">
        <v>17</v>
      </c>
      <c r="LG46" s="1">
        <v>26.034000000000002</v>
      </c>
      <c r="LH46" s="1">
        <v>115</v>
      </c>
      <c r="LI46" s="1">
        <v>20</v>
      </c>
      <c r="LJ46" s="1">
        <v>26</v>
      </c>
      <c r="LK46" s="1">
        <v>43</v>
      </c>
      <c r="LL46" s="1">
        <v>22</v>
      </c>
      <c r="LM46" s="1">
        <v>29.218</v>
      </c>
      <c r="LN46" s="1">
        <v>95</v>
      </c>
      <c r="LO46" s="1">
        <v>27</v>
      </c>
      <c r="LP46" s="1">
        <v>23</v>
      </c>
      <c r="LQ46" s="1">
        <v>42</v>
      </c>
      <c r="LR46" s="1">
        <v>24</v>
      </c>
      <c r="LS46" s="1">
        <v>28.027000000000001</v>
      </c>
      <c r="LT46" s="1">
        <v>68</v>
      </c>
      <c r="LU46" s="1">
        <v>16</v>
      </c>
      <c r="LV46" s="1">
        <v>21</v>
      </c>
      <c r="LW46" s="1">
        <v>42</v>
      </c>
      <c r="LX46" s="1">
        <v>16</v>
      </c>
      <c r="LY46" s="1">
        <v>26.184000000000001</v>
      </c>
      <c r="LZ46" s="1">
        <v>74</v>
      </c>
      <c r="MA46" s="1">
        <v>20</v>
      </c>
      <c r="MB46" s="1">
        <v>22</v>
      </c>
      <c r="MC46" s="1">
        <v>44</v>
      </c>
      <c r="MD46" s="1">
        <v>22</v>
      </c>
      <c r="ME46" s="1">
        <v>25.408000000000001</v>
      </c>
      <c r="MF46" s="1">
        <v>119</v>
      </c>
      <c r="MG46" s="1">
        <v>21</v>
      </c>
      <c r="MH46" s="1">
        <v>24</v>
      </c>
      <c r="MI46" s="1">
        <v>44</v>
      </c>
      <c r="MJ46" s="1">
        <v>22</v>
      </c>
      <c r="MK46" s="1">
        <v>27.560000000000002</v>
      </c>
      <c r="ML46" s="1">
        <v>71</v>
      </c>
      <c r="MM46" s="1">
        <v>17</v>
      </c>
      <c r="MN46" s="1">
        <v>18</v>
      </c>
      <c r="MO46" s="1">
        <v>38</v>
      </c>
      <c r="MP46" s="1">
        <v>21</v>
      </c>
      <c r="MQ46" s="1">
        <v>26.137</v>
      </c>
      <c r="MR46" s="1">
        <v>122</v>
      </c>
      <c r="MS46" s="1">
        <v>16</v>
      </c>
      <c r="MT46" s="1">
        <v>25</v>
      </c>
      <c r="MU46" s="1">
        <v>45</v>
      </c>
      <c r="MV46" s="1">
        <v>21</v>
      </c>
      <c r="MW46" s="1">
        <v>28.214000000000002</v>
      </c>
    </row>
    <row r="47" spans="1:361">
      <c r="A47" s="1">
        <v>44</v>
      </c>
      <c r="B47" s="1">
        <v>118</v>
      </c>
      <c r="C47" s="1">
        <v>28</v>
      </c>
      <c r="D47" s="1">
        <v>20</v>
      </c>
      <c r="E47" s="1">
        <v>46</v>
      </c>
      <c r="F47" s="1">
        <v>23</v>
      </c>
      <c r="G47" s="1">
        <v>30.662000000000003</v>
      </c>
      <c r="H47" s="1">
        <v>71</v>
      </c>
      <c r="I47" s="1">
        <v>14</v>
      </c>
      <c r="J47" s="1">
        <v>16</v>
      </c>
      <c r="K47" s="1">
        <v>41</v>
      </c>
      <c r="L47" s="1">
        <v>20</v>
      </c>
      <c r="M47" s="1">
        <v>24.801000000000002</v>
      </c>
      <c r="N47" s="1">
        <v>85</v>
      </c>
      <c r="O47" s="1">
        <v>22</v>
      </c>
      <c r="P47" s="1">
        <v>19</v>
      </c>
      <c r="Q47" s="1">
        <v>42</v>
      </c>
      <c r="R47" s="1">
        <v>20</v>
      </c>
      <c r="S47" s="1">
        <v>25.175000000000001</v>
      </c>
      <c r="T47" s="1">
        <v>117</v>
      </c>
      <c r="U47" s="1">
        <v>27</v>
      </c>
      <c r="V47" s="1">
        <v>19</v>
      </c>
      <c r="W47" s="1">
        <v>44</v>
      </c>
      <c r="X47" s="1">
        <v>22</v>
      </c>
      <c r="Y47" s="1">
        <v>28.676000000000002</v>
      </c>
      <c r="Z47" s="1">
        <v>66</v>
      </c>
      <c r="AA47" s="1">
        <v>14</v>
      </c>
      <c r="AB47" s="1">
        <v>22</v>
      </c>
      <c r="AC47" s="1">
        <v>44</v>
      </c>
      <c r="AD47" s="1">
        <v>21</v>
      </c>
      <c r="AE47" s="1">
        <v>24.126000000000001</v>
      </c>
      <c r="AF47" s="1">
        <v>76</v>
      </c>
      <c r="AG47" s="1">
        <v>15</v>
      </c>
      <c r="AH47" s="1">
        <v>19</v>
      </c>
      <c r="AI47" s="1">
        <v>43</v>
      </c>
      <c r="AJ47" s="1">
        <v>22</v>
      </c>
      <c r="AK47" s="1">
        <v>26.237000000000002</v>
      </c>
      <c r="AL47" s="1">
        <v>93</v>
      </c>
      <c r="AM47" s="1">
        <v>17</v>
      </c>
      <c r="AN47" s="1">
        <v>22</v>
      </c>
      <c r="AO47" s="1">
        <v>42</v>
      </c>
      <c r="AP47" s="1">
        <v>18</v>
      </c>
      <c r="AQ47" s="1">
        <v>27.809000000000001</v>
      </c>
      <c r="AR47" s="1">
        <v>97</v>
      </c>
      <c r="AS47" s="1">
        <v>27</v>
      </c>
      <c r="AT47" s="1">
        <v>25</v>
      </c>
      <c r="AU47" s="1">
        <v>44</v>
      </c>
      <c r="AV47" s="1">
        <v>19</v>
      </c>
      <c r="AW47" s="1">
        <v>26.889000000000003</v>
      </c>
      <c r="AX47" s="1">
        <v>82</v>
      </c>
      <c r="AY47" s="1">
        <v>12</v>
      </c>
      <c r="AZ47" s="1">
        <v>19</v>
      </c>
      <c r="BA47" s="1">
        <v>45</v>
      </c>
      <c r="BB47" s="1">
        <v>22</v>
      </c>
      <c r="BC47" s="1">
        <v>25.616</v>
      </c>
      <c r="BD47" s="1">
        <v>91</v>
      </c>
      <c r="BE47" s="1">
        <v>16</v>
      </c>
      <c r="BF47" s="1">
        <v>17</v>
      </c>
      <c r="BG47" s="1">
        <v>45</v>
      </c>
      <c r="BH47" s="1">
        <v>19</v>
      </c>
      <c r="BI47" s="1">
        <v>28.307000000000002</v>
      </c>
      <c r="BJ47" s="1">
        <v>97</v>
      </c>
      <c r="BK47" s="1">
        <v>18</v>
      </c>
      <c r="BL47" s="1">
        <v>21</v>
      </c>
      <c r="BM47" s="1">
        <v>42</v>
      </c>
      <c r="BN47" s="1">
        <v>21</v>
      </c>
      <c r="BO47" s="1">
        <v>22.752000000000002</v>
      </c>
      <c r="BP47" s="1">
        <v>70</v>
      </c>
      <c r="BQ47" s="1">
        <v>17</v>
      </c>
      <c r="BR47" s="1">
        <v>21</v>
      </c>
      <c r="BS47" s="1">
        <v>41</v>
      </c>
      <c r="BT47" s="1">
        <v>18</v>
      </c>
      <c r="BU47" s="1">
        <v>23.739000000000001</v>
      </c>
      <c r="BV47" s="1">
        <v>128</v>
      </c>
      <c r="BW47" s="1">
        <v>17</v>
      </c>
      <c r="BX47" s="1">
        <v>25</v>
      </c>
      <c r="BY47" s="1">
        <v>40</v>
      </c>
      <c r="BZ47" s="1">
        <v>19</v>
      </c>
      <c r="CA47" s="1">
        <v>28.221</v>
      </c>
      <c r="CB47" s="1">
        <v>75</v>
      </c>
      <c r="CC47" s="1">
        <v>13</v>
      </c>
      <c r="CD47" s="1">
        <v>16</v>
      </c>
      <c r="CE47" s="1">
        <v>42</v>
      </c>
      <c r="CF47" s="1">
        <v>18</v>
      </c>
      <c r="CG47" s="1">
        <v>24.777000000000001</v>
      </c>
      <c r="CH47" s="1">
        <v>81</v>
      </c>
      <c r="CI47" s="1">
        <v>23</v>
      </c>
      <c r="CJ47" s="1">
        <v>21</v>
      </c>
      <c r="CK47" s="1">
        <v>42</v>
      </c>
      <c r="CL47" s="1">
        <v>22</v>
      </c>
      <c r="CM47" s="1">
        <v>25.361000000000001</v>
      </c>
      <c r="CN47" s="1">
        <v>94</v>
      </c>
      <c r="CO47" s="1">
        <v>15</v>
      </c>
      <c r="CP47" s="1">
        <v>20</v>
      </c>
      <c r="CQ47" s="1">
        <v>44</v>
      </c>
      <c r="CR47" s="1">
        <v>20</v>
      </c>
      <c r="CS47" s="1">
        <v>28.494</v>
      </c>
      <c r="CT47" s="1">
        <v>118</v>
      </c>
      <c r="CU47" s="1">
        <v>22</v>
      </c>
      <c r="CV47" s="1">
        <v>26</v>
      </c>
      <c r="CW47" s="1">
        <v>40</v>
      </c>
      <c r="CX47" s="1">
        <v>21</v>
      </c>
      <c r="CY47" s="1">
        <v>26.572000000000003</v>
      </c>
      <c r="CZ47" s="1">
        <v>97</v>
      </c>
      <c r="DA47" s="1">
        <v>21</v>
      </c>
      <c r="DB47" s="1">
        <v>22</v>
      </c>
      <c r="DC47" s="1">
        <v>45</v>
      </c>
      <c r="DD47" s="1">
        <v>19</v>
      </c>
      <c r="DE47" s="1">
        <v>27.463000000000001</v>
      </c>
      <c r="DF47" s="1">
        <v>111</v>
      </c>
      <c r="DG47" s="1">
        <v>25</v>
      </c>
      <c r="DH47" s="1">
        <v>24</v>
      </c>
      <c r="DI47" s="1">
        <v>45</v>
      </c>
      <c r="DJ47" s="1">
        <v>23</v>
      </c>
      <c r="DK47" s="1">
        <v>27.950000000000003</v>
      </c>
      <c r="DL47" s="1">
        <v>114</v>
      </c>
      <c r="DM47" s="1">
        <v>26</v>
      </c>
      <c r="DN47" s="1">
        <v>22</v>
      </c>
      <c r="DO47" s="1">
        <v>45</v>
      </c>
      <c r="DP47" s="1">
        <v>20</v>
      </c>
      <c r="DQ47" s="1">
        <v>29.192</v>
      </c>
      <c r="DR47" s="1">
        <v>81</v>
      </c>
      <c r="DS47" s="1">
        <v>14</v>
      </c>
      <c r="DT47" s="1">
        <v>14</v>
      </c>
      <c r="DU47" s="1">
        <v>41</v>
      </c>
      <c r="DV47" s="1">
        <v>17</v>
      </c>
      <c r="DW47" s="1">
        <v>25.601000000000003</v>
      </c>
      <c r="DX47" s="1">
        <v>65</v>
      </c>
      <c r="DY47" s="1">
        <v>22</v>
      </c>
      <c r="DZ47" s="1">
        <v>20</v>
      </c>
      <c r="EA47" s="1">
        <v>45</v>
      </c>
      <c r="EB47" s="1">
        <v>19</v>
      </c>
      <c r="EC47" s="1">
        <v>25.032</v>
      </c>
      <c r="ED47" s="1">
        <v>113</v>
      </c>
      <c r="EE47" s="1">
        <v>18</v>
      </c>
      <c r="EF47" s="1">
        <v>24</v>
      </c>
      <c r="EG47" s="1">
        <v>40</v>
      </c>
      <c r="EH47" s="1">
        <v>19</v>
      </c>
      <c r="EI47" s="1">
        <v>27.933</v>
      </c>
      <c r="EJ47" s="1">
        <v>82</v>
      </c>
      <c r="EK47" s="1">
        <v>20</v>
      </c>
      <c r="EL47" s="1">
        <v>24</v>
      </c>
      <c r="EM47" s="1">
        <v>41</v>
      </c>
      <c r="EN47" s="1">
        <v>22</v>
      </c>
      <c r="EO47" s="1">
        <v>23.586000000000002</v>
      </c>
      <c r="EP47" s="1">
        <v>98</v>
      </c>
      <c r="EQ47" s="1">
        <v>19</v>
      </c>
      <c r="ER47" s="1">
        <v>24</v>
      </c>
      <c r="ES47" s="1">
        <v>41</v>
      </c>
      <c r="ET47" s="1">
        <v>18</v>
      </c>
      <c r="EU47" s="1">
        <v>25.937000000000001</v>
      </c>
      <c r="EV47" s="1">
        <v>104</v>
      </c>
      <c r="EW47" s="1">
        <v>20</v>
      </c>
      <c r="EX47" s="1">
        <v>19</v>
      </c>
      <c r="EY47" s="1">
        <v>46</v>
      </c>
      <c r="EZ47" s="1">
        <v>20</v>
      </c>
      <c r="FA47" s="1">
        <v>28.082000000000001</v>
      </c>
      <c r="FB47" s="1">
        <v>113</v>
      </c>
      <c r="FC47" s="1">
        <v>10</v>
      </c>
      <c r="FD47" s="1">
        <v>26</v>
      </c>
      <c r="FE47" s="1">
        <v>45</v>
      </c>
      <c r="FF47" s="1">
        <v>22</v>
      </c>
      <c r="FG47" s="1">
        <v>27.673000000000002</v>
      </c>
      <c r="FH47" s="1">
        <v>119</v>
      </c>
      <c r="FI47" s="1">
        <v>18</v>
      </c>
      <c r="FJ47" s="1">
        <v>22</v>
      </c>
      <c r="FK47" s="1">
        <v>46</v>
      </c>
      <c r="FL47" s="1">
        <v>24</v>
      </c>
      <c r="FM47" s="1">
        <v>29.747</v>
      </c>
      <c r="FN47" s="1">
        <v>113</v>
      </c>
      <c r="FO47" s="1">
        <v>22</v>
      </c>
      <c r="FP47" s="1">
        <v>21</v>
      </c>
      <c r="FQ47" s="1">
        <v>40</v>
      </c>
      <c r="FR47" s="1">
        <v>19</v>
      </c>
      <c r="FS47" s="1">
        <v>25.771000000000001</v>
      </c>
      <c r="FT47" s="1">
        <v>85</v>
      </c>
      <c r="FU47" s="1">
        <v>18</v>
      </c>
      <c r="FV47" s="1">
        <v>21</v>
      </c>
      <c r="FW47" s="1">
        <v>42</v>
      </c>
      <c r="FX47" s="1">
        <v>20</v>
      </c>
      <c r="FY47" s="1">
        <v>26.596</v>
      </c>
      <c r="FZ47" s="1">
        <v>107</v>
      </c>
      <c r="GA47" s="1">
        <v>29</v>
      </c>
      <c r="GB47" s="1">
        <v>22</v>
      </c>
      <c r="GC47" s="1">
        <v>44</v>
      </c>
      <c r="GD47" s="1">
        <v>25</v>
      </c>
      <c r="GE47" s="1">
        <v>29.001000000000001</v>
      </c>
      <c r="GF47" s="1">
        <v>96</v>
      </c>
      <c r="GG47" s="1">
        <v>22</v>
      </c>
      <c r="GH47" s="1">
        <v>24</v>
      </c>
      <c r="GI47" s="1">
        <v>41</v>
      </c>
      <c r="GJ47" s="1">
        <v>21</v>
      </c>
      <c r="GK47" s="1">
        <v>26.692</v>
      </c>
      <c r="GL47" s="1">
        <v>115</v>
      </c>
      <c r="GM47" s="1">
        <v>11</v>
      </c>
      <c r="GN47" s="1">
        <v>22</v>
      </c>
      <c r="GO47" s="1">
        <v>41</v>
      </c>
      <c r="GP47" s="1">
        <v>20</v>
      </c>
      <c r="GQ47" s="1">
        <v>27.759</v>
      </c>
      <c r="GR47" s="1">
        <v>101</v>
      </c>
      <c r="GS47" s="1">
        <v>19</v>
      </c>
      <c r="GT47" s="1">
        <v>25</v>
      </c>
      <c r="GU47" s="1">
        <v>43</v>
      </c>
      <c r="GV47" s="1">
        <v>17</v>
      </c>
      <c r="GW47" s="1">
        <v>26.992000000000001</v>
      </c>
      <c r="GX47" s="1">
        <v>78</v>
      </c>
      <c r="GY47" s="1">
        <v>23</v>
      </c>
      <c r="GZ47" s="1">
        <v>17</v>
      </c>
      <c r="HA47" s="1">
        <v>39</v>
      </c>
      <c r="HB47" s="1">
        <v>19</v>
      </c>
      <c r="HC47" s="1">
        <v>27.686</v>
      </c>
      <c r="HD47" s="1">
        <v>111</v>
      </c>
      <c r="HE47" s="1">
        <v>21</v>
      </c>
      <c r="HF47" s="1">
        <v>23</v>
      </c>
      <c r="HG47" s="1">
        <v>44</v>
      </c>
      <c r="HH47" s="1">
        <v>21</v>
      </c>
      <c r="HI47" s="1">
        <v>28.914000000000001</v>
      </c>
      <c r="HJ47" s="1">
        <v>68</v>
      </c>
      <c r="HK47" s="1">
        <v>24</v>
      </c>
      <c r="HL47" s="1">
        <v>26</v>
      </c>
      <c r="HM47" s="1">
        <v>44</v>
      </c>
      <c r="HN47" s="1">
        <v>21</v>
      </c>
      <c r="HO47" s="1">
        <v>27.432000000000002</v>
      </c>
      <c r="HP47" s="1">
        <v>67</v>
      </c>
      <c r="HQ47" s="1">
        <v>7</v>
      </c>
      <c r="HR47" s="1">
        <v>16</v>
      </c>
      <c r="HS47" s="1">
        <v>42</v>
      </c>
      <c r="HT47" s="1">
        <v>23</v>
      </c>
      <c r="HU47" s="1">
        <v>24.281000000000002</v>
      </c>
      <c r="HV47" s="1">
        <v>82</v>
      </c>
      <c r="HW47" s="1">
        <v>29</v>
      </c>
      <c r="HX47" s="1">
        <v>26</v>
      </c>
      <c r="HY47" s="1">
        <v>42</v>
      </c>
      <c r="HZ47" s="1">
        <v>19</v>
      </c>
      <c r="IA47" s="1">
        <v>24.324000000000002</v>
      </c>
      <c r="IB47" s="1">
        <v>93</v>
      </c>
      <c r="IC47" s="1">
        <v>14</v>
      </c>
      <c r="ID47" s="1">
        <v>21</v>
      </c>
      <c r="IE47" s="1">
        <v>44</v>
      </c>
      <c r="IF47" s="1">
        <v>23</v>
      </c>
      <c r="IG47" s="1">
        <v>26.567</v>
      </c>
      <c r="IH47" s="1">
        <v>75</v>
      </c>
      <c r="II47" s="1">
        <v>10</v>
      </c>
      <c r="IJ47" s="1">
        <v>16</v>
      </c>
      <c r="IK47" s="1">
        <v>43</v>
      </c>
      <c r="IL47" s="1">
        <v>21</v>
      </c>
      <c r="IM47" s="1">
        <v>24.016999999999999</v>
      </c>
      <c r="IN47" s="1">
        <v>82</v>
      </c>
      <c r="IO47" s="1">
        <v>14</v>
      </c>
      <c r="IP47" s="1">
        <v>20</v>
      </c>
      <c r="IQ47" s="1">
        <v>41</v>
      </c>
      <c r="IR47" s="1">
        <v>21</v>
      </c>
      <c r="IS47" s="1">
        <v>28.202000000000002</v>
      </c>
      <c r="IT47" s="1">
        <v>126</v>
      </c>
      <c r="IU47" s="1">
        <v>17</v>
      </c>
      <c r="IV47" s="1">
        <v>19</v>
      </c>
      <c r="IW47" s="1">
        <v>42</v>
      </c>
      <c r="IX47" s="1">
        <v>19</v>
      </c>
      <c r="IY47" s="1">
        <v>29.689</v>
      </c>
      <c r="IZ47" s="1">
        <v>91</v>
      </c>
      <c r="JA47" s="1">
        <v>15</v>
      </c>
      <c r="JB47" s="1">
        <v>17</v>
      </c>
      <c r="JC47" s="1">
        <v>45</v>
      </c>
      <c r="JD47" s="1">
        <v>18</v>
      </c>
      <c r="JE47" s="1">
        <v>25.651</v>
      </c>
      <c r="JF47" s="1">
        <v>70</v>
      </c>
      <c r="JG47" s="1">
        <v>15</v>
      </c>
      <c r="JH47" s="1">
        <v>23</v>
      </c>
      <c r="JI47" s="1">
        <v>44</v>
      </c>
      <c r="JJ47" s="1">
        <v>18</v>
      </c>
      <c r="JK47" s="1">
        <v>25.768000000000001</v>
      </c>
      <c r="JL47" s="1">
        <v>99</v>
      </c>
      <c r="JM47" s="1">
        <v>22</v>
      </c>
      <c r="JN47" s="1">
        <v>20</v>
      </c>
      <c r="JO47" s="1">
        <v>42</v>
      </c>
      <c r="JP47" s="1">
        <v>20</v>
      </c>
      <c r="JQ47" s="1">
        <v>27.731000000000002</v>
      </c>
      <c r="JR47" s="1">
        <v>107</v>
      </c>
      <c r="JS47" s="1">
        <v>24</v>
      </c>
      <c r="JT47" s="1">
        <v>23</v>
      </c>
      <c r="JU47" s="1">
        <v>41</v>
      </c>
      <c r="JV47" s="1">
        <v>23</v>
      </c>
      <c r="JW47" s="1">
        <v>26.846</v>
      </c>
      <c r="JX47" s="1">
        <v>73</v>
      </c>
      <c r="JY47" s="1">
        <v>23</v>
      </c>
      <c r="JZ47" s="1">
        <v>22</v>
      </c>
      <c r="KA47" s="1">
        <v>43</v>
      </c>
      <c r="KB47" s="1">
        <v>19</v>
      </c>
      <c r="KC47" s="1">
        <v>27.266999999999999</v>
      </c>
      <c r="KD47" s="1">
        <v>71</v>
      </c>
      <c r="KE47" s="1">
        <v>9</v>
      </c>
      <c r="KF47" s="1">
        <v>18</v>
      </c>
      <c r="KG47" s="1">
        <v>41</v>
      </c>
      <c r="KH47" s="1">
        <v>17</v>
      </c>
      <c r="KI47" s="1">
        <v>25.091000000000001</v>
      </c>
      <c r="KJ47" s="1">
        <v>72</v>
      </c>
      <c r="KK47" s="1">
        <v>17</v>
      </c>
      <c r="KL47" s="1">
        <v>20</v>
      </c>
      <c r="KM47" s="1">
        <v>42</v>
      </c>
      <c r="KN47" s="1">
        <v>20</v>
      </c>
      <c r="KO47" s="1">
        <v>25.404</v>
      </c>
      <c r="KP47" s="1">
        <v>88</v>
      </c>
      <c r="KQ47" s="1">
        <v>17</v>
      </c>
      <c r="KR47" s="1">
        <v>18</v>
      </c>
      <c r="KS47" s="1">
        <v>40</v>
      </c>
      <c r="KT47" s="1">
        <v>21</v>
      </c>
      <c r="KU47" s="1">
        <v>26.583000000000002</v>
      </c>
      <c r="KV47" s="1">
        <v>119</v>
      </c>
      <c r="KW47" s="1">
        <v>15</v>
      </c>
      <c r="KX47" s="1">
        <v>24</v>
      </c>
      <c r="KY47" s="1">
        <v>43</v>
      </c>
      <c r="KZ47" s="1">
        <v>24</v>
      </c>
      <c r="LA47" s="1">
        <v>30.255000000000003</v>
      </c>
      <c r="LB47" s="1">
        <v>89</v>
      </c>
      <c r="LC47" s="1">
        <v>16</v>
      </c>
      <c r="LD47" s="1">
        <v>20</v>
      </c>
      <c r="LE47" s="1">
        <v>41</v>
      </c>
      <c r="LF47" s="1">
        <v>19</v>
      </c>
      <c r="LG47" s="1">
        <v>26.224</v>
      </c>
      <c r="LH47" s="1">
        <v>83</v>
      </c>
      <c r="LI47" s="1">
        <v>19</v>
      </c>
      <c r="LJ47" s="1">
        <v>26</v>
      </c>
      <c r="LK47" s="1">
        <v>46</v>
      </c>
      <c r="LL47" s="1">
        <v>19</v>
      </c>
      <c r="LM47" s="1">
        <v>28.373000000000001</v>
      </c>
      <c r="LN47" s="1">
        <v>72</v>
      </c>
      <c r="LO47" s="1">
        <v>22</v>
      </c>
      <c r="LP47" s="1">
        <v>22</v>
      </c>
      <c r="LQ47" s="1">
        <v>42</v>
      </c>
      <c r="LR47" s="1">
        <v>21</v>
      </c>
      <c r="LS47" s="1">
        <v>25.27</v>
      </c>
      <c r="LT47" s="1">
        <v>83</v>
      </c>
      <c r="LU47" s="1">
        <v>9</v>
      </c>
      <c r="LV47" s="1">
        <v>24</v>
      </c>
      <c r="LW47" s="1">
        <v>43</v>
      </c>
      <c r="LX47" s="1">
        <v>18</v>
      </c>
      <c r="LY47" s="1">
        <v>27.453000000000003</v>
      </c>
      <c r="LZ47" s="1">
        <v>86</v>
      </c>
      <c r="MA47" s="1">
        <v>18</v>
      </c>
      <c r="MB47" s="1">
        <v>17</v>
      </c>
      <c r="MC47" s="1">
        <v>42</v>
      </c>
      <c r="MD47" s="1">
        <v>20</v>
      </c>
      <c r="ME47" s="1">
        <v>26.558</v>
      </c>
      <c r="MF47" s="1">
        <v>71</v>
      </c>
      <c r="MG47" s="1">
        <v>20</v>
      </c>
      <c r="MH47" s="1">
        <v>23</v>
      </c>
      <c r="MI47" s="1">
        <v>47</v>
      </c>
      <c r="MJ47" s="1">
        <v>20</v>
      </c>
      <c r="MK47" s="1">
        <v>25.846</v>
      </c>
      <c r="ML47" s="1">
        <v>73</v>
      </c>
      <c r="MM47" s="1">
        <v>11</v>
      </c>
      <c r="MN47" s="1">
        <v>19</v>
      </c>
      <c r="MO47" s="1">
        <v>39</v>
      </c>
      <c r="MP47" s="1">
        <v>21</v>
      </c>
      <c r="MQ47" s="1">
        <v>24.16</v>
      </c>
      <c r="MR47" s="1">
        <v>87</v>
      </c>
      <c r="MS47" s="1">
        <v>11</v>
      </c>
      <c r="MT47" s="1">
        <v>22</v>
      </c>
      <c r="MU47" s="1">
        <v>43</v>
      </c>
      <c r="MV47" s="1">
        <v>17</v>
      </c>
      <c r="MW47" s="1">
        <v>26.534000000000002</v>
      </c>
    </row>
    <row r="48" spans="1:361">
      <c r="A48" s="1">
        <v>45</v>
      </c>
      <c r="B48" s="1">
        <v>79</v>
      </c>
      <c r="C48" s="1">
        <v>17</v>
      </c>
      <c r="D48" s="1">
        <v>19</v>
      </c>
      <c r="E48" s="1">
        <v>45</v>
      </c>
      <c r="F48" s="1">
        <v>21</v>
      </c>
      <c r="G48" s="1">
        <v>25.821000000000002</v>
      </c>
      <c r="H48" s="1">
        <v>85</v>
      </c>
      <c r="I48" s="1">
        <v>14</v>
      </c>
      <c r="J48" s="1">
        <v>22</v>
      </c>
      <c r="K48" s="1">
        <v>41</v>
      </c>
      <c r="L48" s="1">
        <v>19</v>
      </c>
      <c r="M48" s="1">
        <v>26.997</v>
      </c>
      <c r="N48" s="1">
        <v>89</v>
      </c>
      <c r="O48" s="1">
        <v>11</v>
      </c>
      <c r="P48" s="1">
        <v>22</v>
      </c>
      <c r="Q48" s="1">
        <v>48</v>
      </c>
      <c r="R48" s="1">
        <v>24</v>
      </c>
      <c r="S48" s="1">
        <v>27.087</v>
      </c>
      <c r="T48" s="1">
        <v>114</v>
      </c>
      <c r="U48" s="1">
        <v>12</v>
      </c>
      <c r="V48" s="1">
        <v>21</v>
      </c>
      <c r="W48" s="1">
        <v>42</v>
      </c>
      <c r="X48" s="1">
        <v>17</v>
      </c>
      <c r="Y48" s="1">
        <v>26.476000000000003</v>
      </c>
      <c r="Z48" s="1">
        <v>74</v>
      </c>
      <c r="AA48" s="1">
        <v>25</v>
      </c>
      <c r="AB48" s="1">
        <v>23</v>
      </c>
      <c r="AC48" s="1">
        <v>41</v>
      </c>
      <c r="AD48" s="1">
        <v>19</v>
      </c>
      <c r="AE48" s="1">
        <v>27.063000000000002</v>
      </c>
      <c r="AF48" s="1">
        <v>109</v>
      </c>
      <c r="AG48" s="1">
        <v>15</v>
      </c>
      <c r="AH48" s="1">
        <v>22</v>
      </c>
      <c r="AI48" s="1">
        <v>43</v>
      </c>
      <c r="AJ48" s="1">
        <v>21</v>
      </c>
      <c r="AK48" s="1">
        <v>27.990000000000002</v>
      </c>
      <c r="AL48" s="1">
        <v>117</v>
      </c>
      <c r="AM48" s="1">
        <v>25</v>
      </c>
      <c r="AN48" s="1">
        <v>24</v>
      </c>
      <c r="AO48" s="1">
        <v>45</v>
      </c>
      <c r="AP48" s="1">
        <v>16</v>
      </c>
      <c r="AQ48" s="1">
        <v>28.851000000000003</v>
      </c>
      <c r="AR48" s="1">
        <v>102</v>
      </c>
      <c r="AS48" s="1">
        <v>19</v>
      </c>
      <c r="AT48" s="1">
        <v>21</v>
      </c>
      <c r="AU48" s="1">
        <v>45</v>
      </c>
      <c r="AV48" s="1">
        <v>18</v>
      </c>
      <c r="AW48" s="1">
        <v>27.529</v>
      </c>
      <c r="AX48" s="1">
        <v>77</v>
      </c>
      <c r="AY48" s="1">
        <v>9</v>
      </c>
      <c r="AZ48" s="1">
        <v>19</v>
      </c>
      <c r="BA48" s="1">
        <v>42</v>
      </c>
      <c r="BB48" s="1">
        <v>20</v>
      </c>
      <c r="BC48" s="1">
        <v>24.175000000000001</v>
      </c>
      <c r="BD48" s="1">
        <v>94</v>
      </c>
      <c r="BE48" s="1">
        <v>13</v>
      </c>
      <c r="BF48" s="1">
        <v>21</v>
      </c>
      <c r="BG48" s="1">
        <v>42</v>
      </c>
      <c r="BH48" s="1">
        <v>22</v>
      </c>
      <c r="BI48" s="1">
        <v>25.966000000000001</v>
      </c>
      <c r="BJ48" s="1">
        <v>68</v>
      </c>
      <c r="BK48" s="1">
        <v>13</v>
      </c>
      <c r="BL48" s="1">
        <v>23</v>
      </c>
      <c r="BM48" s="1">
        <v>42</v>
      </c>
      <c r="BN48" s="1">
        <v>18</v>
      </c>
      <c r="BO48" s="1">
        <v>25.182000000000002</v>
      </c>
      <c r="BP48" s="1">
        <v>77</v>
      </c>
      <c r="BQ48" s="1">
        <v>20</v>
      </c>
      <c r="BR48" s="1">
        <v>22</v>
      </c>
      <c r="BS48" s="1">
        <v>40</v>
      </c>
      <c r="BT48" s="1">
        <v>22</v>
      </c>
      <c r="BU48" s="1">
        <v>23.048999999999999</v>
      </c>
      <c r="BV48" s="1">
        <v>74</v>
      </c>
      <c r="BW48" s="1">
        <v>19</v>
      </c>
      <c r="BX48" s="1">
        <v>19</v>
      </c>
      <c r="BY48" s="1">
        <v>40</v>
      </c>
      <c r="BZ48" s="1">
        <v>19</v>
      </c>
      <c r="CA48" s="1">
        <v>26.367000000000001</v>
      </c>
      <c r="CB48" s="1">
        <v>87</v>
      </c>
      <c r="CC48" s="1">
        <v>23</v>
      </c>
      <c r="CD48" s="1">
        <v>19</v>
      </c>
      <c r="CE48" s="1">
        <v>41</v>
      </c>
      <c r="CF48" s="1">
        <v>18</v>
      </c>
      <c r="CG48" s="1">
        <v>25.115000000000002</v>
      </c>
      <c r="CH48" s="1">
        <v>89</v>
      </c>
      <c r="CI48" s="1">
        <v>22</v>
      </c>
      <c r="CJ48" s="1">
        <v>23</v>
      </c>
      <c r="CK48" s="1">
        <v>45</v>
      </c>
      <c r="CL48" s="1">
        <v>20</v>
      </c>
      <c r="CM48" s="1">
        <v>26.110000000000003</v>
      </c>
      <c r="CN48" s="1">
        <v>93</v>
      </c>
      <c r="CO48" s="1">
        <v>12</v>
      </c>
      <c r="CP48" s="1">
        <v>19</v>
      </c>
      <c r="CQ48" s="1">
        <v>45</v>
      </c>
      <c r="CR48" s="1">
        <v>20</v>
      </c>
      <c r="CS48" s="1">
        <v>25.450000000000003</v>
      </c>
      <c r="CT48" s="1">
        <v>87</v>
      </c>
      <c r="CU48" s="1">
        <v>6</v>
      </c>
      <c r="CV48" s="1">
        <v>23</v>
      </c>
      <c r="CW48" s="1">
        <v>45</v>
      </c>
      <c r="CX48" s="1">
        <v>18</v>
      </c>
      <c r="CY48" s="1">
        <v>27.391000000000002</v>
      </c>
      <c r="CZ48" s="1">
        <v>87</v>
      </c>
      <c r="DA48" s="1">
        <v>31</v>
      </c>
      <c r="DB48" s="1">
        <v>21</v>
      </c>
      <c r="DC48" s="1">
        <v>39</v>
      </c>
      <c r="DD48" s="1">
        <v>19</v>
      </c>
      <c r="DE48" s="1">
        <v>27.334</v>
      </c>
      <c r="DF48" s="1">
        <v>86</v>
      </c>
      <c r="DG48" s="1">
        <v>27</v>
      </c>
      <c r="DH48" s="1">
        <v>22</v>
      </c>
      <c r="DI48" s="1">
        <v>44</v>
      </c>
      <c r="DJ48" s="1">
        <v>24</v>
      </c>
      <c r="DK48" s="1">
        <v>25.638000000000002</v>
      </c>
      <c r="DL48" s="1">
        <v>113</v>
      </c>
      <c r="DM48" s="1">
        <v>17</v>
      </c>
      <c r="DN48" s="1">
        <v>24</v>
      </c>
      <c r="DO48" s="1">
        <v>42</v>
      </c>
      <c r="DP48" s="1">
        <v>20</v>
      </c>
      <c r="DQ48" s="1">
        <v>28.868000000000002</v>
      </c>
      <c r="DR48" s="1">
        <v>123</v>
      </c>
      <c r="DS48" s="1">
        <v>27</v>
      </c>
      <c r="DT48" s="1">
        <v>22</v>
      </c>
      <c r="DU48" s="1">
        <v>44</v>
      </c>
      <c r="DV48" s="1">
        <v>22</v>
      </c>
      <c r="DW48" s="1">
        <v>29.798999999999999</v>
      </c>
      <c r="DX48" s="1">
        <v>90</v>
      </c>
      <c r="DY48" s="1">
        <v>17</v>
      </c>
      <c r="DZ48" s="1">
        <v>22</v>
      </c>
      <c r="EA48" s="1">
        <v>40</v>
      </c>
      <c r="EB48" s="1">
        <v>18</v>
      </c>
      <c r="EC48" s="1">
        <v>26.604000000000003</v>
      </c>
      <c r="ED48" s="1">
        <v>118</v>
      </c>
      <c r="EE48" s="1">
        <v>27</v>
      </c>
      <c r="EF48" s="1">
        <v>21</v>
      </c>
      <c r="EG48" s="1">
        <v>42</v>
      </c>
      <c r="EH48" s="1">
        <v>19</v>
      </c>
      <c r="EI48" s="1">
        <v>28.02</v>
      </c>
      <c r="EJ48" s="1">
        <v>72</v>
      </c>
      <c r="EK48" s="1">
        <v>25</v>
      </c>
      <c r="EL48" s="1">
        <v>19</v>
      </c>
      <c r="EM48" s="1">
        <v>43</v>
      </c>
      <c r="EN48" s="1">
        <v>21</v>
      </c>
      <c r="EO48" s="1">
        <v>25.081</v>
      </c>
      <c r="EP48" s="1">
        <v>101</v>
      </c>
      <c r="EQ48" s="1">
        <v>16</v>
      </c>
      <c r="ER48" s="1">
        <v>21</v>
      </c>
      <c r="ES48" s="1">
        <v>45</v>
      </c>
      <c r="ET48" s="1">
        <v>22</v>
      </c>
      <c r="EU48" s="1">
        <v>28.935000000000002</v>
      </c>
      <c r="EV48" s="1">
        <v>93</v>
      </c>
      <c r="EW48" s="1">
        <v>14</v>
      </c>
      <c r="EX48" s="1">
        <v>20</v>
      </c>
      <c r="EY48" s="1">
        <v>42</v>
      </c>
      <c r="EZ48" s="1">
        <v>19</v>
      </c>
      <c r="FA48" s="1">
        <v>27.199000000000002</v>
      </c>
      <c r="FB48" s="1">
        <v>120</v>
      </c>
      <c r="FC48" s="1">
        <v>24</v>
      </c>
      <c r="FD48" s="1">
        <v>27</v>
      </c>
      <c r="FE48" s="1">
        <v>41</v>
      </c>
      <c r="FF48" s="1">
        <v>21</v>
      </c>
      <c r="FG48" s="1">
        <v>27.46</v>
      </c>
      <c r="FH48" s="1">
        <v>80</v>
      </c>
      <c r="FI48" s="1">
        <v>16</v>
      </c>
      <c r="FJ48" s="1">
        <v>23</v>
      </c>
      <c r="FK48" s="1">
        <v>41</v>
      </c>
      <c r="FL48" s="1">
        <v>18</v>
      </c>
      <c r="FM48" s="1">
        <v>24.3</v>
      </c>
      <c r="FN48" s="1">
        <v>72</v>
      </c>
      <c r="FO48" s="1">
        <v>14</v>
      </c>
      <c r="FP48" s="1">
        <v>18</v>
      </c>
      <c r="FQ48" s="1">
        <v>43</v>
      </c>
      <c r="FR48" s="1">
        <v>17</v>
      </c>
      <c r="FS48" s="1">
        <v>24.957000000000001</v>
      </c>
      <c r="FT48" s="1">
        <v>84</v>
      </c>
      <c r="FU48" s="1">
        <v>10</v>
      </c>
      <c r="FV48" s="1">
        <v>24</v>
      </c>
      <c r="FW48" s="1">
        <v>41</v>
      </c>
      <c r="FX48" s="1">
        <v>17</v>
      </c>
      <c r="FY48" s="1">
        <v>26.282</v>
      </c>
      <c r="FZ48" s="1">
        <v>77</v>
      </c>
      <c r="GA48" s="1">
        <v>19</v>
      </c>
      <c r="GB48" s="1">
        <v>21</v>
      </c>
      <c r="GC48" s="1">
        <v>44</v>
      </c>
      <c r="GD48" s="1">
        <v>21</v>
      </c>
      <c r="GE48" s="1">
        <v>25.078000000000003</v>
      </c>
      <c r="GF48" s="1">
        <v>83</v>
      </c>
      <c r="GG48" s="1">
        <v>20</v>
      </c>
      <c r="GH48" s="1">
        <v>18</v>
      </c>
      <c r="GI48" s="1">
        <v>42</v>
      </c>
      <c r="GJ48" s="1">
        <v>23</v>
      </c>
      <c r="GK48" s="1">
        <v>23.898</v>
      </c>
      <c r="GL48" s="1">
        <v>68</v>
      </c>
      <c r="GM48" s="1">
        <v>16</v>
      </c>
      <c r="GN48" s="1">
        <v>18</v>
      </c>
      <c r="GO48" s="1">
        <v>43</v>
      </c>
      <c r="GP48" s="1">
        <v>22</v>
      </c>
      <c r="GQ48" s="1">
        <v>25.009</v>
      </c>
      <c r="GR48" s="1">
        <v>110</v>
      </c>
      <c r="GS48" s="1">
        <v>22</v>
      </c>
      <c r="GT48" s="1">
        <v>23</v>
      </c>
      <c r="GU48" s="1">
        <v>42</v>
      </c>
      <c r="GV48" s="1">
        <v>19</v>
      </c>
      <c r="GW48" s="1">
        <v>30.048999999999999</v>
      </c>
      <c r="GX48" s="1">
        <v>116</v>
      </c>
      <c r="GY48" s="1">
        <v>30</v>
      </c>
      <c r="GZ48" s="1">
        <v>22</v>
      </c>
      <c r="HA48" s="1">
        <v>45</v>
      </c>
      <c r="HB48" s="1">
        <v>16</v>
      </c>
      <c r="HC48" s="1">
        <v>29.3</v>
      </c>
      <c r="HD48" s="1">
        <v>116</v>
      </c>
      <c r="HE48" s="1">
        <v>13</v>
      </c>
      <c r="HF48" s="1">
        <v>20</v>
      </c>
      <c r="HG48" s="1">
        <v>39</v>
      </c>
      <c r="HH48" s="1">
        <v>18</v>
      </c>
      <c r="HI48" s="1">
        <v>28.745000000000001</v>
      </c>
      <c r="HJ48" s="1">
        <v>93</v>
      </c>
      <c r="HK48" s="1">
        <v>18</v>
      </c>
      <c r="HL48" s="1">
        <v>24</v>
      </c>
      <c r="HM48" s="1">
        <v>40</v>
      </c>
      <c r="HN48" s="1">
        <v>20</v>
      </c>
      <c r="HO48" s="1">
        <v>26.741</v>
      </c>
      <c r="HP48" s="1">
        <v>98</v>
      </c>
      <c r="HQ48" s="1">
        <v>24</v>
      </c>
      <c r="HR48" s="1">
        <v>25</v>
      </c>
      <c r="HS48" s="1">
        <v>42</v>
      </c>
      <c r="HT48" s="1">
        <v>17</v>
      </c>
      <c r="HU48" s="1">
        <v>27.571000000000002</v>
      </c>
      <c r="HV48" s="1">
        <v>71</v>
      </c>
      <c r="HW48" s="1">
        <v>15</v>
      </c>
      <c r="HX48" s="1">
        <v>23</v>
      </c>
      <c r="HY48" s="1">
        <v>41</v>
      </c>
      <c r="HZ48" s="1">
        <v>17</v>
      </c>
      <c r="IA48" s="1">
        <v>26.038</v>
      </c>
      <c r="IB48" s="1">
        <v>105</v>
      </c>
      <c r="IC48" s="1">
        <v>27</v>
      </c>
      <c r="ID48" s="1">
        <v>19</v>
      </c>
      <c r="IE48" s="1">
        <v>41</v>
      </c>
      <c r="IF48" s="1">
        <v>23</v>
      </c>
      <c r="IG48" s="1">
        <v>28.598000000000003</v>
      </c>
      <c r="IH48" s="1">
        <v>112</v>
      </c>
      <c r="II48" s="1">
        <v>20</v>
      </c>
      <c r="IJ48" s="1">
        <v>24</v>
      </c>
      <c r="IK48" s="1">
        <v>43</v>
      </c>
      <c r="IL48" s="1">
        <v>25</v>
      </c>
      <c r="IM48" s="1">
        <v>28.419</v>
      </c>
      <c r="IN48" s="1">
        <v>89</v>
      </c>
      <c r="IO48" s="1">
        <v>18</v>
      </c>
      <c r="IP48" s="1">
        <v>16</v>
      </c>
      <c r="IQ48" s="1">
        <v>42</v>
      </c>
      <c r="IR48" s="1">
        <v>18</v>
      </c>
      <c r="IS48" s="1">
        <v>25.868000000000002</v>
      </c>
      <c r="IT48" s="1">
        <v>109</v>
      </c>
      <c r="IU48" s="1">
        <v>22</v>
      </c>
      <c r="IV48" s="1">
        <v>22</v>
      </c>
      <c r="IW48" s="1">
        <v>42</v>
      </c>
      <c r="IX48" s="1">
        <v>17</v>
      </c>
      <c r="IY48" s="1">
        <v>25.650000000000002</v>
      </c>
      <c r="IZ48" s="1">
        <v>112</v>
      </c>
      <c r="JA48" s="1">
        <v>16</v>
      </c>
      <c r="JB48" s="1">
        <v>23</v>
      </c>
      <c r="JC48" s="1">
        <v>41</v>
      </c>
      <c r="JD48" s="1">
        <v>23</v>
      </c>
      <c r="JE48" s="1">
        <v>26.589000000000002</v>
      </c>
      <c r="JF48" s="1">
        <v>90</v>
      </c>
      <c r="JG48" s="1">
        <v>15</v>
      </c>
      <c r="JH48" s="1">
        <v>22</v>
      </c>
      <c r="JI48" s="1">
        <v>45</v>
      </c>
      <c r="JJ48" s="1">
        <v>15</v>
      </c>
      <c r="JK48" s="1">
        <v>27.289000000000001</v>
      </c>
      <c r="JL48" s="1">
        <v>115</v>
      </c>
      <c r="JM48" s="1">
        <v>16</v>
      </c>
      <c r="JN48" s="1">
        <v>28</v>
      </c>
      <c r="JO48" s="1">
        <v>43</v>
      </c>
      <c r="JP48" s="1">
        <v>20</v>
      </c>
      <c r="JQ48" s="1">
        <v>27.637</v>
      </c>
      <c r="JR48" s="1">
        <v>117</v>
      </c>
      <c r="JS48" s="1">
        <v>25</v>
      </c>
      <c r="JT48" s="1">
        <v>29</v>
      </c>
      <c r="JU48" s="1">
        <v>45</v>
      </c>
      <c r="JV48" s="1">
        <v>25</v>
      </c>
      <c r="JW48" s="1">
        <v>29.666</v>
      </c>
      <c r="JX48" s="1">
        <v>110</v>
      </c>
      <c r="JY48" s="1">
        <v>20</v>
      </c>
      <c r="JZ48" s="1">
        <v>24</v>
      </c>
      <c r="KA48" s="1">
        <v>41</v>
      </c>
      <c r="KB48" s="1">
        <v>23</v>
      </c>
      <c r="KC48" s="1">
        <v>29.532</v>
      </c>
      <c r="KD48" s="1">
        <v>98</v>
      </c>
      <c r="KE48" s="1">
        <v>13</v>
      </c>
      <c r="KF48" s="1">
        <v>21</v>
      </c>
      <c r="KG48" s="1">
        <v>46</v>
      </c>
      <c r="KH48" s="1">
        <v>22</v>
      </c>
      <c r="KI48" s="1">
        <v>27.751000000000001</v>
      </c>
      <c r="KJ48" s="1">
        <v>112</v>
      </c>
      <c r="KK48" s="1">
        <v>15</v>
      </c>
      <c r="KL48" s="1">
        <v>25</v>
      </c>
      <c r="KM48" s="1">
        <v>43</v>
      </c>
      <c r="KN48" s="1">
        <v>22</v>
      </c>
      <c r="KO48" s="1">
        <v>28.941000000000003</v>
      </c>
      <c r="KP48" s="1">
        <v>87</v>
      </c>
      <c r="KQ48" s="1">
        <v>16</v>
      </c>
      <c r="KR48" s="1">
        <v>20</v>
      </c>
      <c r="KS48" s="1">
        <v>42</v>
      </c>
      <c r="KT48" s="1">
        <v>24</v>
      </c>
      <c r="KU48" s="1">
        <v>24.865000000000002</v>
      </c>
      <c r="KV48" s="1">
        <v>111</v>
      </c>
      <c r="KW48" s="1">
        <v>27</v>
      </c>
      <c r="KX48" s="1">
        <v>26</v>
      </c>
      <c r="KY48" s="1">
        <v>46</v>
      </c>
      <c r="KZ48" s="1">
        <v>23</v>
      </c>
      <c r="LA48" s="1">
        <v>29.412000000000003</v>
      </c>
      <c r="LB48" s="1">
        <v>88</v>
      </c>
      <c r="LC48" s="1">
        <v>23</v>
      </c>
      <c r="LD48" s="1">
        <v>21</v>
      </c>
      <c r="LE48" s="1">
        <v>39</v>
      </c>
      <c r="LF48" s="1">
        <v>19</v>
      </c>
      <c r="LG48" s="1">
        <v>27.32</v>
      </c>
      <c r="LH48" s="1">
        <v>90</v>
      </c>
      <c r="LI48" s="1">
        <v>24</v>
      </c>
      <c r="LJ48" s="1">
        <v>21</v>
      </c>
      <c r="LK48" s="1">
        <v>45</v>
      </c>
      <c r="LL48" s="1">
        <v>18</v>
      </c>
      <c r="LM48" s="1">
        <v>27.867000000000001</v>
      </c>
      <c r="LN48" s="1">
        <v>87</v>
      </c>
      <c r="LO48" s="1">
        <v>23</v>
      </c>
      <c r="LP48" s="1">
        <v>26</v>
      </c>
      <c r="LQ48" s="1">
        <v>46</v>
      </c>
      <c r="LR48" s="1">
        <v>16</v>
      </c>
      <c r="LS48" s="1">
        <v>26.615000000000002</v>
      </c>
      <c r="LT48" s="1">
        <v>90</v>
      </c>
      <c r="LU48" s="1">
        <v>21</v>
      </c>
      <c r="LV48" s="1">
        <v>22</v>
      </c>
      <c r="LW48" s="1">
        <v>43</v>
      </c>
      <c r="LX48" s="1">
        <v>18</v>
      </c>
      <c r="LY48" s="1">
        <v>26.209</v>
      </c>
      <c r="LZ48" s="1">
        <v>116</v>
      </c>
      <c r="MA48" s="1">
        <v>23</v>
      </c>
      <c r="MB48" s="1">
        <v>22</v>
      </c>
      <c r="MC48" s="1">
        <v>43</v>
      </c>
      <c r="MD48" s="1">
        <v>23</v>
      </c>
      <c r="ME48" s="1">
        <v>28.928000000000001</v>
      </c>
      <c r="MF48" s="1">
        <v>111</v>
      </c>
      <c r="MG48" s="1">
        <v>25</v>
      </c>
      <c r="MH48" s="1">
        <v>21</v>
      </c>
      <c r="MI48" s="1">
        <v>41</v>
      </c>
      <c r="MJ48" s="1">
        <v>20</v>
      </c>
      <c r="MK48" s="1">
        <v>27.991</v>
      </c>
      <c r="ML48" s="1">
        <v>83</v>
      </c>
      <c r="MM48" s="1">
        <v>26</v>
      </c>
      <c r="MN48" s="1">
        <v>23</v>
      </c>
      <c r="MO48" s="1">
        <v>43</v>
      </c>
      <c r="MP48" s="1">
        <v>19</v>
      </c>
      <c r="MQ48" s="1">
        <v>26.442</v>
      </c>
      <c r="MR48" s="1">
        <v>121</v>
      </c>
      <c r="MS48" s="1">
        <v>24</v>
      </c>
      <c r="MT48" s="1">
        <v>29</v>
      </c>
      <c r="MU48" s="1">
        <v>40</v>
      </c>
      <c r="MV48" s="1">
        <v>21</v>
      </c>
      <c r="MW48" s="1">
        <v>25.959</v>
      </c>
    </row>
    <row r="49" spans="1:361">
      <c r="A49" s="1">
        <v>46</v>
      </c>
      <c r="B49" s="1">
        <v>88</v>
      </c>
      <c r="C49" s="1">
        <v>15</v>
      </c>
      <c r="D49" s="1">
        <v>18</v>
      </c>
      <c r="E49" s="1">
        <v>42</v>
      </c>
      <c r="F49" s="1">
        <v>20</v>
      </c>
      <c r="G49" s="1">
        <v>26.289000000000001</v>
      </c>
      <c r="H49" s="1">
        <v>107</v>
      </c>
      <c r="I49" s="1">
        <v>21</v>
      </c>
      <c r="J49" s="1">
        <v>26</v>
      </c>
      <c r="K49" s="1">
        <v>42</v>
      </c>
      <c r="L49" s="1">
        <v>18</v>
      </c>
      <c r="M49" s="1">
        <v>28.335000000000001</v>
      </c>
      <c r="N49" s="1">
        <v>78</v>
      </c>
      <c r="O49" s="1">
        <v>14</v>
      </c>
      <c r="P49" s="1">
        <v>18</v>
      </c>
      <c r="Q49" s="1">
        <v>44</v>
      </c>
      <c r="R49" s="1">
        <v>21</v>
      </c>
      <c r="S49" s="1">
        <v>24.89</v>
      </c>
      <c r="T49" s="1">
        <v>73</v>
      </c>
      <c r="U49" s="1">
        <v>19</v>
      </c>
      <c r="V49" s="1">
        <v>17</v>
      </c>
      <c r="W49" s="1">
        <v>40</v>
      </c>
      <c r="X49" s="1">
        <v>19</v>
      </c>
      <c r="Y49" s="1">
        <v>23.779</v>
      </c>
      <c r="Z49" s="1">
        <v>78</v>
      </c>
      <c r="AA49" s="1">
        <v>10</v>
      </c>
      <c r="AB49" s="1">
        <v>20</v>
      </c>
      <c r="AC49" s="1">
        <v>43</v>
      </c>
      <c r="AD49" s="1">
        <v>21</v>
      </c>
      <c r="AE49" s="1">
        <v>24.322000000000003</v>
      </c>
      <c r="AF49" s="1">
        <v>127</v>
      </c>
      <c r="AG49" s="1">
        <v>23</v>
      </c>
      <c r="AH49" s="1">
        <v>21</v>
      </c>
      <c r="AI49" s="1">
        <v>45</v>
      </c>
      <c r="AJ49" s="1">
        <v>20</v>
      </c>
      <c r="AK49" s="1">
        <v>29.158000000000001</v>
      </c>
      <c r="AL49" s="1">
        <v>73</v>
      </c>
      <c r="AM49" s="1">
        <v>22</v>
      </c>
      <c r="AN49" s="1">
        <v>17</v>
      </c>
      <c r="AO49" s="1">
        <v>40</v>
      </c>
      <c r="AP49" s="1">
        <v>18</v>
      </c>
      <c r="AQ49" s="1">
        <v>26.01</v>
      </c>
      <c r="AR49" s="1">
        <v>86</v>
      </c>
      <c r="AS49" s="1">
        <v>5</v>
      </c>
      <c r="AT49" s="1">
        <v>15</v>
      </c>
      <c r="AU49" s="1">
        <v>44</v>
      </c>
      <c r="AV49" s="1">
        <v>19</v>
      </c>
      <c r="AW49" s="1">
        <v>28.758000000000003</v>
      </c>
      <c r="AX49" s="1">
        <v>89</v>
      </c>
      <c r="AY49" s="1">
        <v>19</v>
      </c>
      <c r="AZ49" s="1">
        <v>22</v>
      </c>
      <c r="BA49" s="1">
        <v>43</v>
      </c>
      <c r="BB49" s="1">
        <v>23</v>
      </c>
      <c r="BC49" s="1">
        <v>26.118000000000002</v>
      </c>
      <c r="BD49" s="1">
        <v>81</v>
      </c>
      <c r="BE49" s="1">
        <v>22</v>
      </c>
      <c r="BF49" s="1">
        <v>19</v>
      </c>
      <c r="BG49" s="1">
        <v>42</v>
      </c>
      <c r="BH49" s="1">
        <v>24</v>
      </c>
      <c r="BI49" s="1">
        <v>26.153000000000002</v>
      </c>
      <c r="BJ49" s="1">
        <v>118</v>
      </c>
      <c r="BK49" s="1">
        <v>20</v>
      </c>
      <c r="BL49" s="1">
        <v>21</v>
      </c>
      <c r="BM49" s="1">
        <v>42</v>
      </c>
      <c r="BN49" s="1">
        <v>21</v>
      </c>
      <c r="BO49" s="1">
        <v>29.868000000000002</v>
      </c>
      <c r="BP49" s="1">
        <v>129</v>
      </c>
      <c r="BQ49" s="1">
        <v>25</v>
      </c>
      <c r="BR49" s="1">
        <v>23</v>
      </c>
      <c r="BS49" s="1">
        <v>40</v>
      </c>
      <c r="BT49" s="1">
        <v>18</v>
      </c>
      <c r="BU49" s="1">
        <v>30.400000000000002</v>
      </c>
      <c r="BV49" s="1">
        <v>79</v>
      </c>
      <c r="BW49" s="1">
        <v>16</v>
      </c>
      <c r="BX49" s="1">
        <v>15</v>
      </c>
      <c r="BY49" s="1">
        <v>45</v>
      </c>
      <c r="BZ49" s="1">
        <v>20</v>
      </c>
      <c r="CA49" s="1">
        <v>26.077000000000002</v>
      </c>
      <c r="CB49" s="1">
        <v>124</v>
      </c>
      <c r="CC49" s="1">
        <v>18</v>
      </c>
      <c r="CD49" s="1">
        <v>23</v>
      </c>
      <c r="CE49" s="1">
        <v>43</v>
      </c>
      <c r="CF49" s="1">
        <v>22</v>
      </c>
      <c r="CG49" s="1">
        <v>30.923999999999999</v>
      </c>
      <c r="CH49" s="1">
        <v>127</v>
      </c>
      <c r="CI49" s="1">
        <v>21</v>
      </c>
      <c r="CJ49" s="1">
        <v>24</v>
      </c>
      <c r="CK49" s="1">
        <v>43</v>
      </c>
      <c r="CL49" s="1">
        <v>19</v>
      </c>
      <c r="CM49" s="1">
        <v>28.389000000000003</v>
      </c>
      <c r="CN49" s="1">
        <v>71</v>
      </c>
      <c r="CO49" s="1">
        <v>8</v>
      </c>
      <c r="CP49" s="1">
        <v>19</v>
      </c>
      <c r="CQ49" s="1">
        <v>41</v>
      </c>
      <c r="CR49" s="1">
        <v>22</v>
      </c>
      <c r="CS49" s="1">
        <v>25.011000000000003</v>
      </c>
      <c r="CT49" s="1">
        <v>66</v>
      </c>
      <c r="CU49" s="1">
        <v>20</v>
      </c>
      <c r="CV49" s="1">
        <v>20</v>
      </c>
      <c r="CW49" s="1">
        <v>44</v>
      </c>
      <c r="CX49" s="1">
        <v>19</v>
      </c>
      <c r="CY49" s="1">
        <v>24.713000000000001</v>
      </c>
      <c r="CZ49" s="1">
        <v>109</v>
      </c>
      <c r="DA49" s="1">
        <v>21</v>
      </c>
      <c r="DB49" s="1">
        <v>24</v>
      </c>
      <c r="DC49" s="1">
        <v>41</v>
      </c>
      <c r="DD49" s="1">
        <v>19</v>
      </c>
      <c r="DE49" s="1">
        <v>28.907</v>
      </c>
      <c r="DF49" s="1">
        <v>74</v>
      </c>
      <c r="DG49" s="1">
        <v>15</v>
      </c>
      <c r="DH49" s="1">
        <v>17</v>
      </c>
      <c r="DI49" s="1">
        <v>42</v>
      </c>
      <c r="DJ49" s="1">
        <v>21</v>
      </c>
      <c r="DK49" s="1">
        <v>24.864000000000001</v>
      </c>
      <c r="DL49" s="1">
        <v>90</v>
      </c>
      <c r="DM49" s="1">
        <v>23</v>
      </c>
      <c r="DN49" s="1">
        <v>22</v>
      </c>
      <c r="DO49" s="1">
        <v>45</v>
      </c>
      <c r="DP49" s="1">
        <v>22</v>
      </c>
      <c r="DQ49" s="1">
        <v>26.888000000000002</v>
      </c>
      <c r="DR49" s="1">
        <v>74</v>
      </c>
      <c r="DS49" s="1">
        <v>14</v>
      </c>
      <c r="DT49" s="1">
        <v>19</v>
      </c>
      <c r="DU49" s="1">
        <v>41</v>
      </c>
      <c r="DV49" s="1">
        <v>20</v>
      </c>
      <c r="DW49" s="1">
        <v>24.039000000000001</v>
      </c>
      <c r="DX49" s="1">
        <v>122</v>
      </c>
      <c r="DY49" s="1">
        <v>9</v>
      </c>
      <c r="DZ49" s="1">
        <v>20</v>
      </c>
      <c r="EA49" s="1">
        <v>47</v>
      </c>
      <c r="EB49" s="1">
        <v>21</v>
      </c>
      <c r="EC49" s="1">
        <v>30.269000000000002</v>
      </c>
      <c r="ED49" s="1">
        <v>111</v>
      </c>
      <c r="EE49" s="1">
        <v>10</v>
      </c>
      <c r="EF49" s="1">
        <v>21</v>
      </c>
      <c r="EG49" s="1">
        <v>40</v>
      </c>
      <c r="EH49" s="1">
        <v>20</v>
      </c>
      <c r="EI49" s="1">
        <v>26.307000000000002</v>
      </c>
      <c r="EJ49" s="1">
        <v>123</v>
      </c>
      <c r="EK49" s="1">
        <v>15</v>
      </c>
      <c r="EL49" s="1">
        <v>25</v>
      </c>
      <c r="EM49" s="1">
        <v>45</v>
      </c>
      <c r="EN49" s="1">
        <v>19</v>
      </c>
      <c r="EO49" s="1">
        <v>29.096</v>
      </c>
      <c r="EP49" s="1">
        <v>119</v>
      </c>
      <c r="EQ49" s="1">
        <v>16</v>
      </c>
      <c r="ER49" s="1">
        <v>22</v>
      </c>
      <c r="ES49" s="1">
        <v>42</v>
      </c>
      <c r="ET49" s="1">
        <v>24</v>
      </c>
      <c r="EU49" s="1">
        <v>28.573</v>
      </c>
      <c r="EV49" s="1">
        <v>120</v>
      </c>
      <c r="EW49" s="1">
        <v>18</v>
      </c>
      <c r="EX49" s="1">
        <v>24</v>
      </c>
      <c r="EY49" s="1">
        <v>44</v>
      </c>
      <c r="EZ49" s="1">
        <v>21</v>
      </c>
      <c r="FA49" s="1">
        <v>27.478000000000002</v>
      </c>
      <c r="FB49" s="1">
        <v>122</v>
      </c>
      <c r="FC49" s="1">
        <v>14</v>
      </c>
      <c r="FD49" s="1">
        <v>26</v>
      </c>
      <c r="FE49" s="1">
        <v>42</v>
      </c>
      <c r="FF49" s="1">
        <v>20</v>
      </c>
      <c r="FG49" s="1">
        <v>27.548000000000002</v>
      </c>
      <c r="FH49" s="1">
        <v>93</v>
      </c>
      <c r="FI49" s="1">
        <v>22</v>
      </c>
      <c r="FJ49" s="1">
        <v>22</v>
      </c>
      <c r="FK49" s="1">
        <v>41</v>
      </c>
      <c r="FL49" s="1">
        <v>22</v>
      </c>
      <c r="FM49" s="1">
        <v>28.631</v>
      </c>
      <c r="FN49" s="1">
        <v>109</v>
      </c>
      <c r="FO49" s="1">
        <v>12</v>
      </c>
      <c r="FP49" s="1">
        <v>25</v>
      </c>
      <c r="FQ49" s="1">
        <v>44</v>
      </c>
      <c r="FR49" s="1">
        <v>18</v>
      </c>
      <c r="FS49" s="1">
        <v>27.287000000000003</v>
      </c>
      <c r="FT49" s="1">
        <v>114</v>
      </c>
      <c r="FU49" s="1">
        <v>20</v>
      </c>
      <c r="FV49" s="1">
        <v>23</v>
      </c>
      <c r="FW49" s="1">
        <v>43</v>
      </c>
      <c r="FX49" s="1">
        <v>19</v>
      </c>
      <c r="FY49" s="1">
        <v>27.733000000000001</v>
      </c>
      <c r="FZ49" s="1">
        <v>95</v>
      </c>
      <c r="GA49" s="1">
        <v>10</v>
      </c>
      <c r="GB49" s="1">
        <v>25</v>
      </c>
      <c r="GC49" s="1">
        <v>43</v>
      </c>
      <c r="GD49" s="1">
        <v>21</v>
      </c>
      <c r="GE49" s="1">
        <v>27.414000000000001</v>
      </c>
      <c r="GF49" s="1">
        <v>118</v>
      </c>
      <c r="GG49" s="1">
        <v>20</v>
      </c>
      <c r="GH49" s="1">
        <v>20</v>
      </c>
      <c r="GI49" s="1">
        <v>42</v>
      </c>
      <c r="GJ49" s="1">
        <v>17</v>
      </c>
      <c r="GK49" s="1">
        <v>28.061</v>
      </c>
      <c r="GL49" s="1">
        <v>109</v>
      </c>
      <c r="GM49" s="1">
        <v>12</v>
      </c>
      <c r="GN49" s="1">
        <v>21</v>
      </c>
      <c r="GO49" s="1">
        <v>40</v>
      </c>
      <c r="GP49" s="1">
        <v>20</v>
      </c>
      <c r="GQ49" s="1">
        <v>26.423000000000002</v>
      </c>
      <c r="GR49" s="1">
        <v>126</v>
      </c>
      <c r="GS49" s="1">
        <v>19</v>
      </c>
      <c r="GT49" s="1">
        <v>24</v>
      </c>
      <c r="GU49" s="1">
        <v>45</v>
      </c>
      <c r="GV49" s="1">
        <v>20</v>
      </c>
      <c r="GW49" s="1">
        <v>30.239000000000001</v>
      </c>
      <c r="GX49" s="1">
        <v>97</v>
      </c>
      <c r="GY49" s="1">
        <v>23</v>
      </c>
      <c r="GZ49" s="1">
        <v>23</v>
      </c>
      <c r="HA49" s="1">
        <v>39</v>
      </c>
      <c r="HB49" s="1">
        <v>18</v>
      </c>
      <c r="HC49" s="1">
        <v>26.736000000000001</v>
      </c>
      <c r="HD49" s="1">
        <v>119</v>
      </c>
      <c r="HE49" s="1">
        <v>21</v>
      </c>
      <c r="HF49" s="1">
        <v>23</v>
      </c>
      <c r="HG49" s="1">
        <v>44</v>
      </c>
      <c r="HH49" s="1">
        <v>22</v>
      </c>
      <c r="HI49" s="1">
        <v>29.276</v>
      </c>
      <c r="HJ49" s="1">
        <v>85</v>
      </c>
      <c r="HK49" s="1">
        <v>14</v>
      </c>
      <c r="HL49" s="1">
        <v>17</v>
      </c>
      <c r="HM49" s="1">
        <v>43</v>
      </c>
      <c r="HN49" s="1">
        <v>16</v>
      </c>
      <c r="HO49" s="1">
        <v>26.918000000000003</v>
      </c>
      <c r="HP49" s="1">
        <v>80</v>
      </c>
      <c r="HQ49" s="1">
        <v>10</v>
      </c>
      <c r="HR49" s="1">
        <v>21</v>
      </c>
      <c r="HS49" s="1">
        <v>48</v>
      </c>
      <c r="HT49" s="1">
        <v>19</v>
      </c>
      <c r="HU49" s="1">
        <v>26.509</v>
      </c>
      <c r="HV49" s="1">
        <v>112</v>
      </c>
      <c r="HW49" s="1">
        <v>19</v>
      </c>
      <c r="HX49" s="1">
        <v>23</v>
      </c>
      <c r="HY49" s="1">
        <v>45</v>
      </c>
      <c r="HZ49" s="1">
        <v>19</v>
      </c>
      <c r="IA49" s="1">
        <v>28.110000000000003</v>
      </c>
      <c r="IB49" s="1">
        <v>67</v>
      </c>
      <c r="IC49" s="1">
        <v>23</v>
      </c>
      <c r="ID49" s="1">
        <v>17</v>
      </c>
      <c r="IE49" s="1">
        <v>44</v>
      </c>
      <c r="IF49" s="1">
        <v>23</v>
      </c>
      <c r="IG49" s="1">
        <v>24.704000000000001</v>
      </c>
      <c r="IH49" s="1">
        <v>90</v>
      </c>
      <c r="II49" s="1">
        <v>14</v>
      </c>
      <c r="IJ49" s="1">
        <v>23</v>
      </c>
      <c r="IK49" s="1">
        <v>41</v>
      </c>
      <c r="IL49" s="1">
        <v>25</v>
      </c>
      <c r="IM49" s="1">
        <v>28.021000000000001</v>
      </c>
      <c r="IN49" s="1">
        <v>109</v>
      </c>
      <c r="IO49" s="1">
        <v>19</v>
      </c>
      <c r="IP49" s="1">
        <v>21</v>
      </c>
      <c r="IQ49" s="1">
        <v>44</v>
      </c>
      <c r="IR49" s="1">
        <v>19</v>
      </c>
      <c r="IS49" s="1">
        <v>27.66</v>
      </c>
      <c r="IT49" s="1">
        <v>100</v>
      </c>
      <c r="IU49" s="1">
        <v>9</v>
      </c>
      <c r="IV49" s="1">
        <v>26</v>
      </c>
      <c r="IW49" s="1">
        <v>41</v>
      </c>
      <c r="IX49" s="1">
        <v>15</v>
      </c>
      <c r="IY49" s="1">
        <v>27.975000000000001</v>
      </c>
      <c r="IZ49" s="1">
        <v>88</v>
      </c>
      <c r="JA49" s="1">
        <v>20</v>
      </c>
      <c r="JB49" s="1">
        <v>23</v>
      </c>
      <c r="JC49" s="1">
        <v>41</v>
      </c>
      <c r="JD49" s="1">
        <v>21</v>
      </c>
      <c r="JE49" s="1">
        <v>25.41</v>
      </c>
      <c r="JF49" s="1">
        <v>121</v>
      </c>
      <c r="JG49" s="1">
        <v>29</v>
      </c>
      <c r="JH49" s="1">
        <v>23</v>
      </c>
      <c r="JI49" s="1">
        <v>43</v>
      </c>
      <c r="JJ49" s="1">
        <v>22</v>
      </c>
      <c r="JK49" s="1">
        <v>29.165000000000003</v>
      </c>
      <c r="JL49" s="1">
        <v>116</v>
      </c>
      <c r="JM49" s="1">
        <v>23</v>
      </c>
      <c r="JN49" s="1">
        <v>25</v>
      </c>
      <c r="JO49" s="1">
        <v>43</v>
      </c>
      <c r="JP49" s="1">
        <v>23</v>
      </c>
      <c r="JQ49" s="1">
        <v>27.93</v>
      </c>
      <c r="JR49" s="1">
        <v>119</v>
      </c>
      <c r="JS49" s="1">
        <v>24</v>
      </c>
      <c r="JT49" s="1">
        <v>22</v>
      </c>
      <c r="JU49" s="1">
        <v>42</v>
      </c>
      <c r="JV49" s="1">
        <v>17</v>
      </c>
      <c r="JW49" s="1">
        <v>26.098000000000003</v>
      </c>
      <c r="JX49" s="1">
        <v>114</v>
      </c>
      <c r="JY49" s="1">
        <v>19</v>
      </c>
      <c r="JZ49" s="1">
        <v>23</v>
      </c>
      <c r="KA49" s="1">
        <v>44</v>
      </c>
      <c r="KB49" s="1">
        <v>23</v>
      </c>
      <c r="KC49" s="1">
        <v>28.345000000000002</v>
      </c>
      <c r="KD49" s="1">
        <v>67</v>
      </c>
      <c r="KE49" s="1">
        <v>13</v>
      </c>
      <c r="KF49" s="1">
        <v>12</v>
      </c>
      <c r="KG49" s="1">
        <v>43</v>
      </c>
      <c r="KH49" s="1">
        <v>21</v>
      </c>
      <c r="KI49" s="1">
        <v>27.736000000000001</v>
      </c>
      <c r="KJ49" s="1">
        <v>99</v>
      </c>
      <c r="KK49" s="1">
        <v>19</v>
      </c>
      <c r="KL49" s="1">
        <v>22</v>
      </c>
      <c r="KM49" s="1">
        <v>45</v>
      </c>
      <c r="KN49" s="1">
        <v>20</v>
      </c>
      <c r="KO49" s="1">
        <v>26.833000000000002</v>
      </c>
      <c r="KP49" s="1">
        <v>123</v>
      </c>
      <c r="KQ49" s="1">
        <v>21</v>
      </c>
      <c r="KR49" s="1">
        <v>23</v>
      </c>
      <c r="KS49" s="1">
        <v>43</v>
      </c>
      <c r="KT49" s="1">
        <v>19</v>
      </c>
      <c r="KU49" s="1">
        <v>29.975000000000001</v>
      </c>
      <c r="KV49" s="1">
        <v>107</v>
      </c>
      <c r="KW49" s="1">
        <v>28</v>
      </c>
      <c r="KX49" s="1">
        <v>21</v>
      </c>
      <c r="KY49" s="1">
        <v>40</v>
      </c>
      <c r="KZ49" s="1">
        <v>19</v>
      </c>
      <c r="LA49" s="1">
        <v>25.596</v>
      </c>
      <c r="LB49" s="1">
        <v>80</v>
      </c>
      <c r="LC49" s="1">
        <v>15</v>
      </c>
      <c r="LD49" s="1">
        <v>18</v>
      </c>
      <c r="LE49" s="1">
        <v>43</v>
      </c>
      <c r="LF49" s="1">
        <v>21</v>
      </c>
      <c r="LG49" s="1">
        <v>25.446000000000002</v>
      </c>
      <c r="LH49" s="1">
        <v>75</v>
      </c>
      <c r="LI49" s="1">
        <v>15</v>
      </c>
      <c r="LJ49" s="1">
        <v>18</v>
      </c>
      <c r="LK49" s="1">
        <v>40</v>
      </c>
      <c r="LL49" s="1">
        <v>19</v>
      </c>
      <c r="LM49" s="1">
        <v>25.005000000000003</v>
      </c>
      <c r="LN49" s="1">
        <v>80</v>
      </c>
      <c r="LO49" s="1">
        <v>19</v>
      </c>
      <c r="LP49" s="1">
        <v>24</v>
      </c>
      <c r="LQ49" s="1">
        <v>41</v>
      </c>
      <c r="LR49" s="1">
        <v>19</v>
      </c>
      <c r="LS49" s="1">
        <v>24.691000000000003</v>
      </c>
      <c r="LT49" s="1">
        <v>98</v>
      </c>
      <c r="LU49" s="1">
        <v>12</v>
      </c>
      <c r="LV49" s="1">
        <v>25</v>
      </c>
      <c r="LW49" s="1">
        <v>43</v>
      </c>
      <c r="LX49" s="1">
        <v>22</v>
      </c>
      <c r="LY49" s="1">
        <v>25.499000000000002</v>
      </c>
      <c r="LZ49" s="1">
        <v>79</v>
      </c>
      <c r="MA49" s="1">
        <v>21</v>
      </c>
      <c r="MB49" s="1">
        <v>20</v>
      </c>
      <c r="MC49" s="1">
        <v>42</v>
      </c>
      <c r="MD49" s="1">
        <v>23</v>
      </c>
      <c r="ME49" s="1">
        <v>26.797000000000001</v>
      </c>
      <c r="MF49" s="1">
        <v>121</v>
      </c>
      <c r="MG49" s="1">
        <v>23</v>
      </c>
      <c r="MH49" s="1">
        <v>26</v>
      </c>
      <c r="MI49" s="1">
        <v>42</v>
      </c>
      <c r="MJ49" s="1">
        <v>21</v>
      </c>
      <c r="MK49" s="1">
        <v>26.947000000000003</v>
      </c>
      <c r="ML49" s="1">
        <v>67</v>
      </c>
      <c r="MM49" s="1">
        <v>13</v>
      </c>
      <c r="MN49" s="1">
        <v>18</v>
      </c>
      <c r="MO49" s="1">
        <v>42</v>
      </c>
      <c r="MP49" s="1">
        <v>24</v>
      </c>
      <c r="MQ49" s="1">
        <v>23.698</v>
      </c>
      <c r="MR49" s="1">
        <v>68</v>
      </c>
      <c r="MS49" s="1">
        <v>16</v>
      </c>
      <c r="MT49" s="1">
        <v>19</v>
      </c>
      <c r="MU49" s="1">
        <v>46</v>
      </c>
      <c r="MV49" s="1">
        <v>20</v>
      </c>
      <c r="MW49" s="1">
        <v>24.798999999999999</v>
      </c>
    </row>
    <row r="50" spans="1:361">
      <c r="A50" s="1">
        <v>47</v>
      </c>
      <c r="B50" s="1">
        <v>127</v>
      </c>
      <c r="C50" s="1">
        <v>35</v>
      </c>
      <c r="D50" s="1">
        <v>26</v>
      </c>
      <c r="E50" s="1">
        <v>41</v>
      </c>
      <c r="F50" s="1">
        <v>24</v>
      </c>
      <c r="G50" s="1">
        <v>27.939</v>
      </c>
      <c r="H50" s="1">
        <v>129</v>
      </c>
      <c r="I50" s="1">
        <v>15</v>
      </c>
      <c r="J50" s="1">
        <v>25</v>
      </c>
      <c r="K50" s="1">
        <v>42</v>
      </c>
      <c r="L50" s="1">
        <v>20</v>
      </c>
      <c r="M50" s="1">
        <v>29.208000000000002</v>
      </c>
      <c r="N50" s="1">
        <v>116</v>
      </c>
      <c r="O50" s="1">
        <v>26</v>
      </c>
      <c r="P50" s="1">
        <v>22</v>
      </c>
      <c r="Q50" s="1">
        <v>41</v>
      </c>
      <c r="R50" s="1">
        <v>20</v>
      </c>
      <c r="S50" s="1">
        <v>27.537000000000003</v>
      </c>
      <c r="T50" s="1">
        <v>103</v>
      </c>
      <c r="U50" s="1">
        <v>16</v>
      </c>
      <c r="V50" s="1">
        <v>20</v>
      </c>
      <c r="W50" s="1">
        <v>43</v>
      </c>
      <c r="X50" s="1">
        <v>22</v>
      </c>
      <c r="Y50" s="1">
        <v>26.641999999999999</v>
      </c>
      <c r="Z50" s="1">
        <v>96</v>
      </c>
      <c r="AA50" s="1">
        <v>19</v>
      </c>
      <c r="AB50" s="1">
        <v>22</v>
      </c>
      <c r="AC50" s="1">
        <v>43</v>
      </c>
      <c r="AD50" s="1">
        <v>19</v>
      </c>
      <c r="AE50" s="1">
        <v>26.343</v>
      </c>
      <c r="AF50" s="1">
        <v>121</v>
      </c>
      <c r="AG50" s="1">
        <v>14</v>
      </c>
      <c r="AH50" s="1">
        <v>21</v>
      </c>
      <c r="AI50" s="1">
        <v>45</v>
      </c>
      <c r="AJ50" s="1">
        <v>24</v>
      </c>
      <c r="AK50" s="1">
        <v>28.245000000000001</v>
      </c>
      <c r="AL50" s="1">
        <v>103</v>
      </c>
      <c r="AM50" s="1">
        <v>26</v>
      </c>
      <c r="AN50" s="1">
        <v>20</v>
      </c>
      <c r="AO50" s="1">
        <v>42</v>
      </c>
      <c r="AP50" s="1">
        <v>20</v>
      </c>
      <c r="AQ50" s="1">
        <v>27.41</v>
      </c>
      <c r="AR50" s="1">
        <v>101</v>
      </c>
      <c r="AS50" s="1">
        <v>5</v>
      </c>
      <c r="AT50" s="1">
        <v>21</v>
      </c>
      <c r="AU50" s="1">
        <v>41</v>
      </c>
      <c r="AV50" s="1">
        <v>24</v>
      </c>
      <c r="AW50" s="1">
        <v>28.078000000000003</v>
      </c>
      <c r="AX50" s="1">
        <v>89</v>
      </c>
      <c r="AY50" s="1">
        <v>20</v>
      </c>
      <c r="AZ50" s="1">
        <v>19</v>
      </c>
      <c r="BA50" s="1">
        <v>45</v>
      </c>
      <c r="BB50" s="1">
        <v>22</v>
      </c>
      <c r="BC50" s="1">
        <v>27.662000000000003</v>
      </c>
      <c r="BD50" s="1">
        <v>109</v>
      </c>
      <c r="BE50" s="1">
        <v>21</v>
      </c>
      <c r="BF50" s="1">
        <v>24</v>
      </c>
      <c r="BG50" s="1">
        <v>40</v>
      </c>
      <c r="BH50" s="1">
        <v>20</v>
      </c>
      <c r="BI50" s="1">
        <v>27.318000000000001</v>
      </c>
      <c r="BJ50" s="1">
        <v>90</v>
      </c>
      <c r="BK50" s="1">
        <v>17</v>
      </c>
      <c r="BL50" s="1">
        <v>23</v>
      </c>
      <c r="BM50" s="1">
        <v>47</v>
      </c>
      <c r="BN50" s="1">
        <v>23</v>
      </c>
      <c r="BO50" s="1">
        <v>25.643000000000001</v>
      </c>
      <c r="BP50" s="1">
        <v>125</v>
      </c>
      <c r="BQ50" s="1">
        <v>16</v>
      </c>
      <c r="BR50" s="1">
        <v>27</v>
      </c>
      <c r="BS50" s="1">
        <v>41</v>
      </c>
      <c r="BT50" s="1">
        <v>16</v>
      </c>
      <c r="BU50" s="1">
        <v>30.27</v>
      </c>
      <c r="BV50" s="1">
        <v>105</v>
      </c>
      <c r="BW50" s="1">
        <v>14</v>
      </c>
      <c r="BX50" s="1">
        <v>22</v>
      </c>
      <c r="BY50" s="1">
        <v>45</v>
      </c>
      <c r="BZ50" s="1">
        <v>25</v>
      </c>
      <c r="CA50" s="1">
        <v>28.307000000000002</v>
      </c>
      <c r="CB50" s="1">
        <v>71</v>
      </c>
      <c r="CC50" s="1">
        <v>15</v>
      </c>
      <c r="CD50" s="1">
        <v>21</v>
      </c>
      <c r="CE50" s="1">
        <v>42</v>
      </c>
      <c r="CF50" s="1">
        <v>21</v>
      </c>
      <c r="CG50" s="1">
        <v>24.697000000000003</v>
      </c>
      <c r="CH50" s="1">
        <v>74</v>
      </c>
      <c r="CI50" s="1">
        <v>25</v>
      </c>
      <c r="CJ50" s="1">
        <v>17</v>
      </c>
      <c r="CK50" s="1">
        <v>46</v>
      </c>
      <c r="CL50" s="1">
        <v>22</v>
      </c>
      <c r="CM50" s="1">
        <v>27.088000000000001</v>
      </c>
      <c r="CN50" s="1">
        <v>99</v>
      </c>
      <c r="CO50" s="1">
        <v>20</v>
      </c>
      <c r="CP50" s="1">
        <v>25</v>
      </c>
      <c r="CQ50" s="1">
        <v>44</v>
      </c>
      <c r="CR50" s="1">
        <v>22</v>
      </c>
      <c r="CS50" s="1">
        <v>28.322000000000003</v>
      </c>
      <c r="CT50" s="1">
        <v>109</v>
      </c>
      <c r="CU50" s="1">
        <v>22</v>
      </c>
      <c r="CV50" s="1">
        <v>22</v>
      </c>
      <c r="CW50" s="1">
        <v>41</v>
      </c>
      <c r="CX50" s="1">
        <v>17</v>
      </c>
      <c r="CY50" s="1">
        <v>26.856000000000002</v>
      </c>
      <c r="CZ50" s="1">
        <v>68</v>
      </c>
      <c r="DA50" s="1">
        <v>19</v>
      </c>
      <c r="DB50" s="1">
        <v>18</v>
      </c>
      <c r="DC50" s="1">
        <v>41</v>
      </c>
      <c r="DD50" s="1">
        <v>17</v>
      </c>
      <c r="DE50" s="1">
        <v>25.558</v>
      </c>
      <c r="DF50" s="1">
        <v>113</v>
      </c>
      <c r="DG50" s="1">
        <v>17</v>
      </c>
      <c r="DH50" s="1">
        <v>19</v>
      </c>
      <c r="DI50" s="1">
        <v>43</v>
      </c>
      <c r="DJ50" s="1">
        <v>23</v>
      </c>
      <c r="DK50" s="1">
        <v>26.833000000000002</v>
      </c>
      <c r="DL50" s="1">
        <v>120</v>
      </c>
      <c r="DM50" s="1">
        <v>18</v>
      </c>
      <c r="DN50" s="1">
        <v>23</v>
      </c>
      <c r="DO50" s="1">
        <v>40</v>
      </c>
      <c r="DP50" s="1">
        <v>19</v>
      </c>
      <c r="DQ50" s="1">
        <v>29.612000000000002</v>
      </c>
      <c r="DR50" s="1">
        <v>124</v>
      </c>
      <c r="DS50" s="1">
        <v>19</v>
      </c>
      <c r="DT50" s="1">
        <v>26</v>
      </c>
      <c r="DU50" s="1">
        <v>44</v>
      </c>
      <c r="DV50" s="1">
        <v>18</v>
      </c>
      <c r="DW50" s="1">
        <v>31.368000000000002</v>
      </c>
      <c r="DX50" s="1">
        <v>67</v>
      </c>
      <c r="DY50" s="1">
        <v>20</v>
      </c>
      <c r="DZ50" s="1">
        <v>15</v>
      </c>
      <c r="EA50" s="1">
        <v>43</v>
      </c>
      <c r="EB50" s="1">
        <v>20</v>
      </c>
      <c r="EC50" s="1">
        <v>24.313000000000002</v>
      </c>
      <c r="ED50" s="1">
        <v>67</v>
      </c>
      <c r="EE50" s="1">
        <v>21</v>
      </c>
      <c r="EF50" s="1">
        <v>22</v>
      </c>
      <c r="EG50" s="1">
        <v>45</v>
      </c>
      <c r="EH50" s="1">
        <v>18</v>
      </c>
      <c r="EI50" s="1">
        <v>24.686</v>
      </c>
      <c r="EJ50" s="1">
        <v>109</v>
      </c>
      <c r="EK50" s="1">
        <v>21</v>
      </c>
      <c r="EL50" s="1">
        <v>24</v>
      </c>
      <c r="EM50" s="1">
        <v>41</v>
      </c>
      <c r="EN50" s="1">
        <v>22</v>
      </c>
      <c r="EO50" s="1">
        <v>26.220000000000002</v>
      </c>
      <c r="EP50" s="1">
        <v>76</v>
      </c>
      <c r="EQ50" s="1">
        <v>30</v>
      </c>
      <c r="ER50" s="1">
        <v>19</v>
      </c>
      <c r="ES50" s="1">
        <v>44</v>
      </c>
      <c r="ET50" s="1">
        <v>21</v>
      </c>
      <c r="EU50" s="1">
        <v>28.313000000000002</v>
      </c>
      <c r="EV50" s="1">
        <v>100</v>
      </c>
      <c r="EW50" s="1">
        <v>14</v>
      </c>
      <c r="EX50" s="1">
        <v>21</v>
      </c>
      <c r="EY50" s="1">
        <v>40</v>
      </c>
      <c r="EZ50" s="1">
        <v>19</v>
      </c>
      <c r="FA50" s="1">
        <v>25.975000000000001</v>
      </c>
      <c r="FB50" s="1">
        <v>104</v>
      </c>
      <c r="FC50" s="1">
        <v>20</v>
      </c>
      <c r="FD50" s="1">
        <v>23</v>
      </c>
      <c r="FE50" s="1">
        <v>40</v>
      </c>
      <c r="FF50" s="1">
        <v>22</v>
      </c>
      <c r="FG50" s="1">
        <v>27.66</v>
      </c>
      <c r="FH50" s="1">
        <v>96</v>
      </c>
      <c r="FI50" s="1">
        <v>18</v>
      </c>
      <c r="FJ50" s="1">
        <v>18</v>
      </c>
      <c r="FK50" s="1">
        <v>44</v>
      </c>
      <c r="FL50" s="1">
        <v>20</v>
      </c>
      <c r="FM50" s="1">
        <v>28.339000000000002</v>
      </c>
      <c r="FN50" s="1">
        <v>73</v>
      </c>
      <c r="FO50" s="1">
        <v>18</v>
      </c>
      <c r="FP50" s="1">
        <v>21</v>
      </c>
      <c r="FQ50" s="1">
        <v>45</v>
      </c>
      <c r="FR50" s="1">
        <v>18</v>
      </c>
      <c r="FS50" s="1">
        <v>25.969000000000001</v>
      </c>
      <c r="FT50" s="1">
        <v>120</v>
      </c>
      <c r="FU50" s="1">
        <v>19</v>
      </c>
      <c r="FV50" s="1">
        <v>24</v>
      </c>
      <c r="FW50" s="1">
        <v>44</v>
      </c>
      <c r="FX50" s="1">
        <v>20</v>
      </c>
      <c r="FY50" s="1">
        <v>27.199000000000002</v>
      </c>
      <c r="FZ50" s="1">
        <v>92</v>
      </c>
      <c r="GA50" s="1">
        <v>17</v>
      </c>
      <c r="GB50" s="1">
        <v>16</v>
      </c>
      <c r="GC50" s="1">
        <v>44</v>
      </c>
      <c r="GD50" s="1">
        <v>21</v>
      </c>
      <c r="GE50" s="1">
        <v>27.983000000000001</v>
      </c>
      <c r="GF50" s="1">
        <v>125</v>
      </c>
      <c r="GG50" s="1">
        <v>23</v>
      </c>
      <c r="GH50" s="1">
        <v>26</v>
      </c>
      <c r="GI50" s="1">
        <v>46</v>
      </c>
      <c r="GJ50" s="1">
        <v>21</v>
      </c>
      <c r="GK50" s="1">
        <v>29.668000000000003</v>
      </c>
      <c r="GL50" s="1">
        <v>119</v>
      </c>
      <c r="GM50" s="1">
        <v>15</v>
      </c>
      <c r="GN50" s="1">
        <v>26</v>
      </c>
      <c r="GO50" s="1">
        <v>44</v>
      </c>
      <c r="GP50" s="1">
        <v>21</v>
      </c>
      <c r="GQ50" s="1">
        <v>29.906000000000002</v>
      </c>
      <c r="GR50" s="1">
        <v>65</v>
      </c>
      <c r="GS50" s="1">
        <v>18</v>
      </c>
      <c r="GT50" s="1">
        <v>20</v>
      </c>
      <c r="GU50" s="1">
        <v>43</v>
      </c>
      <c r="GV50" s="1">
        <v>18</v>
      </c>
      <c r="GW50" s="1">
        <v>24.407</v>
      </c>
      <c r="GX50" s="1">
        <v>128</v>
      </c>
      <c r="GY50" s="1">
        <v>24</v>
      </c>
      <c r="GZ50" s="1">
        <v>26</v>
      </c>
      <c r="HA50" s="1">
        <v>42</v>
      </c>
      <c r="HB50" s="1">
        <v>20</v>
      </c>
      <c r="HC50" s="1">
        <v>30.769000000000002</v>
      </c>
      <c r="HD50" s="1">
        <v>95</v>
      </c>
      <c r="HE50" s="1">
        <v>24</v>
      </c>
      <c r="HF50" s="1">
        <v>20</v>
      </c>
      <c r="HG50" s="1">
        <v>44</v>
      </c>
      <c r="HH50" s="1">
        <v>19</v>
      </c>
      <c r="HI50" s="1">
        <v>28.400000000000002</v>
      </c>
      <c r="HJ50" s="1">
        <v>96</v>
      </c>
      <c r="HK50" s="1">
        <v>21</v>
      </c>
      <c r="HL50" s="1">
        <v>25</v>
      </c>
      <c r="HM50" s="1">
        <v>41</v>
      </c>
      <c r="HN50" s="1">
        <v>19</v>
      </c>
      <c r="HO50" s="1">
        <v>29.027000000000001</v>
      </c>
      <c r="HP50" s="1">
        <v>78</v>
      </c>
      <c r="HQ50" s="1">
        <v>25</v>
      </c>
      <c r="HR50" s="1">
        <v>15</v>
      </c>
      <c r="HS50" s="1">
        <v>41</v>
      </c>
      <c r="HT50" s="1">
        <v>21</v>
      </c>
      <c r="HU50" s="1">
        <v>26.664000000000001</v>
      </c>
      <c r="HV50" s="1">
        <v>96</v>
      </c>
      <c r="HW50" s="1">
        <v>18</v>
      </c>
      <c r="HX50" s="1">
        <v>23</v>
      </c>
      <c r="HY50" s="1">
        <v>41</v>
      </c>
      <c r="HZ50" s="1">
        <v>21</v>
      </c>
      <c r="IA50" s="1">
        <v>28.071000000000002</v>
      </c>
      <c r="IB50" s="1">
        <v>91</v>
      </c>
      <c r="IC50" s="1">
        <v>19</v>
      </c>
      <c r="ID50" s="1">
        <v>22</v>
      </c>
      <c r="IE50" s="1">
        <v>41</v>
      </c>
      <c r="IF50" s="1">
        <v>19</v>
      </c>
      <c r="IG50" s="1">
        <v>25.558</v>
      </c>
      <c r="IH50" s="1">
        <v>115</v>
      </c>
      <c r="II50" s="1">
        <v>16</v>
      </c>
      <c r="IJ50" s="1">
        <v>23</v>
      </c>
      <c r="IK50" s="1">
        <v>42</v>
      </c>
      <c r="IL50" s="1">
        <v>19</v>
      </c>
      <c r="IM50" s="1">
        <v>28.117000000000001</v>
      </c>
      <c r="IN50" s="1">
        <v>67</v>
      </c>
      <c r="IO50" s="1">
        <v>20</v>
      </c>
      <c r="IP50" s="1">
        <v>17</v>
      </c>
      <c r="IQ50" s="1">
        <v>42</v>
      </c>
      <c r="IR50" s="1">
        <v>16</v>
      </c>
      <c r="IS50" s="1">
        <v>25.849</v>
      </c>
      <c r="IT50" s="1">
        <v>127</v>
      </c>
      <c r="IU50" s="1">
        <v>28</v>
      </c>
      <c r="IV50" s="1">
        <v>27</v>
      </c>
      <c r="IW50" s="1">
        <v>45</v>
      </c>
      <c r="IX50" s="1">
        <v>22</v>
      </c>
      <c r="IY50" s="1">
        <v>28.558</v>
      </c>
      <c r="IZ50" s="1">
        <v>103</v>
      </c>
      <c r="JA50" s="1">
        <v>15</v>
      </c>
      <c r="JB50" s="1">
        <v>23</v>
      </c>
      <c r="JC50" s="1">
        <v>43</v>
      </c>
      <c r="JD50" s="1">
        <v>22</v>
      </c>
      <c r="JE50" s="1">
        <v>29.990000000000002</v>
      </c>
      <c r="JF50" s="1">
        <v>91</v>
      </c>
      <c r="JG50" s="1">
        <v>23</v>
      </c>
      <c r="JH50" s="1">
        <v>17</v>
      </c>
      <c r="JI50" s="1">
        <v>41</v>
      </c>
      <c r="JJ50" s="1">
        <v>16</v>
      </c>
      <c r="JK50" s="1">
        <v>26.715</v>
      </c>
      <c r="JL50" s="1">
        <v>105</v>
      </c>
      <c r="JM50" s="1">
        <v>23</v>
      </c>
      <c r="JN50" s="1">
        <v>20</v>
      </c>
      <c r="JO50" s="1">
        <v>47</v>
      </c>
      <c r="JP50" s="1">
        <v>23</v>
      </c>
      <c r="JQ50" s="1">
        <v>27.373000000000001</v>
      </c>
      <c r="JR50" s="1">
        <v>77</v>
      </c>
      <c r="JS50" s="1">
        <v>22</v>
      </c>
      <c r="JT50" s="1">
        <v>17</v>
      </c>
      <c r="JU50" s="1">
        <v>44</v>
      </c>
      <c r="JV50" s="1">
        <v>18</v>
      </c>
      <c r="JW50" s="1">
        <v>27.636000000000003</v>
      </c>
      <c r="JX50" s="1">
        <v>95</v>
      </c>
      <c r="JY50" s="1">
        <v>22</v>
      </c>
      <c r="JZ50" s="1">
        <v>24</v>
      </c>
      <c r="KA50" s="1">
        <v>40</v>
      </c>
      <c r="KB50" s="1">
        <v>18</v>
      </c>
      <c r="KC50" s="1">
        <v>25.995000000000001</v>
      </c>
      <c r="KD50" s="1">
        <v>90</v>
      </c>
      <c r="KE50" s="1">
        <v>15</v>
      </c>
      <c r="KF50" s="1">
        <v>23</v>
      </c>
      <c r="KG50" s="1">
        <v>41</v>
      </c>
      <c r="KH50" s="1">
        <v>20</v>
      </c>
      <c r="KI50" s="1">
        <v>26.384</v>
      </c>
      <c r="KJ50" s="1">
        <v>118</v>
      </c>
      <c r="KK50" s="1">
        <v>20</v>
      </c>
      <c r="KL50" s="1">
        <v>25</v>
      </c>
      <c r="KM50" s="1">
        <v>44</v>
      </c>
      <c r="KN50" s="1">
        <v>19</v>
      </c>
      <c r="KO50" s="1">
        <v>28.012</v>
      </c>
      <c r="KP50" s="1">
        <v>124</v>
      </c>
      <c r="KQ50" s="1">
        <v>19</v>
      </c>
      <c r="KR50" s="1">
        <v>23</v>
      </c>
      <c r="KS50" s="1">
        <v>43</v>
      </c>
      <c r="KT50" s="1">
        <v>20</v>
      </c>
      <c r="KU50" s="1">
        <v>30.324000000000002</v>
      </c>
      <c r="KV50" s="1">
        <v>84</v>
      </c>
      <c r="KW50" s="1">
        <v>21</v>
      </c>
      <c r="KX50" s="1">
        <v>22</v>
      </c>
      <c r="KY50" s="1">
        <v>43</v>
      </c>
      <c r="KZ50" s="1">
        <v>19</v>
      </c>
      <c r="LA50" s="1">
        <v>25.176000000000002</v>
      </c>
      <c r="LB50" s="1">
        <v>105</v>
      </c>
      <c r="LC50" s="1">
        <v>25</v>
      </c>
      <c r="LD50" s="1">
        <v>23</v>
      </c>
      <c r="LE50" s="1">
        <v>40</v>
      </c>
      <c r="LF50" s="1">
        <v>14</v>
      </c>
      <c r="LG50" s="1">
        <v>27.411000000000001</v>
      </c>
      <c r="LH50" s="1">
        <v>114</v>
      </c>
      <c r="LI50" s="1">
        <v>16</v>
      </c>
      <c r="LJ50" s="1">
        <v>26</v>
      </c>
      <c r="LK50" s="1">
        <v>43</v>
      </c>
      <c r="LL50" s="1">
        <v>19</v>
      </c>
      <c r="LM50" s="1">
        <v>27.952000000000002</v>
      </c>
      <c r="LN50" s="1">
        <v>68</v>
      </c>
      <c r="LO50" s="1">
        <v>22</v>
      </c>
      <c r="LP50" s="1">
        <v>22</v>
      </c>
      <c r="LQ50" s="1">
        <v>42</v>
      </c>
      <c r="LR50" s="1">
        <v>20</v>
      </c>
      <c r="LS50" s="1">
        <v>23.706</v>
      </c>
      <c r="LT50" s="1">
        <v>126</v>
      </c>
      <c r="LU50" s="1">
        <v>19</v>
      </c>
      <c r="LV50" s="1">
        <v>25</v>
      </c>
      <c r="LW50" s="1">
        <v>44</v>
      </c>
      <c r="LX50" s="1">
        <v>20</v>
      </c>
      <c r="LY50" s="1">
        <v>29.908000000000001</v>
      </c>
      <c r="LZ50" s="1">
        <v>86</v>
      </c>
      <c r="MA50" s="1">
        <v>16</v>
      </c>
      <c r="MB50" s="1">
        <v>21</v>
      </c>
      <c r="MC50" s="1">
        <v>44</v>
      </c>
      <c r="MD50" s="1">
        <v>20</v>
      </c>
      <c r="ME50" s="1">
        <v>25.713000000000001</v>
      </c>
      <c r="MF50" s="1">
        <v>70</v>
      </c>
      <c r="MG50" s="1">
        <v>23</v>
      </c>
      <c r="MH50" s="1">
        <v>18</v>
      </c>
      <c r="MI50" s="1">
        <v>43</v>
      </c>
      <c r="MJ50" s="1">
        <v>24</v>
      </c>
      <c r="MK50" s="1">
        <v>26.959</v>
      </c>
      <c r="ML50" s="1">
        <v>74</v>
      </c>
      <c r="MM50" s="1">
        <v>10</v>
      </c>
      <c r="MN50" s="1">
        <v>19</v>
      </c>
      <c r="MO50" s="1">
        <v>44</v>
      </c>
      <c r="MP50" s="1">
        <v>22</v>
      </c>
      <c r="MQ50" s="1">
        <v>26.348000000000003</v>
      </c>
      <c r="MR50" s="1">
        <v>108</v>
      </c>
      <c r="MS50" s="1">
        <v>21</v>
      </c>
      <c r="MT50" s="1">
        <v>21</v>
      </c>
      <c r="MU50" s="1">
        <v>41</v>
      </c>
      <c r="MV50" s="1">
        <v>21</v>
      </c>
      <c r="MW50" s="1">
        <v>27.761000000000003</v>
      </c>
    </row>
    <row r="51" spans="1:361">
      <c r="A51" s="1">
        <v>48</v>
      </c>
      <c r="B51" s="1">
        <v>82</v>
      </c>
      <c r="C51" s="1">
        <v>12</v>
      </c>
      <c r="D51" s="1">
        <v>18</v>
      </c>
      <c r="E51" s="1">
        <v>43</v>
      </c>
      <c r="F51" s="1">
        <v>21</v>
      </c>
      <c r="G51" s="1">
        <v>26.203000000000003</v>
      </c>
      <c r="H51" s="1">
        <v>107</v>
      </c>
      <c r="I51" s="1">
        <v>22</v>
      </c>
      <c r="J51" s="1">
        <v>25</v>
      </c>
      <c r="K51" s="1">
        <v>43</v>
      </c>
      <c r="L51" s="1">
        <v>22</v>
      </c>
      <c r="M51" s="1">
        <v>28.298000000000002</v>
      </c>
      <c r="N51" s="1">
        <v>69</v>
      </c>
      <c r="O51" s="1">
        <v>14</v>
      </c>
      <c r="P51" s="1">
        <v>20</v>
      </c>
      <c r="Q51" s="1">
        <v>44</v>
      </c>
      <c r="R51" s="1">
        <v>23</v>
      </c>
      <c r="S51" s="1">
        <v>25.147000000000002</v>
      </c>
      <c r="T51" s="1">
        <v>124</v>
      </c>
      <c r="U51" s="1">
        <v>16</v>
      </c>
      <c r="V51" s="1">
        <v>25</v>
      </c>
      <c r="W51" s="1">
        <v>42</v>
      </c>
      <c r="X51" s="1">
        <v>16</v>
      </c>
      <c r="Y51" s="1">
        <v>26.006</v>
      </c>
      <c r="Z51" s="1">
        <v>69</v>
      </c>
      <c r="AA51" s="1">
        <v>20</v>
      </c>
      <c r="AB51" s="1">
        <v>15</v>
      </c>
      <c r="AC51" s="1">
        <v>44</v>
      </c>
      <c r="AD51" s="1">
        <v>18</v>
      </c>
      <c r="AE51" s="1">
        <v>27.136000000000003</v>
      </c>
      <c r="AF51" s="1">
        <v>120</v>
      </c>
      <c r="AG51" s="1">
        <v>27</v>
      </c>
      <c r="AH51" s="1">
        <v>22</v>
      </c>
      <c r="AI51" s="1">
        <v>42</v>
      </c>
      <c r="AJ51" s="1">
        <v>21</v>
      </c>
      <c r="AK51" s="1">
        <v>29.107000000000003</v>
      </c>
      <c r="AL51" s="1">
        <v>67</v>
      </c>
      <c r="AM51" s="1">
        <v>20</v>
      </c>
      <c r="AN51" s="1">
        <v>15</v>
      </c>
      <c r="AO51" s="1">
        <v>46</v>
      </c>
      <c r="AP51" s="1">
        <v>18</v>
      </c>
      <c r="AQ51" s="1">
        <v>23.613</v>
      </c>
      <c r="AR51" s="1">
        <v>100</v>
      </c>
      <c r="AS51" s="1">
        <v>16</v>
      </c>
      <c r="AT51" s="1">
        <v>25</v>
      </c>
      <c r="AU51" s="1">
        <v>43</v>
      </c>
      <c r="AV51" s="1">
        <v>19</v>
      </c>
      <c r="AW51" s="1">
        <v>27.997</v>
      </c>
      <c r="AX51" s="1">
        <v>117</v>
      </c>
      <c r="AY51" s="1">
        <v>24</v>
      </c>
      <c r="AZ51" s="1">
        <v>24</v>
      </c>
      <c r="BA51" s="1">
        <v>39</v>
      </c>
      <c r="BB51" s="1">
        <v>17</v>
      </c>
      <c r="BC51" s="1">
        <v>28.186</v>
      </c>
      <c r="BD51" s="1">
        <v>109</v>
      </c>
      <c r="BE51" s="1">
        <v>25</v>
      </c>
      <c r="BF51" s="1">
        <v>21</v>
      </c>
      <c r="BG51" s="1">
        <v>44</v>
      </c>
      <c r="BH51" s="1">
        <v>21</v>
      </c>
      <c r="BI51" s="1">
        <v>29.188000000000002</v>
      </c>
      <c r="BJ51" s="1">
        <v>85</v>
      </c>
      <c r="BK51" s="1">
        <v>18</v>
      </c>
      <c r="BL51" s="1">
        <v>15</v>
      </c>
      <c r="BM51" s="1">
        <v>44</v>
      </c>
      <c r="BN51" s="1">
        <v>19</v>
      </c>
      <c r="BO51" s="1">
        <v>26.544</v>
      </c>
      <c r="BP51" s="1">
        <v>109</v>
      </c>
      <c r="BQ51" s="1">
        <v>11</v>
      </c>
      <c r="BR51" s="1">
        <v>21</v>
      </c>
      <c r="BS51" s="1">
        <v>45</v>
      </c>
      <c r="BT51" s="1">
        <v>19</v>
      </c>
      <c r="BU51" s="1">
        <v>28.243000000000002</v>
      </c>
      <c r="BV51" s="1">
        <v>102</v>
      </c>
      <c r="BW51" s="1">
        <v>26</v>
      </c>
      <c r="BX51" s="1">
        <v>21</v>
      </c>
      <c r="BY51" s="1">
        <v>43</v>
      </c>
      <c r="BZ51" s="1">
        <v>22</v>
      </c>
      <c r="CA51" s="1">
        <v>27.548000000000002</v>
      </c>
      <c r="CB51" s="1">
        <v>98</v>
      </c>
      <c r="CC51" s="1">
        <v>22</v>
      </c>
      <c r="CD51" s="1">
        <v>27</v>
      </c>
      <c r="CE51" s="1">
        <v>46</v>
      </c>
      <c r="CF51" s="1">
        <v>17</v>
      </c>
      <c r="CG51" s="1">
        <v>26.531000000000002</v>
      </c>
      <c r="CH51" s="1">
        <v>72</v>
      </c>
      <c r="CI51" s="1">
        <v>12</v>
      </c>
      <c r="CJ51" s="1">
        <v>18</v>
      </c>
      <c r="CK51" s="1">
        <v>44</v>
      </c>
      <c r="CL51" s="1">
        <v>21</v>
      </c>
      <c r="CM51" s="1">
        <v>25.592000000000002</v>
      </c>
      <c r="CN51" s="1">
        <v>78</v>
      </c>
      <c r="CO51" s="1">
        <v>23</v>
      </c>
      <c r="CP51" s="1">
        <v>19</v>
      </c>
      <c r="CQ51" s="1">
        <v>39</v>
      </c>
      <c r="CR51" s="1">
        <v>17</v>
      </c>
      <c r="CS51" s="1">
        <v>25.024000000000001</v>
      </c>
      <c r="CT51" s="1">
        <v>71</v>
      </c>
      <c r="CU51" s="1">
        <v>14</v>
      </c>
      <c r="CV51" s="1">
        <v>17</v>
      </c>
      <c r="CW51" s="1">
        <v>46</v>
      </c>
      <c r="CX51" s="1">
        <v>21</v>
      </c>
      <c r="CY51" s="1">
        <v>24.212</v>
      </c>
      <c r="CZ51" s="1">
        <v>127</v>
      </c>
      <c r="DA51" s="1">
        <v>21</v>
      </c>
      <c r="DB51" s="1">
        <v>26</v>
      </c>
      <c r="DC51" s="1">
        <v>43</v>
      </c>
      <c r="DD51" s="1">
        <v>18</v>
      </c>
      <c r="DE51" s="1">
        <v>28.6</v>
      </c>
      <c r="DF51" s="1">
        <v>115</v>
      </c>
      <c r="DG51" s="1">
        <v>28</v>
      </c>
      <c r="DH51" s="1">
        <v>27</v>
      </c>
      <c r="DI51" s="1">
        <v>41</v>
      </c>
      <c r="DJ51" s="1">
        <v>22</v>
      </c>
      <c r="DK51" s="1">
        <v>27.809000000000001</v>
      </c>
      <c r="DL51" s="1">
        <v>71</v>
      </c>
      <c r="DM51" s="1">
        <v>11</v>
      </c>
      <c r="DN51" s="1">
        <v>19</v>
      </c>
      <c r="DO51" s="1">
        <v>44</v>
      </c>
      <c r="DP51" s="1">
        <v>19</v>
      </c>
      <c r="DQ51" s="1">
        <v>26.537000000000003</v>
      </c>
      <c r="DR51" s="1">
        <v>95</v>
      </c>
      <c r="DS51" s="1">
        <v>18</v>
      </c>
      <c r="DT51" s="1">
        <v>20</v>
      </c>
      <c r="DU51" s="1">
        <v>46</v>
      </c>
      <c r="DV51" s="1">
        <v>21</v>
      </c>
      <c r="DW51" s="1">
        <v>27.985000000000003</v>
      </c>
      <c r="DX51" s="1">
        <v>112</v>
      </c>
      <c r="DY51" s="1">
        <v>22</v>
      </c>
      <c r="DZ51" s="1">
        <v>17</v>
      </c>
      <c r="EA51" s="1">
        <v>43</v>
      </c>
      <c r="EB51" s="1">
        <v>18</v>
      </c>
      <c r="EC51" s="1">
        <v>26.995000000000001</v>
      </c>
      <c r="ED51" s="1">
        <v>90</v>
      </c>
      <c r="EE51" s="1">
        <v>21</v>
      </c>
      <c r="EF51" s="1">
        <v>23</v>
      </c>
      <c r="EG51" s="1">
        <v>40</v>
      </c>
      <c r="EH51" s="1">
        <v>21</v>
      </c>
      <c r="EI51" s="1">
        <v>26.565000000000001</v>
      </c>
      <c r="EJ51" s="1">
        <v>72</v>
      </c>
      <c r="EK51" s="1">
        <v>22</v>
      </c>
      <c r="EL51" s="1">
        <v>18</v>
      </c>
      <c r="EM51" s="1">
        <v>42</v>
      </c>
      <c r="EN51" s="1">
        <v>20</v>
      </c>
      <c r="EO51" s="1">
        <v>25.34</v>
      </c>
      <c r="EP51" s="1">
        <v>104</v>
      </c>
      <c r="EQ51" s="1">
        <v>9</v>
      </c>
      <c r="ER51" s="1">
        <v>22</v>
      </c>
      <c r="ES51" s="1">
        <v>42</v>
      </c>
      <c r="ET51" s="1">
        <v>19</v>
      </c>
      <c r="EU51" s="1">
        <v>27.854000000000003</v>
      </c>
      <c r="EV51" s="1">
        <v>98</v>
      </c>
      <c r="EW51" s="1">
        <v>27</v>
      </c>
      <c r="EX51" s="1">
        <v>21</v>
      </c>
      <c r="EY51" s="1">
        <v>43</v>
      </c>
      <c r="EZ51" s="1">
        <v>19</v>
      </c>
      <c r="FA51" s="1">
        <v>27.439</v>
      </c>
      <c r="FB51" s="1">
        <v>70</v>
      </c>
      <c r="FC51" s="1">
        <v>25</v>
      </c>
      <c r="FD51" s="1">
        <v>18</v>
      </c>
      <c r="FE51" s="1">
        <v>41</v>
      </c>
      <c r="FF51" s="1">
        <v>24</v>
      </c>
      <c r="FG51" s="1">
        <v>24.487000000000002</v>
      </c>
      <c r="FH51" s="1">
        <v>69</v>
      </c>
      <c r="FI51" s="1">
        <v>21</v>
      </c>
      <c r="FJ51" s="1">
        <v>20</v>
      </c>
      <c r="FK51" s="1">
        <v>44</v>
      </c>
      <c r="FL51" s="1">
        <v>18</v>
      </c>
      <c r="FM51" s="1">
        <v>25.648</v>
      </c>
      <c r="FN51" s="1">
        <v>84</v>
      </c>
      <c r="FO51" s="1">
        <v>22</v>
      </c>
      <c r="FP51" s="1">
        <v>17</v>
      </c>
      <c r="FQ51" s="1">
        <v>46</v>
      </c>
      <c r="FR51" s="1">
        <v>22</v>
      </c>
      <c r="FS51" s="1">
        <v>25.297000000000001</v>
      </c>
      <c r="FT51" s="1">
        <v>79</v>
      </c>
      <c r="FU51" s="1">
        <v>16</v>
      </c>
      <c r="FV51" s="1">
        <v>20</v>
      </c>
      <c r="FW51" s="1">
        <v>43</v>
      </c>
      <c r="FX51" s="1">
        <v>19</v>
      </c>
      <c r="FY51" s="1">
        <v>25.599</v>
      </c>
      <c r="FZ51" s="1">
        <v>84</v>
      </c>
      <c r="GA51" s="1">
        <v>13</v>
      </c>
      <c r="GB51" s="1">
        <v>22</v>
      </c>
      <c r="GC51" s="1">
        <v>39</v>
      </c>
      <c r="GD51" s="1">
        <v>18</v>
      </c>
      <c r="GE51" s="1">
        <v>25.159000000000002</v>
      </c>
      <c r="GF51" s="1">
        <v>72</v>
      </c>
      <c r="GG51" s="1">
        <v>22</v>
      </c>
      <c r="GH51" s="1">
        <v>19</v>
      </c>
      <c r="GI51" s="1">
        <v>45</v>
      </c>
      <c r="GJ51" s="1">
        <v>23</v>
      </c>
      <c r="GK51" s="1">
        <v>26.401</v>
      </c>
      <c r="GL51" s="1">
        <v>105</v>
      </c>
      <c r="GM51" s="1">
        <v>19</v>
      </c>
      <c r="GN51" s="1">
        <v>23</v>
      </c>
      <c r="GO51" s="1">
        <v>42</v>
      </c>
      <c r="GP51" s="1">
        <v>21</v>
      </c>
      <c r="GQ51" s="1">
        <v>26.997</v>
      </c>
      <c r="GR51" s="1">
        <v>78</v>
      </c>
      <c r="GS51" s="1">
        <v>21</v>
      </c>
      <c r="GT51" s="1">
        <v>21</v>
      </c>
      <c r="GU51" s="1">
        <v>44</v>
      </c>
      <c r="GV51" s="1">
        <v>20</v>
      </c>
      <c r="GW51" s="1">
        <v>26.043000000000003</v>
      </c>
      <c r="GX51" s="1">
        <v>80</v>
      </c>
      <c r="GY51" s="1">
        <v>18</v>
      </c>
      <c r="GZ51" s="1">
        <v>20</v>
      </c>
      <c r="HA51" s="1">
        <v>45</v>
      </c>
      <c r="HB51" s="1">
        <v>24</v>
      </c>
      <c r="HC51" s="1">
        <v>27.07</v>
      </c>
      <c r="HD51" s="1">
        <v>79</v>
      </c>
      <c r="HE51" s="1">
        <v>16</v>
      </c>
      <c r="HF51" s="1">
        <v>18</v>
      </c>
      <c r="HG51" s="1">
        <v>43</v>
      </c>
      <c r="HH51" s="1">
        <v>18</v>
      </c>
      <c r="HI51" s="1">
        <v>26.599</v>
      </c>
      <c r="HJ51" s="1">
        <v>66</v>
      </c>
      <c r="HK51" s="1">
        <v>14</v>
      </c>
      <c r="HL51" s="1">
        <v>14</v>
      </c>
      <c r="HM51" s="1">
        <v>40</v>
      </c>
      <c r="HN51" s="1">
        <v>22</v>
      </c>
      <c r="HO51" s="1">
        <v>23.436</v>
      </c>
      <c r="HP51" s="1">
        <v>101</v>
      </c>
      <c r="HQ51" s="1">
        <v>24</v>
      </c>
      <c r="HR51" s="1">
        <v>22</v>
      </c>
      <c r="HS51" s="1">
        <v>42</v>
      </c>
      <c r="HT51" s="1">
        <v>22</v>
      </c>
      <c r="HU51" s="1">
        <v>28.997</v>
      </c>
      <c r="HV51" s="1">
        <v>106</v>
      </c>
      <c r="HW51" s="1">
        <v>27</v>
      </c>
      <c r="HX51" s="1">
        <v>26</v>
      </c>
      <c r="HY51" s="1">
        <v>42</v>
      </c>
      <c r="HZ51" s="1">
        <v>22</v>
      </c>
      <c r="IA51" s="1">
        <v>27.096</v>
      </c>
      <c r="IB51" s="1">
        <v>117</v>
      </c>
      <c r="IC51" s="1">
        <v>21</v>
      </c>
      <c r="ID51" s="1">
        <v>21</v>
      </c>
      <c r="IE51" s="1">
        <v>41</v>
      </c>
      <c r="IF51" s="1">
        <v>22</v>
      </c>
      <c r="IG51" s="1">
        <v>28.219000000000001</v>
      </c>
      <c r="IH51" s="1">
        <v>72</v>
      </c>
      <c r="II51" s="1">
        <v>8</v>
      </c>
      <c r="IJ51" s="1">
        <v>18</v>
      </c>
      <c r="IK51" s="1">
        <v>44</v>
      </c>
      <c r="IL51" s="1">
        <v>22</v>
      </c>
      <c r="IM51" s="1">
        <v>25.083000000000002</v>
      </c>
      <c r="IN51" s="1">
        <v>70</v>
      </c>
      <c r="IO51" s="1">
        <v>27</v>
      </c>
      <c r="IP51" s="1">
        <v>17</v>
      </c>
      <c r="IQ51" s="1">
        <v>42</v>
      </c>
      <c r="IR51" s="1">
        <v>17</v>
      </c>
      <c r="IS51" s="1">
        <v>26.361000000000001</v>
      </c>
      <c r="IT51" s="1">
        <v>103</v>
      </c>
      <c r="IU51" s="1">
        <v>22</v>
      </c>
      <c r="IV51" s="1">
        <v>22</v>
      </c>
      <c r="IW51" s="1">
        <v>45</v>
      </c>
      <c r="IX51" s="1">
        <v>25</v>
      </c>
      <c r="IY51" s="1">
        <v>28.253</v>
      </c>
      <c r="IZ51" s="1">
        <v>74</v>
      </c>
      <c r="JA51" s="1">
        <v>23</v>
      </c>
      <c r="JB51" s="1">
        <v>16</v>
      </c>
      <c r="JC51" s="1">
        <v>46</v>
      </c>
      <c r="JD51" s="1">
        <v>22</v>
      </c>
      <c r="JE51" s="1">
        <v>26.477</v>
      </c>
      <c r="JF51" s="1">
        <v>91</v>
      </c>
      <c r="JG51" s="1">
        <v>15</v>
      </c>
      <c r="JH51" s="1">
        <v>21</v>
      </c>
      <c r="JI51" s="1">
        <v>42</v>
      </c>
      <c r="JJ51" s="1">
        <v>18</v>
      </c>
      <c r="JK51" s="1">
        <v>26.623000000000001</v>
      </c>
      <c r="JL51" s="1">
        <v>112</v>
      </c>
      <c r="JM51" s="1">
        <v>20</v>
      </c>
      <c r="JN51" s="1">
        <v>25</v>
      </c>
      <c r="JO51" s="1">
        <v>39</v>
      </c>
      <c r="JP51" s="1">
        <v>20</v>
      </c>
      <c r="JQ51" s="1">
        <v>27.623000000000001</v>
      </c>
      <c r="JR51" s="1">
        <v>109</v>
      </c>
      <c r="JS51" s="1">
        <v>19</v>
      </c>
      <c r="JT51" s="1">
        <v>26</v>
      </c>
      <c r="JU51" s="1">
        <v>44</v>
      </c>
      <c r="JV51" s="1">
        <v>24</v>
      </c>
      <c r="JW51" s="1">
        <v>28.739000000000001</v>
      </c>
      <c r="JX51" s="1">
        <v>79</v>
      </c>
      <c r="JY51" s="1">
        <v>12</v>
      </c>
      <c r="JZ51" s="1">
        <v>15</v>
      </c>
      <c r="KA51" s="1">
        <v>44</v>
      </c>
      <c r="KB51" s="1">
        <v>20</v>
      </c>
      <c r="KC51" s="1">
        <v>27.005000000000003</v>
      </c>
      <c r="KD51" s="1">
        <v>119</v>
      </c>
      <c r="KE51" s="1">
        <v>32</v>
      </c>
      <c r="KF51" s="1">
        <v>25</v>
      </c>
      <c r="KG51" s="1">
        <v>41</v>
      </c>
      <c r="KH51" s="1">
        <v>19</v>
      </c>
      <c r="KI51" s="1">
        <v>28.061</v>
      </c>
      <c r="KJ51" s="1">
        <v>82</v>
      </c>
      <c r="KK51" s="1">
        <v>26</v>
      </c>
      <c r="KL51" s="1">
        <v>21</v>
      </c>
      <c r="KM51" s="1">
        <v>43</v>
      </c>
      <c r="KN51" s="1">
        <v>20</v>
      </c>
      <c r="KO51" s="1">
        <v>26.333000000000002</v>
      </c>
      <c r="KP51" s="1">
        <v>96</v>
      </c>
      <c r="KQ51" s="1">
        <v>23</v>
      </c>
      <c r="KR51" s="1">
        <v>22</v>
      </c>
      <c r="KS51" s="1">
        <v>42</v>
      </c>
      <c r="KT51" s="1">
        <v>22</v>
      </c>
      <c r="KU51" s="1">
        <v>26.700000000000003</v>
      </c>
      <c r="KV51" s="1">
        <v>84</v>
      </c>
      <c r="KW51" s="1">
        <v>22</v>
      </c>
      <c r="KX51" s="1">
        <v>25</v>
      </c>
      <c r="KY51" s="1">
        <v>42</v>
      </c>
      <c r="KZ51" s="1">
        <v>18</v>
      </c>
      <c r="LA51" s="1">
        <v>24.854000000000003</v>
      </c>
      <c r="LB51" s="1">
        <v>95</v>
      </c>
      <c r="LC51" s="1">
        <v>26</v>
      </c>
      <c r="LD51" s="1">
        <v>23</v>
      </c>
      <c r="LE51" s="1">
        <v>45</v>
      </c>
      <c r="LF51" s="1">
        <v>20</v>
      </c>
      <c r="LG51" s="1">
        <v>28.062000000000001</v>
      </c>
      <c r="LH51" s="1">
        <v>84</v>
      </c>
      <c r="LI51" s="1">
        <v>23</v>
      </c>
      <c r="LJ51" s="1">
        <v>20</v>
      </c>
      <c r="LK51" s="1">
        <v>45</v>
      </c>
      <c r="LL51" s="1">
        <v>20</v>
      </c>
      <c r="LM51" s="1">
        <v>26.282</v>
      </c>
      <c r="LN51" s="1">
        <v>89</v>
      </c>
      <c r="LO51" s="1">
        <v>29</v>
      </c>
      <c r="LP51" s="1">
        <v>15</v>
      </c>
      <c r="LQ51" s="1">
        <v>39</v>
      </c>
      <c r="LR51" s="1">
        <v>18</v>
      </c>
      <c r="LS51" s="1">
        <v>26.662000000000003</v>
      </c>
      <c r="LT51" s="1">
        <v>74</v>
      </c>
      <c r="LU51" s="1">
        <v>15</v>
      </c>
      <c r="LV51" s="1">
        <v>20</v>
      </c>
      <c r="LW51" s="1">
        <v>46</v>
      </c>
      <c r="LX51" s="1">
        <v>19</v>
      </c>
      <c r="LY51" s="1">
        <v>26.696000000000002</v>
      </c>
      <c r="LZ51" s="1">
        <v>78</v>
      </c>
      <c r="MA51" s="1">
        <v>28</v>
      </c>
      <c r="MB51" s="1">
        <v>21</v>
      </c>
      <c r="MC51" s="1">
        <v>44</v>
      </c>
      <c r="MD51" s="1">
        <v>21</v>
      </c>
      <c r="ME51" s="1">
        <v>24.944000000000003</v>
      </c>
      <c r="MF51" s="1">
        <v>127</v>
      </c>
      <c r="MG51" s="1">
        <v>24</v>
      </c>
      <c r="MH51" s="1">
        <v>29</v>
      </c>
      <c r="MI51" s="1">
        <v>44</v>
      </c>
      <c r="MJ51" s="1">
        <v>21</v>
      </c>
      <c r="MK51" s="1">
        <v>27.877000000000002</v>
      </c>
      <c r="ML51" s="1">
        <v>125</v>
      </c>
      <c r="MM51" s="1">
        <v>17</v>
      </c>
      <c r="MN51" s="1">
        <v>27</v>
      </c>
      <c r="MO51" s="1">
        <v>48</v>
      </c>
      <c r="MP51" s="1">
        <v>22</v>
      </c>
      <c r="MQ51" s="1">
        <v>30.473000000000003</v>
      </c>
      <c r="MR51" s="1">
        <v>101</v>
      </c>
      <c r="MS51" s="1">
        <v>15</v>
      </c>
      <c r="MT51" s="1">
        <v>22</v>
      </c>
      <c r="MU51" s="1">
        <v>46</v>
      </c>
      <c r="MV51" s="1">
        <v>26</v>
      </c>
      <c r="MW51" s="1">
        <v>28.284000000000002</v>
      </c>
    </row>
    <row r="52" spans="1:361">
      <c r="A52" s="1">
        <v>49</v>
      </c>
      <c r="B52" s="1">
        <v>104</v>
      </c>
      <c r="C52" s="1">
        <v>27</v>
      </c>
      <c r="D52" s="1">
        <v>26</v>
      </c>
      <c r="E52" s="1">
        <v>45</v>
      </c>
      <c r="F52" s="1">
        <v>18</v>
      </c>
      <c r="G52" s="1">
        <v>28.499000000000002</v>
      </c>
      <c r="H52" s="1">
        <v>76</v>
      </c>
      <c r="I52" s="1">
        <v>21</v>
      </c>
      <c r="J52" s="1">
        <v>20</v>
      </c>
      <c r="K52" s="1">
        <v>46</v>
      </c>
      <c r="L52" s="1">
        <v>21</v>
      </c>
      <c r="M52" s="1">
        <v>25.512</v>
      </c>
      <c r="N52" s="1">
        <v>83</v>
      </c>
      <c r="O52" s="1">
        <v>16</v>
      </c>
      <c r="P52" s="1">
        <v>21</v>
      </c>
      <c r="Q52" s="1">
        <v>39</v>
      </c>
      <c r="R52" s="1">
        <v>20</v>
      </c>
      <c r="S52" s="1">
        <v>24.432000000000002</v>
      </c>
      <c r="T52" s="1">
        <v>107</v>
      </c>
      <c r="U52" s="1">
        <v>24</v>
      </c>
      <c r="V52" s="1">
        <v>22</v>
      </c>
      <c r="W52" s="1">
        <v>42</v>
      </c>
      <c r="X52" s="1">
        <v>14</v>
      </c>
      <c r="Y52" s="1">
        <v>27.598000000000003</v>
      </c>
      <c r="Z52" s="1">
        <v>79</v>
      </c>
      <c r="AA52" s="1">
        <v>20</v>
      </c>
      <c r="AB52" s="1">
        <v>15</v>
      </c>
      <c r="AC52" s="1">
        <v>43</v>
      </c>
      <c r="AD52" s="1">
        <v>15</v>
      </c>
      <c r="AE52" s="1">
        <v>28.582000000000001</v>
      </c>
      <c r="AF52" s="1">
        <v>75</v>
      </c>
      <c r="AG52" s="1">
        <v>22</v>
      </c>
      <c r="AH52" s="1">
        <v>19</v>
      </c>
      <c r="AI52" s="1">
        <v>43</v>
      </c>
      <c r="AJ52" s="1">
        <v>19</v>
      </c>
      <c r="AK52" s="1">
        <v>25.148</v>
      </c>
      <c r="AL52" s="1">
        <v>84</v>
      </c>
      <c r="AM52" s="1">
        <v>21</v>
      </c>
      <c r="AN52" s="1">
        <v>19</v>
      </c>
      <c r="AO52" s="1">
        <v>46</v>
      </c>
      <c r="AP52" s="1">
        <v>21</v>
      </c>
      <c r="AQ52" s="1">
        <v>25.366</v>
      </c>
      <c r="AR52" s="1">
        <v>105</v>
      </c>
      <c r="AS52" s="1">
        <v>19</v>
      </c>
      <c r="AT52" s="1">
        <v>24</v>
      </c>
      <c r="AU52" s="1">
        <v>40</v>
      </c>
      <c r="AV52" s="1">
        <v>17</v>
      </c>
      <c r="AW52" s="1">
        <v>28.384</v>
      </c>
      <c r="AX52" s="1">
        <v>122</v>
      </c>
      <c r="AY52" s="1">
        <v>15</v>
      </c>
      <c r="AZ52" s="1">
        <v>22</v>
      </c>
      <c r="BA52" s="1">
        <v>48</v>
      </c>
      <c r="BB52" s="1">
        <v>22</v>
      </c>
      <c r="BC52" s="1">
        <v>29.274000000000001</v>
      </c>
      <c r="BD52" s="1">
        <v>123</v>
      </c>
      <c r="BE52" s="1">
        <v>11</v>
      </c>
      <c r="BF52" s="1">
        <v>23</v>
      </c>
      <c r="BG52" s="1">
        <v>43</v>
      </c>
      <c r="BH52" s="1">
        <v>20</v>
      </c>
      <c r="BI52" s="1">
        <v>28.792000000000002</v>
      </c>
      <c r="BJ52" s="1">
        <v>87</v>
      </c>
      <c r="BK52" s="1">
        <v>21</v>
      </c>
      <c r="BL52" s="1">
        <v>23</v>
      </c>
      <c r="BM52" s="1">
        <v>44</v>
      </c>
      <c r="BN52" s="1">
        <v>19</v>
      </c>
      <c r="BO52" s="1">
        <v>25.102</v>
      </c>
      <c r="BP52" s="1">
        <v>115</v>
      </c>
      <c r="BQ52" s="1">
        <v>11</v>
      </c>
      <c r="BR52" s="1">
        <v>22</v>
      </c>
      <c r="BS52" s="1">
        <v>45</v>
      </c>
      <c r="BT52" s="1">
        <v>21</v>
      </c>
      <c r="BU52" s="1">
        <v>29.355</v>
      </c>
      <c r="BV52" s="1">
        <v>123</v>
      </c>
      <c r="BW52" s="1">
        <v>14</v>
      </c>
      <c r="BX52" s="1">
        <v>24</v>
      </c>
      <c r="BY52" s="1">
        <v>40</v>
      </c>
      <c r="BZ52" s="1">
        <v>19</v>
      </c>
      <c r="CA52" s="1">
        <v>26.889000000000003</v>
      </c>
      <c r="CB52" s="1">
        <v>78</v>
      </c>
      <c r="CC52" s="1">
        <v>23</v>
      </c>
      <c r="CD52" s="1">
        <v>17</v>
      </c>
      <c r="CE52" s="1">
        <v>44</v>
      </c>
      <c r="CF52" s="1">
        <v>22</v>
      </c>
      <c r="CG52" s="1">
        <v>24.609000000000002</v>
      </c>
      <c r="CH52" s="1">
        <v>74</v>
      </c>
      <c r="CI52" s="1">
        <v>7</v>
      </c>
      <c r="CJ52" s="1">
        <v>15</v>
      </c>
      <c r="CK52" s="1">
        <v>45</v>
      </c>
      <c r="CL52" s="1">
        <v>17</v>
      </c>
      <c r="CM52" s="1">
        <v>25.563000000000002</v>
      </c>
      <c r="CN52" s="1">
        <v>78</v>
      </c>
      <c r="CO52" s="1">
        <v>23</v>
      </c>
      <c r="CP52" s="1">
        <v>23</v>
      </c>
      <c r="CQ52" s="1">
        <v>45</v>
      </c>
      <c r="CR52" s="1">
        <v>16</v>
      </c>
      <c r="CS52" s="1">
        <v>25.326000000000001</v>
      </c>
      <c r="CT52" s="1">
        <v>88</v>
      </c>
      <c r="CU52" s="1">
        <v>18</v>
      </c>
      <c r="CV52" s="1">
        <v>21</v>
      </c>
      <c r="CW52" s="1">
        <v>42</v>
      </c>
      <c r="CX52" s="1">
        <v>21</v>
      </c>
      <c r="CY52" s="1">
        <v>25.154</v>
      </c>
      <c r="CZ52" s="1">
        <v>76</v>
      </c>
      <c r="DA52" s="1">
        <v>23</v>
      </c>
      <c r="DB52" s="1">
        <v>21</v>
      </c>
      <c r="DC52" s="1">
        <v>43</v>
      </c>
      <c r="DD52" s="1">
        <v>18</v>
      </c>
      <c r="DE52" s="1">
        <v>26.631</v>
      </c>
      <c r="DF52" s="1">
        <v>90</v>
      </c>
      <c r="DG52" s="1">
        <v>10</v>
      </c>
      <c r="DH52" s="1">
        <v>21</v>
      </c>
      <c r="DI52" s="1">
        <v>43</v>
      </c>
      <c r="DJ52" s="1">
        <v>16</v>
      </c>
      <c r="DK52" s="1">
        <v>26.771000000000001</v>
      </c>
      <c r="DL52" s="1">
        <v>81</v>
      </c>
      <c r="DM52" s="1">
        <v>17</v>
      </c>
      <c r="DN52" s="1">
        <v>25</v>
      </c>
      <c r="DO52" s="1">
        <v>41</v>
      </c>
      <c r="DP52" s="1">
        <v>21</v>
      </c>
      <c r="DQ52" s="1">
        <v>25.293000000000003</v>
      </c>
      <c r="DR52" s="1">
        <v>125</v>
      </c>
      <c r="DS52" s="1">
        <v>21</v>
      </c>
      <c r="DT52" s="1">
        <v>22</v>
      </c>
      <c r="DU52" s="1">
        <v>44</v>
      </c>
      <c r="DV52" s="1">
        <v>19</v>
      </c>
      <c r="DW52" s="1">
        <v>29.555</v>
      </c>
      <c r="DX52" s="1">
        <v>75</v>
      </c>
      <c r="DY52" s="1">
        <v>17</v>
      </c>
      <c r="DZ52" s="1">
        <v>21</v>
      </c>
      <c r="EA52" s="1">
        <v>40</v>
      </c>
      <c r="EB52" s="1">
        <v>21</v>
      </c>
      <c r="EC52" s="1">
        <v>24.931000000000001</v>
      </c>
      <c r="ED52" s="1">
        <v>83</v>
      </c>
      <c r="EE52" s="1">
        <v>22</v>
      </c>
      <c r="EF52" s="1">
        <v>21</v>
      </c>
      <c r="EG52" s="1">
        <v>44</v>
      </c>
      <c r="EH52" s="1">
        <v>21</v>
      </c>
      <c r="EI52" s="1">
        <v>27.25</v>
      </c>
      <c r="EJ52" s="1">
        <v>95</v>
      </c>
      <c r="EK52" s="1">
        <v>18</v>
      </c>
      <c r="EL52" s="1">
        <v>22</v>
      </c>
      <c r="EM52" s="1">
        <v>46</v>
      </c>
      <c r="EN52" s="1">
        <v>22</v>
      </c>
      <c r="EO52" s="1">
        <v>29.229000000000003</v>
      </c>
      <c r="EP52" s="1">
        <v>123</v>
      </c>
      <c r="EQ52" s="1">
        <v>25</v>
      </c>
      <c r="ER52" s="1">
        <v>26</v>
      </c>
      <c r="ES52" s="1">
        <v>42</v>
      </c>
      <c r="ET52" s="1">
        <v>16</v>
      </c>
      <c r="EU52" s="1">
        <v>28.055</v>
      </c>
      <c r="EV52" s="1">
        <v>116</v>
      </c>
      <c r="EW52" s="1">
        <v>24</v>
      </c>
      <c r="EX52" s="1">
        <v>21</v>
      </c>
      <c r="EY52" s="1">
        <v>43</v>
      </c>
      <c r="EZ52" s="1">
        <v>22</v>
      </c>
      <c r="FA52" s="1">
        <v>28.413</v>
      </c>
      <c r="FB52" s="1">
        <v>89</v>
      </c>
      <c r="FC52" s="1">
        <v>15</v>
      </c>
      <c r="FD52" s="1">
        <v>21</v>
      </c>
      <c r="FE52" s="1">
        <v>42</v>
      </c>
      <c r="FF52" s="1">
        <v>22</v>
      </c>
      <c r="FG52" s="1">
        <v>27.732000000000003</v>
      </c>
      <c r="FH52" s="1">
        <v>99</v>
      </c>
      <c r="FI52" s="1">
        <v>11</v>
      </c>
      <c r="FJ52" s="1">
        <v>26</v>
      </c>
      <c r="FK52" s="1">
        <v>42</v>
      </c>
      <c r="FL52" s="1">
        <v>20</v>
      </c>
      <c r="FM52" s="1">
        <v>28.524000000000001</v>
      </c>
      <c r="FN52" s="1">
        <v>117</v>
      </c>
      <c r="FO52" s="1">
        <v>22</v>
      </c>
      <c r="FP52" s="1">
        <v>25</v>
      </c>
      <c r="FQ52" s="1">
        <v>41</v>
      </c>
      <c r="FR52" s="1">
        <v>19</v>
      </c>
      <c r="FS52" s="1">
        <v>28.651</v>
      </c>
      <c r="FT52" s="1">
        <v>88</v>
      </c>
      <c r="FU52" s="1">
        <v>21</v>
      </c>
      <c r="FV52" s="1">
        <v>21</v>
      </c>
      <c r="FW52" s="1">
        <v>42</v>
      </c>
      <c r="FX52" s="1">
        <v>21</v>
      </c>
      <c r="FY52" s="1">
        <v>26.766999999999999</v>
      </c>
      <c r="FZ52" s="1">
        <v>111</v>
      </c>
      <c r="GA52" s="1">
        <v>12</v>
      </c>
      <c r="GB52" s="1">
        <v>22</v>
      </c>
      <c r="GC52" s="1">
        <v>44</v>
      </c>
      <c r="GD52" s="1">
        <v>22</v>
      </c>
      <c r="GE52" s="1">
        <v>28.305</v>
      </c>
      <c r="GF52" s="1">
        <v>86</v>
      </c>
      <c r="GG52" s="1">
        <v>14</v>
      </c>
      <c r="GH52" s="1">
        <v>20</v>
      </c>
      <c r="GI52" s="1">
        <v>43</v>
      </c>
      <c r="GJ52" s="1">
        <v>23</v>
      </c>
      <c r="GK52" s="1">
        <v>26.476000000000003</v>
      </c>
      <c r="GL52" s="1">
        <v>67</v>
      </c>
      <c r="GM52" s="1">
        <v>13</v>
      </c>
      <c r="GN52" s="1">
        <v>21</v>
      </c>
      <c r="GO52" s="1">
        <v>39</v>
      </c>
      <c r="GP52" s="1">
        <v>17</v>
      </c>
      <c r="GQ52" s="1">
        <v>26.496000000000002</v>
      </c>
      <c r="GR52" s="1">
        <v>70</v>
      </c>
      <c r="GS52" s="1">
        <v>12</v>
      </c>
      <c r="GT52" s="1">
        <v>15</v>
      </c>
      <c r="GU52" s="1">
        <v>42</v>
      </c>
      <c r="GV52" s="1">
        <v>20</v>
      </c>
      <c r="GW52" s="1">
        <v>25.373000000000001</v>
      </c>
      <c r="GX52" s="1">
        <v>82</v>
      </c>
      <c r="GY52" s="1">
        <v>16</v>
      </c>
      <c r="GZ52" s="1">
        <v>18</v>
      </c>
      <c r="HA52" s="1">
        <v>42</v>
      </c>
      <c r="HB52" s="1">
        <v>19</v>
      </c>
      <c r="HC52" s="1">
        <v>24.468</v>
      </c>
      <c r="HD52" s="1">
        <v>82</v>
      </c>
      <c r="HE52" s="1">
        <v>14</v>
      </c>
      <c r="HF52" s="1">
        <v>17</v>
      </c>
      <c r="HG52" s="1">
        <v>43</v>
      </c>
      <c r="HH52" s="1">
        <v>21</v>
      </c>
      <c r="HI52" s="1">
        <v>27.610000000000003</v>
      </c>
      <c r="HJ52" s="1">
        <v>99</v>
      </c>
      <c r="HK52" s="1">
        <v>19</v>
      </c>
      <c r="HL52" s="1">
        <v>23</v>
      </c>
      <c r="HM52" s="1">
        <v>43</v>
      </c>
      <c r="HN52" s="1">
        <v>21</v>
      </c>
      <c r="HO52" s="1">
        <v>26.962</v>
      </c>
      <c r="HP52" s="1">
        <v>104</v>
      </c>
      <c r="HQ52" s="1">
        <v>22</v>
      </c>
      <c r="HR52" s="1">
        <v>21</v>
      </c>
      <c r="HS52" s="1">
        <v>41</v>
      </c>
      <c r="HT52" s="1">
        <v>19</v>
      </c>
      <c r="HU52" s="1">
        <v>26.863</v>
      </c>
      <c r="HV52" s="1">
        <v>74</v>
      </c>
      <c r="HW52" s="1">
        <v>19</v>
      </c>
      <c r="HX52" s="1">
        <v>18</v>
      </c>
      <c r="HY52" s="1">
        <v>39</v>
      </c>
      <c r="HZ52" s="1">
        <v>20</v>
      </c>
      <c r="IA52" s="1">
        <v>24.344000000000001</v>
      </c>
      <c r="IB52" s="1">
        <v>123</v>
      </c>
      <c r="IC52" s="1">
        <v>28</v>
      </c>
      <c r="ID52" s="1">
        <v>22</v>
      </c>
      <c r="IE52" s="1">
        <v>43</v>
      </c>
      <c r="IF52" s="1">
        <v>19</v>
      </c>
      <c r="IG52" s="1">
        <v>28.533000000000001</v>
      </c>
      <c r="IH52" s="1">
        <v>100</v>
      </c>
      <c r="II52" s="1">
        <v>20</v>
      </c>
      <c r="IJ52" s="1">
        <v>21</v>
      </c>
      <c r="IK52" s="1">
        <v>39</v>
      </c>
      <c r="IL52" s="1">
        <v>18</v>
      </c>
      <c r="IM52" s="1">
        <v>27.081</v>
      </c>
      <c r="IN52" s="1">
        <v>114</v>
      </c>
      <c r="IO52" s="1">
        <v>21</v>
      </c>
      <c r="IP52" s="1">
        <v>22</v>
      </c>
      <c r="IQ52" s="1">
        <v>41</v>
      </c>
      <c r="IR52" s="1">
        <v>18</v>
      </c>
      <c r="IS52" s="1">
        <v>28.148</v>
      </c>
      <c r="IT52" s="1">
        <v>111</v>
      </c>
      <c r="IU52" s="1">
        <v>14</v>
      </c>
      <c r="IV52" s="1">
        <v>21</v>
      </c>
      <c r="IW52" s="1">
        <v>45</v>
      </c>
      <c r="IX52" s="1">
        <v>20</v>
      </c>
      <c r="IY52" s="1">
        <v>28.297000000000001</v>
      </c>
      <c r="IZ52" s="1">
        <v>91</v>
      </c>
      <c r="JA52" s="1">
        <v>22</v>
      </c>
      <c r="JB52" s="1">
        <v>25</v>
      </c>
      <c r="JC52" s="1">
        <v>44</v>
      </c>
      <c r="JD52" s="1">
        <v>21</v>
      </c>
      <c r="JE52" s="1">
        <v>27.513000000000002</v>
      </c>
      <c r="JF52" s="1">
        <v>75</v>
      </c>
      <c r="JG52" s="1">
        <v>19</v>
      </c>
      <c r="JH52" s="1">
        <v>18</v>
      </c>
      <c r="JI52" s="1">
        <v>45</v>
      </c>
      <c r="JJ52" s="1">
        <v>19</v>
      </c>
      <c r="JK52" s="1">
        <v>25.462</v>
      </c>
      <c r="JL52" s="1">
        <v>127</v>
      </c>
      <c r="JM52" s="1">
        <v>21</v>
      </c>
      <c r="JN52" s="1">
        <v>22</v>
      </c>
      <c r="JO52" s="1">
        <v>44</v>
      </c>
      <c r="JP52" s="1">
        <v>20</v>
      </c>
      <c r="JQ52" s="1">
        <v>28.852</v>
      </c>
      <c r="JR52" s="1">
        <v>68</v>
      </c>
      <c r="JS52" s="1">
        <v>24</v>
      </c>
      <c r="JT52" s="1">
        <v>18</v>
      </c>
      <c r="JU52" s="1">
        <v>41</v>
      </c>
      <c r="JV52" s="1">
        <v>19</v>
      </c>
      <c r="JW52" s="1">
        <v>24.02</v>
      </c>
      <c r="JX52" s="1">
        <v>68</v>
      </c>
      <c r="JY52" s="1">
        <v>21</v>
      </c>
      <c r="JZ52" s="1">
        <v>22</v>
      </c>
      <c r="KA52" s="1">
        <v>41</v>
      </c>
      <c r="KB52" s="1">
        <v>20</v>
      </c>
      <c r="KC52" s="1">
        <v>24.450000000000003</v>
      </c>
      <c r="KD52" s="1">
        <v>122</v>
      </c>
      <c r="KE52" s="1">
        <v>21</v>
      </c>
      <c r="KF52" s="1">
        <v>24</v>
      </c>
      <c r="KG52" s="1">
        <v>45</v>
      </c>
      <c r="KH52" s="1">
        <v>25</v>
      </c>
      <c r="KI52" s="1">
        <v>29.837</v>
      </c>
      <c r="KJ52" s="1">
        <v>83</v>
      </c>
      <c r="KK52" s="1">
        <v>31</v>
      </c>
      <c r="KL52" s="1">
        <v>22</v>
      </c>
      <c r="KM52" s="1">
        <v>41</v>
      </c>
      <c r="KN52" s="1">
        <v>17</v>
      </c>
      <c r="KO52" s="1">
        <v>24.988</v>
      </c>
      <c r="KP52" s="1">
        <v>76</v>
      </c>
      <c r="KQ52" s="1">
        <v>8</v>
      </c>
      <c r="KR52" s="1">
        <v>22</v>
      </c>
      <c r="KS52" s="1">
        <v>41</v>
      </c>
      <c r="KT52" s="1">
        <v>22</v>
      </c>
      <c r="KU52" s="1">
        <v>24.315000000000001</v>
      </c>
      <c r="KV52" s="1">
        <v>119</v>
      </c>
      <c r="KW52" s="1">
        <v>26</v>
      </c>
      <c r="KX52" s="1">
        <v>25</v>
      </c>
      <c r="KY52" s="1">
        <v>43</v>
      </c>
      <c r="KZ52" s="1">
        <v>25</v>
      </c>
      <c r="LA52" s="1">
        <v>29.593</v>
      </c>
      <c r="LB52" s="1">
        <v>105</v>
      </c>
      <c r="LC52" s="1">
        <v>20</v>
      </c>
      <c r="LD52" s="1">
        <v>24</v>
      </c>
      <c r="LE52" s="1">
        <v>45</v>
      </c>
      <c r="LF52" s="1">
        <v>19</v>
      </c>
      <c r="LG52" s="1">
        <v>25.627000000000002</v>
      </c>
      <c r="LH52" s="1">
        <v>104</v>
      </c>
      <c r="LI52" s="1">
        <v>27</v>
      </c>
      <c r="LJ52" s="1">
        <v>18</v>
      </c>
      <c r="LK52" s="1">
        <v>40</v>
      </c>
      <c r="LL52" s="1">
        <v>22</v>
      </c>
      <c r="LM52" s="1">
        <v>27.975000000000001</v>
      </c>
      <c r="LN52" s="1">
        <v>125</v>
      </c>
      <c r="LO52" s="1">
        <v>23</v>
      </c>
      <c r="LP52" s="1">
        <v>26</v>
      </c>
      <c r="LQ52" s="1">
        <v>43</v>
      </c>
      <c r="LR52" s="1">
        <v>23</v>
      </c>
      <c r="LS52" s="1">
        <v>29.542000000000002</v>
      </c>
      <c r="LT52" s="1">
        <v>98</v>
      </c>
      <c r="LU52" s="1">
        <v>26</v>
      </c>
      <c r="LV52" s="1">
        <v>20</v>
      </c>
      <c r="LW52" s="1">
        <v>44</v>
      </c>
      <c r="LX52" s="1">
        <v>18</v>
      </c>
      <c r="LY52" s="1">
        <v>27.238</v>
      </c>
      <c r="LZ52" s="1">
        <v>105</v>
      </c>
      <c r="MA52" s="1">
        <v>17</v>
      </c>
      <c r="MB52" s="1">
        <v>25</v>
      </c>
      <c r="MC52" s="1">
        <v>45</v>
      </c>
      <c r="MD52" s="1">
        <v>21</v>
      </c>
      <c r="ME52" s="1">
        <v>29.089000000000002</v>
      </c>
      <c r="MF52" s="1">
        <v>79</v>
      </c>
      <c r="MG52" s="1">
        <v>17</v>
      </c>
      <c r="MH52" s="1">
        <v>17</v>
      </c>
      <c r="MI52" s="1">
        <v>45</v>
      </c>
      <c r="MJ52" s="1">
        <v>18</v>
      </c>
      <c r="MK52" s="1">
        <v>27.379000000000001</v>
      </c>
      <c r="ML52" s="1">
        <v>83</v>
      </c>
      <c r="MM52" s="1">
        <v>19</v>
      </c>
      <c r="MN52" s="1">
        <v>17</v>
      </c>
      <c r="MO52" s="1">
        <v>43</v>
      </c>
      <c r="MP52" s="1">
        <v>21</v>
      </c>
      <c r="MQ52" s="1">
        <v>25.943000000000001</v>
      </c>
      <c r="MR52" s="1">
        <v>122</v>
      </c>
      <c r="MS52" s="1">
        <v>16</v>
      </c>
      <c r="MT52" s="1">
        <v>21</v>
      </c>
      <c r="MU52" s="1">
        <v>46</v>
      </c>
      <c r="MV52" s="1">
        <v>20</v>
      </c>
      <c r="MW52" s="1">
        <v>30.232000000000003</v>
      </c>
    </row>
    <row r="53" spans="1:361">
      <c r="A53" s="1">
        <v>50</v>
      </c>
      <c r="B53" s="1">
        <v>98</v>
      </c>
      <c r="C53" s="1">
        <v>26</v>
      </c>
      <c r="D53" s="1">
        <v>22</v>
      </c>
      <c r="E53" s="1">
        <v>44</v>
      </c>
      <c r="F53" s="1">
        <v>21</v>
      </c>
      <c r="G53" s="1">
        <v>26.692</v>
      </c>
      <c r="H53" s="1">
        <v>91</v>
      </c>
      <c r="I53" s="1">
        <v>18</v>
      </c>
      <c r="J53" s="1">
        <v>22</v>
      </c>
      <c r="K53" s="1">
        <v>40</v>
      </c>
      <c r="L53" s="1">
        <v>23</v>
      </c>
      <c r="M53" s="1">
        <v>25.794</v>
      </c>
      <c r="N53" s="1">
        <v>82</v>
      </c>
      <c r="O53" s="1">
        <v>12</v>
      </c>
      <c r="P53" s="1">
        <v>21</v>
      </c>
      <c r="Q53" s="1">
        <v>39</v>
      </c>
      <c r="R53" s="1">
        <v>16</v>
      </c>
      <c r="S53" s="1">
        <v>24.968</v>
      </c>
      <c r="T53" s="1">
        <v>88</v>
      </c>
      <c r="U53" s="1">
        <v>22</v>
      </c>
      <c r="V53" s="1">
        <v>17</v>
      </c>
      <c r="W53" s="1">
        <v>43</v>
      </c>
      <c r="X53" s="1">
        <v>21</v>
      </c>
      <c r="Y53" s="1">
        <v>26.296000000000003</v>
      </c>
      <c r="Z53" s="1">
        <v>126</v>
      </c>
      <c r="AA53" s="1">
        <v>17</v>
      </c>
      <c r="AB53" s="1">
        <v>20</v>
      </c>
      <c r="AC53" s="1">
        <v>46</v>
      </c>
      <c r="AD53" s="1">
        <v>19</v>
      </c>
      <c r="AE53" s="1">
        <v>30.033000000000001</v>
      </c>
      <c r="AF53" s="1">
        <v>89</v>
      </c>
      <c r="AG53" s="1">
        <v>23</v>
      </c>
      <c r="AH53" s="1">
        <v>19</v>
      </c>
      <c r="AI53" s="1">
        <v>41</v>
      </c>
      <c r="AJ53" s="1">
        <v>20</v>
      </c>
      <c r="AK53" s="1">
        <v>25.776</v>
      </c>
      <c r="AL53" s="1">
        <v>97</v>
      </c>
      <c r="AM53" s="1">
        <v>18</v>
      </c>
      <c r="AN53" s="1">
        <v>16</v>
      </c>
      <c r="AO53" s="1">
        <v>41</v>
      </c>
      <c r="AP53" s="1">
        <v>20</v>
      </c>
      <c r="AQ53" s="1">
        <v>26.056000000000001</v>
      </c>
      <c r="AR53" s="1">
        <v>80</v>
      </c>
      <c r="AS53" s="1">
        <v>12</v>
      </c>
      <c r="AT53" s="1">
        <v>20</v>
      </c>
      <c r="AU53" s="1">
        <v>45</v>
      </c>
      <c r="AV53" s="1">
        <v>19</v>
      </c>
      <c r="AW53" s="1">
        <v>27.524000000000001</v>
      </c>
      <c r="AX53" s="1">
        <v>77</v>
      </c>
      <c r="AY53" s="1">
        <v>19</v>
      </c>
      <c r="AZ53" s="1">
        <v>24</v>
      </c>
      <c r="BA53" s="1">
        <v>45</v>
      </c>
      <c r="BB53" s="1">
        <v>21</v>
      </c>
      <c r="BC53" s="1">
        <v>24.996000000000002</v>
      </c>
      <c r="BD53" s="1">
        <v>83</v>
      </c>
      <c r="BE53" s="1">
        <v>17</v>
      </c>
      <c r="BF53" s="1">
        <v>24</v>
      </c>
      <c r="BG53" s="1">
        <v>44</v>
      </c>
      <c r="BH53" s="1">
        <v>21</v>
      </c>
      <c r="BI53" s="1">
        <v>26.913</v>
      </c>
      <c r="BJ53" s="1">
        <v>92</v>
      </c>
      <c r="BK53" s="1">
        <v>18</v>
      </c>
      <c r="BL53" s="1">
        <v>25</v>
      </c>
      <c r="BM53" s="1">
        <v>43</v>
      </c>
      <c r="BN53" s="1">
        <v>18</v>
      </c>
      <c r="BO53" s="1">
        <v>26.982000000000003</v>
      </c>
      <c r="BP53" s="1">
        <v>76</v>
      </c>
      <c r="BQ53" s="1">
        <v>17</v>
      </c>
      <c r="BR53" s="1">
        <v>20</v>
      </c>
      <c r="BS53" s="1">
        <v>43</v>
      </c>
      <c r="BT53" s="1">
        <v>23</v>
      </c>
      <c r="BU53" s="1">
        <v>27.214000000000002</v>
      </c>
      <c r="BV53" s="1">
        <v>125</v>
      </c>
      <c r="BW53" s="1">
        <v>17</v>
      </c>
      <c r="BX53" s="1">
        <v>25</v>
      </c>
      <c r="BY53" s="1">
        <v>46</v>
      </c>
      <c r="BZ53" s="1">
        <v>20</v>
      </c>
      <c r="CA53" s="1">
        <v>30.279</v>
      </c>
      <c r="CB53" s="1">
        <v>105</v>
      </c>
      <c r="CC53" s="1">
        <v>10</v>
      </c>
      <c r="CD53" s="1">
        <v>21</v>
      </c>
      <c r="CE53" s="1">
        <v>42</v>
      </c>
      <c r="CF53" s="1">
        <v>19</v>
      </c>
      <c r="CG53" s="1">
        <v>28.904</v>
      </c>
      <c r="CH53" s="1">
        <v>75</v>
      </c>
      <c r="CI53" s="1">
        <v>20</v>
      </c>
      <c r="CJ53" s="1">
        <v>21</v>
      </c>
      <c r="CK53" s="1">
        <v>41</v>
      </c>
      <c r="CL53" s="1">
        <v>19</v>
      </c>
      <c r="CM53" s="1">
        <v>26.378</v>
      </c>
      <c r="CN53" s="1">
        <v>125</v>
      </c>
      <c r="CO53" s="1">
        <v>13</v>
      </c>
      <c r="CP53" s="1">
        <v>26</v>
      </c>
      <c r="CQ53" s="1">
        <v>43</v>
      </c>
      <c r="CR53" s="1">
        <v>20</v>
      </c>
      <c r="CS53" s="1">
        <v>28.990000000000002</v>
      </c>
      <c r="CT53" s="1">
        <v>105</v>
      </c>
      <c r="CU53" s="1">
        <v>28</v>
      </c>
      <c r="CV53" s="1">
        <v>21</v>
      </c>
      <c r="CW53" s="1">
        <v>42</v>
      </c>
      <c r="CX53" s="1">
        <v>19</v>
      </c>
      <c r="CY53" s="1">
        <v>27.539000000000001</v>
      </c>
      <c r="CZ53" s="1">
        <v>80</v>
      </c>
      <c r="DA53" s="1">
        <v>21</v>
      </c>
      <c r="DB53" s="1">
        <v>20</v>
      </c>
      <c r="DC53" s="1">
        <v>43</v>
      </c>
      <c r="DD53" s="1">
        <v>18</v>
      </c>
      <c r="DE53" s="1">
        <v>23.976000000000003</v>
      </c>
      <c r="DF53" s="1">
        <v>124</v>
      </c>
      <c r="DG53" s="1">
        <v>27</v>
      </c>
      <c r="DH53" s="1">
        <v>24</v>
      </c>
      <c r="DI53" s="1">
        <v>42</v>
      </c>
      <c r="DJ53" s="1">
        <v>15</v>
      </c>
      <c r="DK53" s="1">
        <v>29.463000000000001</v>
      </c>
      <c r="DL53" s="1">
        <v>74</v>
      </c>
      <c r="DM53" s="1">
        <v>18</v>
      </c>
      <c r="DN53" s="1">
        <v>22</v>
      </c>
      <c r="DO53" s="1">
        <v>41</v>
      </c>
      <c r="DP53" s="1">
        <v>20</v>
      </c>
      <c r="DQ53" s="1">
        <v>24.861000000000001</v>
      </c>
      <c r="DR53" s="1">
        <v>76</v>
      </c>
      <c r="DS53" s="1">
        <v>17</v>
      </c>
      <c r="DT53" s="1">
        <v>19</v>
      </c>
      <c r="DU53" s="1">
        <v>40</v>
      </c>
      <c r="DV53" s="1">
        <v>19</v>
      </c>
      <c r="DW53" s="1">
        <v>26.279</v>
      </c>
      <c r="DX53" s="1">
        <v>123</v>
      </c>
      <c r="DY53" s="1">
        <v>22</v>
      </c>
      <c r="DZ53" s="1">
        <v>25</v>
      </c>
      <c r="EA53" s="1">
        <v>45</v>
      </c>
      <c r="EB53" s="1">
        <v>17</v>
      </c>
      <c r="EC53" s="1">
        <v>30.171000000000003</v>
      </c>
      <c r="ED53" s="1">
        <v>90</v>
      </c>
      <c r="EE53" s="1">
        <v>7</v>
      </c>
      <c r="EF53" s="1">
        <v>20</v>
      </c>
      <c r="EG53" s="1">
        <v>43</v>
      </c>
      <c r="EH53" s="1">
        <v>20</v>
      </c>
      <c r="EI53" s="1">
        <v>27.702000000000002</v>
      </c>
      <c r="EJ53" s="1">
        <v>78</v>
      </c>
      <c r="EK53" s="1">
        <v>20</v>
      </c>
      <c r="EL53" s="1">
        <v>23</v>
      </c>
      <c r="EM53" s="1">
        <v>46</v>
      </c>
      <c r="EN53" s="1">
        <v>20</v>
      </c>
      <c r="EO53" s="1">
        <v>25.615000000000002</v>
      </c>
      <c r="EP53" s="1">
        <v>97</v>
      </c>
      <c r="EQ53" s="1">
        <v>18</v>
      </c>
      <c r="ER53" s="1">
        <v>23</v>
      </c>
      <c r="ES53" s="1">
        <v>44</v>
      </c>
      <c r="ET53" s="1">
        <v>24</v>
      </c>
      <c r="EU53" s="1">
        <v>29.371000000000002</v>
      </c>
      <c r="EV53" s="1">
        <v>81</v>
      </c>
      <c r="EW53" s="1">
        <v>19</v>
      </c>
      <c r="EX53" s="1">
        <v>17</v>
      </c>
      <c r="EY53" s="1">
        <v>41</v>
      </c>
      <c r="EZ53" s="1">
        <v>20</v>
      </c>
      <c r="FA53" s="1">
        <v>23.037000000000003</v>
      </c>
      <c r="FB53" s="1">
        <v>75</v>
      </c>
      <c r="FC53" s="1">
        <v>17</v>
      </c>
      <c r="FD53" s="1">
        <v>15</v>
      </c>
      <c r="FE53" s="1">
        <v>43</v>
      </c>
      <c r="FF53" s="1">
        <v>18</v>
      </c>
      <c r="FG53" s="1">
        <v>26.542000000000002</v>
      </c>
      <c r="FH53" s="1">
        <v>119</v>
      </c>
      <c r="FI53" s="1">
        <v>23</v>
      </c>
      <c r="FJ53" s="1">
        <v>23</v>
      </c>
      <c r="FK53" s="1">
        <v>41</v>
      </c>
      <c r="FL53" s="1">
        <v>18</v>
      </c>
      <c r="FM53" s="1">
        <v>27.515000000000001</v>
      </c>
      <c r="FN53" s="1">
        <v>81</v>
      </c>
      <c r="FO53" s="1">
        <v>20</v>
      </c>
      <c r="FP53" s="1">
        <v>18</v>
      </c>
      <c r="FQ53" s="1">
        <v>45</v>
      </c>
      <c r="FR53" s="1">
        <v>19</v>
      </c>
      <c r="FS53" s="1">
        <v>25.786000000000001</v>
      </c>
      <c r="FT53" s="1">
        <v>86</v>
      </c>
      <c r="FU53" s="1">
        <v>16</v>
      </c>
      <c r="FV53" s="1">
        <v>19</v>
      </c>
      <c r="FW53" s="1">
        <v>42</v>
      </c>
      <c r="FX53" s="1">
        <v>20</v>
      </c>
      <c r="FY53" s="1">
        <v>25.080000000000002</v>
      </c>
      <c r="FZ53" s="1">
        <v>69</v>
      </c>
      <c r="GA53" s="1">
        <v>17</v>
      </c>
      <c r="GB53" s="1">
        <v>21</v>
      </c>
      <c r="GC53" s="1">
        <v>45</v>
      </c>
      <c r="GD53" s="1">
        <v>21</v>
      </c>
      <c r="GE53" s="1">
        <v>25.784000000000002</v>
      </c>
      <c r="GF53" s="1">
        <v>123</v>
      </c>
      <c r="GG53" s="1">
        <v>18</v>
      </c>
      <c r="GH53" s="1">
        <v>22</v>
      </c>
      <c r="GI53" s="1">
        <v>42</v>
      </c>
      <c r="GJ53" s="1">
        <v>24</v>
      </c>
      <c r="GK53" s="1">
        <v>30.639000000000003</v>
      </c>
      <c r="GL53" s="1">
        <v>95</v>
      </c>
      <c r="GM53" s="1">
        <v>20</v>
      </c>
      <c r="GN53" s="1">
        <v>24</v>
      </c>
      <c r="GO53" s="1">
        <v>43</v>
      </c>
      <c r="GP53" s="1">
        <v>23</v>
      </c>
      <c r="GQ53" s="1">
        <v>27.622</v>
      </c>
      <c r="GR53" s="1">
        <v>82</v>
      </c>
      <c r="GS53" s="1">
        <v>20</v>
      </c>
      <c r="GT53" s="1">
        <v>20</v>
      </c>
      <c r="GU53" s="1">
        <v>45</v>
      </c>
      <c r="GV53" s="1">
        <v>19</v>
      </c>
      <c r="GW53" s="1">
        <v>25.981000000000002</v>
      </c>
      <c r="GX53" s="1">
        <v>95</v>
      </c>
      <c r="GY53" s="1">
        <v>24</v>
      </c>
      <c r="GZ53" s="1">
        <v>20</v>
      </c>
      <c r="HA53" s="1">
        <v>44</v>
      </c>
      <c r="HB53" s="1">
        <v>18</v>
      </c>
      <c r="HC53" s="1">
        <v>26.701000000000001</v>
      </c>
      <c r="HD53" s="1">
        <v>71</v>
      </c>
      <c r="HE53" s="1">
        <v>20</v>
      </c>
      <c r="HF53" s="1">
        <v>19</v>
      </c>
      <c r="HG53" s="1">
        <v>44</v>
      </c>
      <c r="HH53" s="1">
        <v>20</v>
      </c>
      <c r="HI53" s="1">
        <v>25.243000000000002</v>
      </c>
      <c r="HJ53" s="1">
        <v>110</v>
      </c>
      <c r="HK53" s="1">
        <v>21</v>
      </c>
      <c r="HL53" s="1">
        <v>20</v>
      </c>
      <c r="HM53" s="1">
        <v>43</v>
      </c>
      <c r="HN53" s="1">
        <v>22</v>
      </c>
      <c r="HO53" s="1">
        <v>26.686</v>
      </c>
      <c r="HP53" s="1">
        <v>74</v>
      </c>
      <c r="HQ53" s="1">
        <v>14</v>
      </c>
      <c r="HR53" s="1">
        <v>19</v>
      </c>
      <c r="HS53" s="1">
        <v>44</v>
      </c>
      <c r="HT53" s="1">
        <v>22</v>
      </c>
      <c r="HU53" s="1">
        <v>25.159000000000002</v>
      </c>
      <c r="HV53" s="1">
        <v>97</v>
      </c>
      <c r="HW53" s="1">
        <v>15</v>
      </c>
      <c r="HX53" s="1">
        <v>21</v>
      </c>
      <c r="HY53" s="1">
        <v>45</v>
      </c>
      <c r="HZ53" s="1">
        <v>20</v>
      </c>
      <c r="IA53" s="1">
        <v>28.138000000000002</v>
      </c>
      <c r="IB53" s="1">
        <v>71</v>
      </c>
      <c r="IC53" s="1">
        <v>26</v>
      </c>
      <c r="ID53" s="1">
        <v>14</v>
      </c>
      <c r="IE53" s="1">
        <v>40</v>
      </c>
      <c r="IF53" s="1">
        <v>22</v>
      </c>
      <c r="IG53" s="1">
        <v>24.455000000000002</v>
      </c>
      <c r="IH53" s="1">
        <v>86</v>
      </c>
      <c r="II53" s="1">
        <v>10</v>
      </c>
      <c r="IJ53" s="1">
        <v>21</v>
      </c>
      <c r="IK53" s="1">
        <v>43</v>
      </c>
      <c r="IL53" s="1">
        <v>20</v>
      </c>
      <c r="IM53" s="1">
        <v>27.252000000000002</v>
      </c>
      <c r="IN53" s="1">
        <v>104</v>
      </c>
      <c r="IO53" s="1">
        <v>19</v>
      </c>
      <c r="IP53" s="1">
        <v>20</v>
      </c>
      <c r="IQ53" s="1">
        <v>40</v>
      </c>
      <c r="IR53" s="1">
        <v>19</v>
      </c>
      <c r="IS53" s="1">
        <v>27.144000000000002</v>
      </c>
      <c r="IT53" s="1">
        <v>85</v>
      </c>
      <c r="IU53" s="1">
        <v>15</v>
      </c>
      <c r="IV53" s="1">
        <v>19</v>
      </c>
      <c r="IW53" s="1">
        <v>44</v>
      </c>
      <c r="IX53" s="1">
        <v>20</v>
      </c>
      <c r="IY53" s="1">
        <v>25.257000000000001</v>
      </c>
      <c r="IZ53" s="1">
        <v>119</v>
      </c>
      <c r="JA53" s="1">
        <v>13</v>
      </c>
      <c r="JB53" s="1">
        <v>21</v>
      </c>
      <c r="JC53" s="1">
        <v>40</v>
      </c>
      <c r="JD53" s="1">
        <v>23</v>
      </c>
      <c r="JE53" s="1">
        <v>29.396000000000001</v>
      </c>
      <c r="JF53" s="1">
        <v>75</v>
      </c>
      <c r="JG53" s="1">
        <v>24</v>
      </c>
      <c r="JH53" s="1">
        <v>18</v>
      </c>
      <c r="JI53" s="1">
        <v>42</v>
      </c>
      <c r="JJ53" s="1">
        <v>24</v>
      </c>
      <c r="JK53" s="1">
        <v>26.07</v>
      </c>
      <c r="JL53" s="1">
        <v>68</v>
      </c>
      <c r="JM53" s="1">
        <v>19</v>
      </c>
      <c r="JN53" s="1">
        <v>19</v>
      </c>
      <c r="JO53" s="1">
        <v>43</v>
      </c>
      <c r="JP53" s="1">
        <v>20</v>
      </c>
      <c r="JQ53" s="1">
        <v>23.528000000000002</v>
      </c>
      <c r="JR53" s="1">
        <v>89</v>
      </c>
      <c r="JS53" s="1">
        <v>10</v>
      </c>
      <c r="JT53" s="1">
        <v>18</v>
      </c>
      <c r="JU53" s="1">
        <v>42</v>
      </c>
      <c r="JV53" s="1">
        <v>18</v>
      </c>
      <c r="JW53" s="1">
        <v>25.144000000000002</v>
      </c>
      <c r="JX53" s="1">
        <v>105</v>
      </c>
      <c r="JY53" s="1">
        <v>21</v>
      </c>
      <c r="JZ53" s="1">
        <v>22</v>
      </c>
      <c r="KA53" s="1">
        <v>44</v>
      </c>
      <c r="KB53" s="1">
        <v>23</v>
      </c>
      <c r="KC53" s="1">
        <v>28.078000000000003</v>
      </c>
      <c r="KD53" s="1">
        <v>127</v>
      </c>
      <c r="KE53" s="1">
        <v>20</v>
      </c>
      <c r="KF53" s="1">
        <v>28</v>
      </c>
      <c r="KG53" s="1">
        <v>43</v>
      </c>
      <c r="KH53" s="1">
        <v>19</v>
      </c>
      <c r="KI53" s="1">
        <v>28.290000000000003</v>
      </c>
      <c r="KJ53" s="1">
        <v>98</v>
      </c>
      <c r="KK53" s="1">
        <v>14</v>
      </c>
      <c r="KL53" s="1">
        <v>21</v>
      </c>
      <c r="KM53" s="1">
        <v>41</v>
      </c>
      <c r="KN53" s="1">
        <v>20</v>
      </c>
      <c r="KO53" s="1">
        <v>26.673999999999999</v>
      </c>
      <c r="KP53" s="1">
        <v>95</v>
      </c>
      <c r="KQ53" s="1">
        <v>12</v>
      </c>
      <c r="KR53" s="1">
        <v>28</v>
      </c>
      <c r="KS53" s="1">
        <v>41</v>
      </c>
      <c r="KT53" s="1">
        <v>16</v>
      </c>
      <c r="KU53" s="1">
        <v>26.791</v>
      </c>
      <c r="KV53" s="1">
        <v>123</v>
      </c>
      <c r="KW53" s="1">
        <v>16</v>
      </c>
      <c r="KX53" s="1">
        <v>23</v>
      </c>
      <c r="KY53" s="1">
        <v>43</v>
      </c>
      <c r="KZ53" s="1">
        <v>18</v>
      </c>
      <c r="LA53" s="1">
        <v>27.242000000000001</v>
      </c>
      <c r="LB53" s="1">
        <v>86</v>
      </c>
      <c r="LC53" s="1">
        <v>16</v>
      </c>
      <c r="LD53" s="1">
        <v>18</v>
      </c>
      <c r="LE53" s="1">
        <v>43</v>
      </c>
      <c r="LF53" s="1">
        <v>16</v>
      </c>
      <c r="LG53" s="1">
        <v>25.925000000000001</v>
      </c>
      <c r="LH53" s="1">
        <v>127</v>
      </c>
      <c r="LI53" s="1">
        <v>22</v>
      </c>
      <c r="LJ53" s="1">
        <v>28</v>
      </c>
      <c r="LK53" s="1">
        <v>43</v>
      </c>
      <c r="LL53" s="1">
        <v>22</v>
      </c>
      <c r="LM53" s="1">
        <v>29.283000000000001</v>
      </c>
      <c r="LN53" s="1">
        <v>127</v>
      </c>
      <c r="LO53" s="1">
        <v>21</v>
      </c>
      <c r="LP53" s="1">
        <v>30</v>
      </c>
      <c r="LQ53" s="1">
        <v>45</v>
      </c>
      <c r="LR53" s="1">
        <v>18</v>
      </c>
      <c r="LS53" s="1">
        <v>30.572000000000003</v>
      </c>
      <c r="LT53" s="1">
        <v>77</v>
      </c>
      <c r="LU53" s="1">
        <v>18</v>
      </c>
      <c r="LV53" s="1">
        <v>18</v>
      </c>
      <c r="LW53" s="1">
        <v>42</v>
      </c>
      <c r="LX53" s="1">
        <v>20</v>
      </c>
      <c r="LY53" s="1">
        <v>27.991</v>
      </c>
      <c r="LZ53" s="1">
        <v>78</v>
      </c>
      <c r="MA53" s="1">
        <v>23</v>
      </c>
      <c r="MB53" s="1">
        <v>18</v>
      </c>
      <c r="MC53" s="1">
        <v>42</v>
      </c>
      <c r="MD53" s="1">
        <v>22</v>
      </c>
      <c r="ME53" s="1">
        <v>24.43</v>
      </c>
      <c r="MF53" s="1">
        <v>123</v>
      </c>
      <c r="MG53" s="1">
        <v>26</v>
      </c>
      <c r="MH53" s="1">
        <v>24</v>
      </c>
      <c r="MI53" s="1">
        <v>42</v>
      </c>
      <c r="MJ53" s="1">
        <v>22</v>
      </c>
      <c r="MK53" s="1">
        <v>29.673000000000002</v>
      </c>
      <c r="ML53" s="1">
        <v>86</v>
      </c>
      <c r="MM53" s="1">
        <v>20</v>
      </c>
      <c r="MN53" s="1">
        <v>19</v>
      </c>
      <c r="MO53" s="1">
        <v>44</v>
      </c>
      <c r="MP53" s="1">
        <v>24</v>
      </c>
      <c r="MQ53" s="1">
        <v>26.905000000000001</v>
      </c>
      <c r="MR53" s="1">
        <v>85</v>
      </c>
      <c r="MS53" s="1">
        <v>20</v>
      </c>
      <c r="MT53" s="1">
        <v>20</v>
      </c>
      <c r="MU53" s="1">
        <v>45</v>
      </c>
      <c r="MV53" s="1">
        <v>19</v>
      </c>
      <c r="MW53" s="1">
        <v>26.679000000000002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73"/>
  <sheetViews>
    <sheetView workbookViewId="0">
      <pane xSplit="1" topLeftCell="B1" activePane="topRight" state="frozen"/>
      <selection pane="topRight" activeCell="B4" sqref="B4"/>
    </sheetView>
  </sheetViews>
  <sheetFormatPr defaultColWidth="8.85546875" defaultRowHeight="15"/>
  <cols>
    <col min="1" max="1" width="14.28515625" style="1" bestFit="1" customWidth="1"/>
    <col min="2" max="2" width="26.7109375" bestFit="1" customWidth="1"/>
    <col min="3" max="3" width="25.7109375" bestFit="1" customWidth="1"/>
    <col min="4" max="4" width="22.85546875" bestFit="1" customWidth="1"/>
    <col min="5" max="5" width="22.42578125" bestFit="1" customWidth="1"/>
    <col min="6" max="6" width="26" bestFit="1" customWidth="1"/>
    <col min="7" max="7" width="26.42578125" bestFit="1" customWidth="1"/>
    <col min="8" max="8" width="26.7109375" bestFit="1" customWidth="1"/>
    <col min="9" max="9" width="16.7109375" bestFit="1" customWidth="1"/>
    <col min="10" max="10" width="18" bestFit="1" customWidth="1"/>
    <col min="11" max="11" width="20.42578125" bestFit="1" customWidth="1"/>
    <col min="12" max="12" width="22.140625" bestFit="1" customWidth="1"/>
    <col min="13" max="13" width="23.85546875" bestFit="1" customWidth="1"/>
    <col min="14" max="14" width="15.140625" bestFit="1" customWidth="1"/>
    <col min="15" max="15" width="12.42578125" bestFit="1" customWidth="1"/>
    <col min="16" max="16" width="16.28515625" bestFit="1" customWidth="1"/>
    <col min="17" max="17" width="17.42578125" bestFit="1" customWidth="1"/>
    <col min="18" max="18" width="14.7109375" bestFit="1" customWidth="1"/>
    <col min="19" max="19" width="14" bestFit="1" customWidth="1"/>
    <col min="20" max="22" width="12.42578125" bestFit="1" customWidth="1"/>
    <col min="23" max="23" width="21.7109375" bestFit="1" customWidth="1"/>
    <col min="24" max="24" width="25.7109375" bestFit="1" customWidth="1"/>
    <col min="25" max="25" width="19.42578125" bestFit="1" customWidth="1"/>
    <col min="26" max="26" width="13.85546875" bestFit="1" customWidth="1"/>
    <col min="27" max="27" width="18.42578125" bestFit="1" customWidth="1"/>
    <col min="28" max="28" width="17.42578125" bestFit="1" customWidth="1"/>
    <col min="29" max="29" width="19.7109375" bestFit="1" customWidth="1"/>
    <col min="30" max="30" width="15.28515625" bestFit="1" customWidth="1"/>
    <col min="31" max="31" width="14.7109375" bestFit="1" customWidth="1"/>
    <col min="32" max="32" width="14.28515625" bestFit="1" customWidth="1"/>
    <col min="33" max="33" width="20.140625" bestFit="1" customWidth="1"/>
    <col min="34" max="34" width="21.42578125" bestFit="1" customWidth="1"/>
    <col min="35" max="35" width="14.42578125" bestFit="1" customWidth="1"/>
    <col min="36" max="36" width="15.42578125" bestFit="1" customWidth="1"/>
    <col min="37" max="37" width="17.28515625" bestFit="1" customWidth="1"/>
    <col min="38" max="38" width="20.140625" bestFit="1" customWidth="1"/>
    <col min="39" max="39" width="16.85546875" bestFit="1" customWidth="1"/>
    <col min="40" max="40" width="22" bestFit="1" customWidth="1"/>
    <col min="41" max="41" width="27.140625" bestFit="1" customWidth="1"/>
    <col min="42" max="42" width="27.42578125" bestFit="1" customWidth="1"/>
    <col min="43" max="43" width="29.28515625" bestFit="1" customWidth="1"/>
    <col min="44" max="44" width="17.42578125" bestFit="1" customWidth="1"/>
    <col min="45" max="45" width="15.7109375" bestFit="1" customWidth="1"/>
    <col min="46" max="46" width="18.7109375" bestFit="1" customWidth="1"/>
    <col min="47" max="47" width="15.42578125" bestFit="1" customWidth="1"/>
    <col min="48" max="48" width="18.7109375" bestFit="1" customWidth="1"/>
    <col min="49" max="49" width="16.42578125" bestFit="1" customWidth="1"/>
    <col min="50" max="50" width="12.42578125" bestFit="1" customWidth="1"/>
    <col min="51" max="51" width="14.7109375" bestFit="1" customWidth="1"/>
    <col min="52" max="52" width="17.42578125" bestFit="1" customWidth="1"/>
    <col min="53" max="53" width="20.7109375" bestFit="1" customWidth="1"/>
    <col min="54" max="54" width="18.7109375" bestFit="1" customWidth="1"/>
    <col min="55" max="55" width="18.42578125" bestFit="1" customWidth="1"/>
    <col min="56" max="56" width="13.42578125" bestFit="1" customWidth="1"/>
    <col min="57" max="57" width="16.7109375" bestFit="1" customWidth="1"/>
    <col min="58" max="58" width="15.42578125" bestFit="1" customWidth="1"/>
    <col min="59" max="59" width="13.42578125" bestFit="1" customWidth="1"/>
    <col min="60" max="60" width="15.85546875" bestFit="1" customWidth="1"/>
    <col min="61" max="61" width="21.7109375" bestFit="1" customWidth="1"/>
  </cols>
  <sheetData>
    <row r="1" spans="1:6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>
      <c r="A2" s="1" t="s">
        <v>74</v>
      </c>
      <c r="B2" t="s">
        <v>76</v>
      </c>
      <c r="C2" t="s">
        <v>77</v>
      </c>
      <c r="D2" t="s">
        <v>78</v>
      </c>
      <c r="E2" t="s">
        <v>79</v>
      </c>
      <c r="F2" t="s">
        <v>136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129</v>
      </c>
      <c r="R2" t="s">
        <v>90</v>
      </c>
      <c r="S2" t="s">
        <v>91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 t="s">
        <v>98</v>
      </c>
      <c r="AA2" t="s">
        <v>99</v>
      </c>
      <c r="AB2" t="s">
        <v>130</v>
      </c>
      <c r="AC2" t="s">
        <v>131</v>
      </c>
      <c r="AD2" t="s">
        <v>100</v>
      </c>
      <c r="AE2" t="s">
        <v>101</v>
      </c>
      <c r="AF2" t="s">
        <v>102</v>
      </c>
      <c r="AG2" t="s">
        <v>103</v>
      </c>
      <c r="AH2" t="s">
        <v>104</v>
      </c>
      <c r="AI2" t="s">
        <v>105</v>
      </c>
      <c r="AJ2" t="s">
        <v>106</v>
      </c>
      <c r="AK2" t="s">
        <v>107</v>
      </c>
      <c r="AL2" t="s">
        <v>108</v>
      </c>
      <c r="AM2" t="s">
        <v>109</v>
      </c>
      <c r="AN2" t="s">
        <v>132</v>
      </c>
      <c r="AO2" t="s">
        <v>133</v>
      </c>
      <c r="AP2" t="s">
        <v>134</v>
      </c>
      <c r="AQ2" t="s">
        <v>135</v>
      </c>
      <c r="AR2" t="s">
        <v>110</v>
      </c>
      <c r="AS2" t="s">
        <v>111</v>
      </c>
      <c r="AT2" t="s">
        <v>112</v>
      </c>
      <c r="AU2" t="s">
        <v>113</v>
      </c>
      <c r="AV2" t="s">
        <v>114</v>
      </c>
      <c r="AW2" t="s">
        <v>115</v>
      </c>
      <c r="AX2" t="s">
        <v>116</v>
      </c>
      <c r="AY2" t="s">
        <v>117</v>
      </c>
      <c r="AZ2" t="s">
        <v>118</v>
      </c>
      <c r="BA2" t="s">
        <v>119</v>
      </c>
      <c r="BB2" t="s">
        <v>120</v>
      </c>
      <c r="BC2" t="s">
        <v>121</v>
      </c>
      <c r="BD2" t="s">
        <v>122</v>
      </c>
      <c r="BE2" t="s">
        <v>123</v>
      </c>
      <c r="BF2" t="s">
        <v>124</v>
      </c>
      <c r="BG2" t="s">
        <v>125</v>
      </c>
      <c r="BH2" t="s">
        <v>126</v>
      </c>
      <c r="BI2" t="s">
        <v>127</v>
      </c>
    </row>
    <row r="3" spans="1:61">
      <c r="A3" s="1" t="s">
        <v>128</v>
      </c>
      <c r="B3" s="1" t="s">
        <v>75</v>
      </c>
      <c r="C3" s="1" t="s">
        <v>75</v>
      </c>
      <c r="D3" s="1" t="s">
        <v>75</v>
      </c>
      <c r="E3" s="1" t="s">
        <v>75</v>
      </c>
      <c r="F3" s="1" t="s">
        <v>75</v>
      </c>
      <c r="G3" s="1" t="s">
        <v>75</v>
      </c>
      <c r="H3" s="1" t="s">
        <v>75</v>
      </c>
      <c r="I3" s="1" t="s">
        <v>75</v>
      </c>
      <c r="J3" s="1" t="s">
        <v>75</v>
      </c>
      <c r="K3" s="1" t="s">
        <v>75</v>
      </c>
      <c r="L3" s="1" t="s">
        <v>75</v>
      </c>
      <c r="M3" s="1" t="s">
        <v>75</v>
      </c>
      <c r="N3" s="1" t="s">
        <v>75</v>
      </c>
      <c r="O3" s="1" t="s">
        <v>75</v>
      </c>
      <c r="P3" s="1" t="s">
        <v>75</v>
      </c>
      <c r="Q3" s="1" t="s">
        <v>75</v>
      </c>
      <c r="R3" s="1" t="s">
        <v>75</v>
      </c>
      <c r="S3" s="1" t="s">
        <v>75</v>
      </c>
      <c r="T3" s="1" t="s">
        <v>75</v>
      </c>
      <c r="U3" s="1" t="s">
        <v>75</v>
      </c>
      <c r="V3" s="1" t="s">
        <v>75</v>
      </c>
      <c r="W3" s="1" t="s">
        <v>75</v>
      </c>
      <c r="X3" s="1" t="s">
        <v>75</v>
      </c>
      <c r="Y3" s="1" t="s">
        <v>75</v>
      </c>
      <c r="Z3" s="1" t="s">
        <v>75</v>
      </c>
      <c r="AA3" s="1" t="s">
        <v>75</v>
      </c>
      <c r="AB3" s="1" t="s">
        <v>75</v>
      </c>
      <c r="AC3" s="1" t="s">
        <v>75</v>
      </c>
      <c r="AD3" s="1" t="s">
        <v>75</v>
      </c>
      <c r="AE3" s="1" t="s">
        <v>75</v>
      </c>
      <c r="AF3" s="1" t="s">
        <v>75</v>
      </c>
      <c r="AG3" s="1" t="s">
        <v>75</v>
      </c>
      <c r="AH3" s="1" t="s">
        <v>75</v>
      </c>
      <c r="AI3" s="1" t="s">
        <v>75</v>
      </c>
      <c r="AJ3" s="1" t="s">
        <v>75</v>
      </c>
      <c r="AK3" s="1" t="s">
        <v>75</v>
      </c>
      <c r="AL3" s="1" t="s">
        <v>75</v>
      </c>
      <c r="AM3" s="1" t="s">
        <v>75</v>
      </c>
      <c r="AN3" s="1" t="s">
        <v>75</v>
      </c>
      <c r="AO3" s="1" t="s">
        <v>75</v>
      </c>
      <c r="AP3" s="1" t="s">
        <v>75</v>
      </c>
      <c r="AQ3" s="1" t="s">
        <v>75</v>
      </c>
      <c r="AR3" s="1" t="s">
        <v>75</v>
      </c>
      <c r="AS3" s="1" t="s">
        <v>75</v>
      </c>
      <c r="AT3" s="1" t="s">
        <v>75</v>
      </c>
      <c r="AU3" s="1" t="s">
        <v>75</v>
      </c>
      <c r="AV3" s="1" t="s">
        <v>75</v>
      </c>
      <c r="AW3" s="1" t="s">
        <v>75</v>
      </c>
      <c r="AX3" s="1" t="s">
        <v>75</v>
      </c>
      <c r="AY3" s="1" t="s">
        <v>75</v>
      </c>
      <c r="AZ3" s="1" t="s">
        <v>75</v>
      </c>
      <c r="BA3" s="1" t="s">
        <v>75</v>
      </c>
      <c r="BB3" s="1" t="s">
        <v>75</v>
      </c>
      <c r="BC3" s="1" t="s">
        <v>75</v>
      </c>
      <c r="BD3" s="1" t="s">
        <v>75</v>
      </c>
      <c r="BE3" s="1" t="s">
        <v>75</v>
      </c>
      <c r="BF3" s="1" t="s">
        <v>75</v>
      </c>
      <c r="BG3" s="1" t="s">
        <v>75</v>
      </c>
      <c r="BH3" s="1" t="s">
        <v>75</v>
      </c>
      <c r="BI3" s="1" t="s">
        <v>75</v>
      </c>
    </row>
    <row r="4" spans="1:61">
      <c r="A4" s="1">
        <v>1</v>
      </c>
      <c r="B4" s="2">
        <v>2132.9299999999998</v>
      </c>
      <c r="C4" s="2">
        <v>1195.47</v>
      </c>
      <c r="D4" s="2">
        <v>1457.45</v>
      </c>
      <c r="E4" s="2">
        <v>1938.84</v>
      </c>
      <c r="F4" s="2">
        <v>1754.88</v>
      </c>
      <c r="G4" s="2">
        <v>2906.57</v>
      </c>
      <c r="H4" s="2">
        <v>10067.61</v>
      </c>
      <c r="I4" s="2">
        <v>11369.15</v>
      </c>
      <c r="J4" s="2">
        <v>5515.61</v>
      </c>
      <c r="K4" s="2">
        <v>7106.63</v>
      </c>
      <c r="L4" s="2">
        <v>1051.5899999999999</v>
      </c>
      <c r="M4" s="2">
        <v>1390.59</v>
      </c>
      <c r="N4" s="2">
        <v>3185.2</v>
      </c>
      <c r="O4" s="2">
        <v>5677.77</v>
      </c>
      <c r="P4" s="2">
        <v>5268.85</v>
      </c>
      <c r="Q4" s="2">
        <v>2185.0500000000002</v>
      </c>
      <c r="R4" s="2">
        <v>2755.52</v>
      </c>
      <c r="S4" s="2">
        <v>3128.23</v>
      </c>
      <c r="T4" s="2">
        <v>2570.4</v>
      </c>
      <c r="U4" s="2">
        <v>3746.95</v>
      </c>
      <c r="V4" s="2">
        <v>5598.77</v>
      </c>
      <c r="W4" s="2">
        <v>15154.5</v>
      </c>
      <c r="X4" s="2">
        <v>21674.799999999999</v>
      </c>
      <c r="Y4" s="2">
        <v>13569.42</v>
      </c>
      <c r="Z4" s="2">
        <v>16578.689999999999</v>
      </c>
      <c r="AA4" s="2">
        <v>19288.330000000002</v>
      </c>
      <c r="AB4" s="2">
        <v>3890.51</v>
      </c>
      <c r="AC4" s="2">
        <v>1488.53</v>
      </c>
      <c r="AD4" s="2">
        <v>11876.8</v>
      </c>
      <c r="AE4" s="2">
        <v>3576.95</v>
      </c>
      <c r="AF4" s="2">
        <v>1658.79</v>
      </c>
      <c r="AG4" s="2">
        <v>10313.969999999999</v>
      </c>
      <c r="AH4" s="2">
        <v>4537.93</v>
      </c>
      <c r="AI4" s="2">
        <v>4714.91</v>
      </c>
      <c r="AJ4" s="2">
        <v>3891.37</v>
      </c>
      <c r="AK4" s="2">
        <v>1753.74</v>
      </c>
      <c r="AL4" s="2">
        <v>1323.82</v>
      </c>
      <c r="AM4" s="2">
        <v>1109.3</v>
      </c>
      <c r="AN4" s="2">
        <v>3060.9</v>
      </c>
      <c r="AO4" s="2">
        <v>3199.81</v>
      </c>
      <c r="AP4" s="2">
        <v>1335.8</v>
      </c>
      <c r="AQ4" s="2">
        <v>2108.6999999999998</v>
      </c>
      <c r="AR4" s="2">
        <v>1869.78</v>
      </c>
      <c r="AS4" s="2">
        <v>1172.81</v>
      </c>
      <c r="AT4" s="2">
        <v>3462.91</v>
      </c>
      <c r="AU4" s="2">
        <v>8425.76</v>
      </c>
      <c r="AV4" s="2">
        <v>4179.51</v>
      </c>
      <c r="AW4" s="2">
        <v>955.42</v>
      </c>
      <c r="AX4" s="2">
        <v>2102.41</v>
      </c>
      <c r="AY4" s="2">
        <v>1769.58</v>
      </c>
      <c r="AZ4" s="2">
        <v>1335.36</v>
      </c>
      <c r="BA4" s="2">
        <v>1321.57</v>
      </c>
      <c r="BB4" s="2">
        <v>1121.8699999999999</v>
      </c>
      <c r="BC4" s="2">
        <v>3474.99</v>
      </c>
      <c r="BD4" s="2">
        <v>1169.52</v>
      </c>
      <c r="BE4" s="2">
        <v>1622.52</v>
      </c>
      <c r="BF4" s="2">
        <v>1678.24</v>
      </c>
      <c r="BG4" s="2">
        <v>880.42</v>
      </c>
      <c r="BH4" s="2">
        <v>1315.49</v>
      </c>
      <c r="BI4" s="2">
        <v>604.94000000000005</v>
      </c>
    </row>
    <row r="5" spans="1:61">
      <c r="A5" s="1">
        <v>2</v>
      </c>
      <c r="B5" s="2">
        <v>2951.97</v>
      </c>
      <c r="C5" s="2">
        <v>2192.5100000000002</v>
      </c>
      <c r="D5" s="2">
        <v>2313.9299999999998</v>
      </c>
      <c r="E5" s="2">
        <v>2234.04</v>
      </c>
      <c r="F5" s="2">
        <v>2445.5100000000002</v>
      </c>
      <c r="G5" s="2">
        <v>4066.29</v>
      </c>
      <c r="H5" s="2">
        <v>13767.88</v>
      </c>
      <c r="I5" s="2">
        <v>19268.29</v>
      </c>
      <c r="J5" s="2">
        <v>7579.13</v>
      </c>
      <c r="K5" s="2">
        <v>13100.73</v>
      </c>
      <c r="L5" s="2">
        <v>1371.89</v>
      </c>
      <c r="M5" s="2">
        <v>1872.3</v>
      </c>
      <c r="N5" s="2">
        <v>4253.05</v>
      </c>
      <c r="O5" s="2">
        <v>7004.88</v>
      </c>
      <c r="P5" s="2">
        <v>8165</v>
      </c>
      <c r="Q5" s="2">
        <v>2726.82</v>
      </c>
      <c r="R5" s="2">
        <v>3647.91</v>
      </c>
      <c r="S5" s="2">
        <v>3758.12</v>
      </c>
      <c r="T5" s="2">
        <v>2829.27</v>
      </c>
      <c r="U5" s="2">
        <v>5830.75</v>
      </c>
      <c r="V5" s="2">
        <v>10451.48</v>
      </c>
      <c r="W5" s="2">
        <v>19512</v>
      </c>
      <c r="X5" s="2">
        <v>41093.480000000003</v>
      </c>
      <c r="Y5" s="2">
        <v>21534.77</v>
      </c>
      <c r="Z5" s="2">
        <v>23385.98</v>
      </c>
      <c r="AA5" s="2">
        <v>23966.76</v>
      </c>
      <c r="AB5" s="2">
        <v>4267.78</v>
      </c>
      <c r="AC5" s="2">
        <v>2988.47</v>
      </c>
      <c r="AD5" s="2">
        <v>20289.04</v>
      </c>
      <c r="AE5" s="2">
        <v>6510.07</v>
      </c>
      <c r="AF5" s="2">
        <v>3511.79</v>
      </c>
      <c r="AG5" s="2">
        <v>12222.8</v>
      </c>
      <c r="AH5" s="2">
        <v>8353.2900000000009</v>
      </c>
      <c r="AI5" s="2">
        <v>7254.15</v>
      </c>
      <c r="AJ5" s="2">
        <v>4735.1400000000003</v>
      </c>
      <c r="AK5" s="2">
        <v>2456.5700000000002</v>
      </c>
      <c r="AL5" s="2">
        <v>1247.7</v>
      </c>
      <c r="AM5" s="2">
        <v>1408.27</v>
      </c>
      <c r="AN5" s="2">
        <v>5139.1899999999996</v>
      </c>
      <c r="AO5" s="2">
        <v>4970.91</v>
      </c>
      <c r="AP5" s="2">
        <v>1261.52</v>
      </c>
      <c r="AQ5" s="2">
        <v>3892.09</v>
      </c>
      <c r="AR5" s="2">
        <v>2803.34</v>
      </c>
      <c r="AS5" s="2">
        <v>1384.23</v>
      </c>
      <c r="AT5" s="2">
        <v>4195.3900000000003</v>
      </c>
      <c r="AU5" s="2">
        <v>10886.77</v>
      </c>
      <c r="AV5" s="2">
        <v>5107.5</v>
      </c>
      <c r="AW5" s="2">
        <v>1148.4100000000001</v>
      </c>
      <c r="AX5" s="2">
        <v>3719.6</v>
      </c>
      <c r="AY5" s="2">
        <v>2650.88</v>
      </c>
      <c r="AZ5" s="2">
        <v>1911.82</v>
      </c>
      <c r="BA5" s="2">
        <v>1702.06</v>
      </c>
      <c r="BB5" s="2">
        <v>1513.08</v>
      </c>
      <c r="BC5" s="2">
        <v>5424.98</v>
      </c>
      <c r="BD5" s="2">
        <v>1345.59</v>
      </c>
      <c r="BE5" s="2">
        <v>3396.04</v>
      </c>
      <c r="BF5" s="2">
        <v>2037.67</v>
      </c>
      <c r="BG5" s="2">
        <v>1258.17</v>
      </c>
      <c r="BH5" s="2">
        <v>2139.48</v>
      </c>
      <c r="BI5" s="2">
        <v>960.89</v>
      </c>
    </row>
    <row r="6" spans="1:61">
      <c r="A6" s="1">
        <v>3</v>
      </c>
      <c r="B6" s="2">
        <v>1916.96</v>
      </c>
      <c r="C6" s="2">
        <v>1505.72</v>
      </c>
      <c r="D6" s="2">
        <v>1438.49</v>
      </c>
      <c r="E6" s="2">
        <v>1327.28</v>
      </c>
      <c r="F6" s="2">
        <v>1698.6</v>
      </c>
      <c r="G6" s="2">
        <v>2762.17</v>
      </c>
      <c r="H6" s="2">
        <v>12116.56</v>
      </c>
      <c r="I6" s="2">
        <v>5798.26</v>
      </c>
      <c r="J6" s="2">
        <v>2821.73</v>
      </c>
      <c r="K6" s="2">
        <v>8558.65</v>
      </c>
      <c r="L6" s="2">
        <v>1149.76</v>
      </c>
      <c r="M6" s="2">
        <v>1322.92</v>
      </c>
      <c r="N6" s="2">
        <v>2271.6</v>
      </c>
      <c r="O6" s="2">
        <v>4631.74</v>
      </c>
      <c r="P6" s="2">
        <v>5941.04</v>
      </c>
      <c r="Q6" s="2">
        <v>1438.36</v>
      </c>
      <c r="R6" s="2">
        <v>2228.91</v>
      </c>
      <c r="S6" s="2">
        <v>1771.07</v>
      </c>
      <c r="T6" s="2">
        <v>1771.42</v>
      </c>
      <c r="U6" s="2">
        <v>4042.84</v>
      </c>
      <c r="V6" s="2">
        <v>5078.99</v>
      </c>
      <c r="W6" s="2">
        <v>13555.61</v>
      </c>
      <c r="X6" s="2">
        <v>18077.88</v>
      </c>
      <c r="Y6" s="2">
        <v>16819.36</v>
      </c>
      <c r="Z6" s="2">
        <v>13846.56</v>
      </c>
      <c r="AA6" s="2">
        <v>12406.45</v>
      </c>
      <c r="AB6" s="2">
        <v>3272.75</v>
      </c>
      <c r="AC6" s="2">
        <v>2162.63</v>
      </c>
      <c r="AD6" s="2">
        <v>12325.83</v>
      </c>
      <c r="AE6" s="2">
        <v>2945.06</v>
      </c>
      <c r="AF6" s="2">
        <v>2225.64</v>
      </c>
      <c r="AG6" s="2">
        <v>5450.28</v>
      </c>
      <c r="AH6" s="2">
        <v>4379.72</v>
      </c>
      <c r="AI6" s="2">
        <v>4906.13</v>
      </c>
      <c r="AJ6" s="2">
        <v>4206.16</v>
      </c>
      <c r="AK6" s="2">
        <v>1447.41</v>
      </c>
      <c r="AL6" s="2">
        <v>1123.53</v>
      </c>
      <c r="AM6" s="2">
        <v>1003.17</v>
      </c>
      <c r="AN6" s="2">
        <v>3088.55</v>
      </c>
      <c r="AO6" s="2">
        <v>2528.13</v>
      </c>
      <c r="AP6" s="2">
        <v>948.76</v>
      </c>
      <c r="AQ6" s="2">
        <v>2366.79</v>
      </c>
      <c r="AR6" s="2">
        <v>1985.74</v>
      </c>
      <c r="AS6" s="2">
        <v>1379.25</v>
      </c>
      <c r="AT6" s="2">
        <v>2337.52</v>
      </c>
      <c r="AU6" s="2">
        <v>4942.49</v>
      </c>
      <c r="AV6" s="2">
        <v>3563.25</v>
      </c>
      <c r="AW6" s="2">
        <v>765.64</v>
      </c>
      <c r="AX6" s="2">
        <v>1490.71</v>
      </c>
      <c r="AY6" s="2">
        <v>1553.78</v>
      </c>
      <c r="AZ6" s="2">
        <v>1357.28</v>
      </c>
      <c r="BA6" s="2">
        <v>1052.75</v>
      </c>
      <c r="BB6" s="2">
        <v>997.47</v>
      </c>
      <c r="BC6" s="2">
        <v>3651.87</v>
      </c>
      <c r="BD6" s="2">
        <v>1112.2</v>
      </c>
      <c r="BE6" s="2">
        <v>2912.85</v>
      </c>
      <c r="BF6" s="2">
        <v>1289.52</v>
      </c>
      <c r="BG6" s="2">
        <v>680.21</v>
      </c>
      <c r="BH6" s="2">
        <v>1140.9100000000001</v>
      </c>
      <c r="BI6" s="2">
        <v>570.01</v>
      </c>
    </row>
    <row r="7" spans="1:61">
      <c r="A7" s="1">
        <v>4</v>
      </c>
      <c r="B7" s="2">
        <v>715.36</v>
      </c>
      <c r="C7" s="2">
        <v>630.20000000000005</v>
      </c>
      <c r="D7" s="2">
        <v>527.28</v>
      </c>
      <c r="E7" s="2">
        <v>1129.3499999999999</v>
      </c>
      <c r="F7" s="2">
        <v>1207.55</v>
      </c>
      <c r="G7" s="2">
        <v>1524.28</v>
      </c>
      <c r="H7" s="2">
        <v>6069.34</v>
      </c>
      <c r="I7" s="2">
        <v>8091.43</v>
      </c>
      <c r="J7" s="2">
        <v>1726.38</v>
      </c>
      <c r="K7" s="2">
        <v>6480.4</v>
      </c>
      <c r="L7" s="2">
        <v>530.51</v>
      </c>
      <c r="M7" s="2">
        <v>575.57000000000005</v>
      </c>
      <c r="N7" s="2">
        <v>2220.46</v>
      </c>
      <c r="O7" s="2">
        <v>4264</v>
      </c>
      <c r="P7" s="2">
        <v>3666.9</v>
      </c>
      <c r="Q7" s="2">
        <v>857.09</v>
      </c>
      <c r="R7" s="2">
        <v>1940.09</v>
      </c>
      <c r="S7" s="2">
        <v>1933.24</v>
      </c>
      <c r="T7" s="2">
        <v>890.69</v>
      </c>
      <c r="U7" s="2">
        <v>3306.94</v>
      </c>
      <c r="V7" s="2">
        <v>3378.55</v>
      </c>
      <c r="W7" s="2">
        <v>12034.13</v>
      </c>
      <c r="X7" s="2">
        <v>14476.72</v>
      </c>
      <c r="Y7" s="2">
        <v>8632.9699999999993</v>
      </c>
      <c r="Z7" s="2">
        <v>12335.83</v>
      </c>
      <c r="AA7" s="2">
        <v>4068.5</v>
      </c>
      <c r="AB7" s="2">
        <v>1508.19</v>
      </c>
      <c r="AC7" s="2">
        <v>441.03</v>
      </c>
      <c r="AD7" s="2">
        <v>10061.32</v>
      </c>
      <c r="AE7" s="2">
        <v>3249.74</v>
      </c>
      <c r="AF7" s="2">
        <v>1591.37</v>
      </c>
      <c r="AG7" s="2">
        <v>6619.29</v>
      </c>
      <c r="AH7" s="2">
        <v>2862.4</v>
      </c>
      <c r="AI7" s="2">
        <v>2318.14</v>
      </c>
      <c r="AJ7" s="2">
        <v>773.74</v>
      </c>
      <c r="AK7" s="2">
        <v>783.74</v>
      </c>
      <c r="AL7" s="2">
        <v>459.17</v>
      </c>
      <c r="AM7" s="2">
        <v>859.67</v>
      </c>
      <c r="AN7" s="2">
        <v>2580.17</v>
      </c>
      <c r="AO7" s="2">
        <v>1517.27</v>
      </c>
      <c r="AP7" s="2">
        <v>861.04</v>
      </c>
      <c r="AQ7" s="2">
        <v>925.85</v>
      </c>
      <c r="AR7" s="2">
        <v>991.3</v>
      </c>
      <c r="AS7" s="2">
        <v>837.54</v>
      </c>
      <c r="AT7" s="2">
        <v>1715.92</v>
      </c>
      <c r="AU7" s="2">
        <v>3608.3</v>
      </c>
      <c r="AV7" s="2">
        <v>1851.94</v>
      </c>
      <c r="AW7" s="2">
        <v>592.67999999999995</v>
      </c>
      <c r="AX7" s="2">
        <v>1234.6300000000001</v>
      </c>
      <c r="AY7" s="2">
        <v>1093.5</v>
      </c>
      <c r="AZ7" s="2">
        <v>949.42</v>
      </c>
      <c r="BA7" s="2">
        <v>747.02</v>
      </c>
      <c r="BB7" s="2">
        <v>722.86</v>
      </c>
      <c r="BC7" s="2">
        <v>2121.5300000000002</v>
      </c>
      <c r="BD7" s="2">
        <v>550.83000000000004</v>
      </c>
      <c r="BE7" s="2">
        <v>1187.56</v>
      </c>
      <c r="BF7" s="2">
        <v>682.44</v>
      </c>
      <c r="BG7" s="2">
        <v>567.46</v>
      </c>
      <c r="BH7" s="2">
        <v>845.9</v>
      </c>
      <c r="BI7" s="2">
        <v>548.70000000000005</v>
      </c>
    </row>
    <row r="8" spans="1:61">
      <c r="A8" s="1">
        <v>5</v>
      </c>
      <c r="B8" s="2">
        <v>797.25</v>
      </c>
      <c r="C8" s="2">
        <v>938.23</v>
      </c>
      <c r="D8" s="2">
        <v>1030.1199999999999</v>
      </c>
      <c r="E8" s="2">
        <v>962.81</v>
      </c>
      <c r="F8" s="2">
        <v>1199.28</v>
      </c>
      <c r="G8" s="2">
        <v>1560.85</v>
      </c>
      <c r="H8" s="2">
        <v>6542.47</v>
      </c>
      <c r="I8" s="2">
        <v>9718.09</v>
      </c>
      <c r="J8" s="2">
        <v>3196.88</v>
      </c>
      <c r="K8" s="2">
        <v>7016.18</v>
      </c>
      <c r="L8" s="2">
        <v>380.27</v>
      </c>
      <c r="M8" s="2">
        <v>483.03</v>
      </c>
      <c r="N8" s="2">
        <v>1978.7</v>
      </c>
      <c r="O8" s="2">
        <v>2581.9</v>
      </c>
      <c r="P8" s="2">
        <v>3128.4</v>
      </c>
      <c r="Q8" s="2">
        <v>978.97</v>
      </c>
      <c r="R8" s="2">
        <v>1456.19</v>
      </c>
      <c r="S8" s="2">
        <v>1031.79</v>
      </c>
      <c r="T8" s="2">
        <v>1224.5</v>
      </c>
      <c r="U8" s="2">
        <v>2176</v>
      </c>
      <c r="V8" s="2">
        <v>3082.77</v>
      </c>
      <c r="W8" s="2">
        <v>8152.56</v>
      </c>
      <c r="X8" s="2">
        <v>12321.3</v>
      </c>
      <c r="Y8" s="2">
        <v>1915.86</v>
      </c>
      <c r="Z8" s="2">
        <v>7365.84</v>
      </c>
      <c r="AA8" s="2">
        <v>10651.93</v>
      </c>
      <c r="AB8" s="2">
        <v>3097.22</v>
      </c>
      <c r="AC8" s="2">
        <v>781.08</v>
      </c>
      <c r="AD8" s="2">
        <v>6889.54</v>
      </c>
      <c r="AE8" s="2">
        <v>1637.09</v>
      </c>
      <c r="AF8" s="2">
        <v>1159.17</v>
      </c>
      <c r="AG8" s="2">
        <v>3922.24</v>
      </c>
      <c r="AH8" s="2">
        <v>5267.95</v>
      </c>
      <c r="AI8" s="2">
        <v>2485.7600000000002</v>
      </c>
      <c r="AJ8" s="2">
        <v>2307.48</v>
      </c>
      <c r="AK8" s="2">
        <v>933.9</v>
      </c>
      <c r="AL8" s="2">
        <v>985.68</v>
      </c>
      <c r="AM8" s="2">
        <v>735.11</v>
      </c>
      <c r="AN8" s="2">
        <v>1324.45</v>
      </c>
      <c r="AO8" s="2">
        <v>1659.47</v>
      </c>
      <c r="AP8" s="2">
        <v>747.46</v>
      </c>
      <c r="AQ8" s="2">
        <v>686.56</v>
      </c>
      <c r="AR8" s="2">
        <v>1096.83</v>
      </c>
      <c r="AS8" s="2">
        <v>681.8</v>
      </c>
      <c r="AT8" s="2">
        <v>1373.11</v>
      </c>
      <c r="AU8" s="2">
        <v>4185.8100000000004</v>
      </c>
      <c r="AV8" s="2">
        <v>1366.49</v>
      </c>
      <c r="AW8" s="2">
        <v>700.17</v>
      </c>
      <c r="AX8" s="2">
        <v>1039.58</v>
      </c>
      <c r="AY8" s="2">
        <v>966.81</v>
      </c>
      <c r="AZ8" s="2">
        <v>1202.68</v>
      </c>
      <c r="BA8" s="2">
        <v>1075.06</v>
      </c>
      <c r="BB8" s="2">
        <v>681.54</v>
      </c>
      <c r="BC8" s="2">
        <v>2018.38</v>
      </c>
      <c r="BD8" s="2">
        <v>933.72</v>
      </c>
      <c r="BE8" s="2">
        <v>1216.9000000000001</v>
      </c>
      <c r="BF8" s="2">
        <v>908.21</v>
      </c>
      <c r="BG8" s="2">
        <v>785.66</v>
      </c>
      <c r="BH8" s="2">
        <v>1038.32</v>
      </c>
      <c r="BI8" s="2">
        <v>440.26</v>
      </c>
    </row>
    <row r="9" spans="1:61">
      <c r="A9" s="1">
        <v>6</v>
      </c>
      <c r="B9" s="2">
        <v>1085.03</v>
      </c>
      <c r="C9" s="2">
        <v>1467.7</v>
      </c>
      <c r="D9" s="2">
        <v>974.94</v>
      </c>
      <c r="E9" s="2">
        <v>1194.53</v>
      </c>
      <c r="F9" s="2">
        <v>1682.86</v>
      </c>
      <c r="G9" s="2">
        <v>2218.9</v>
      </c>
      <c r="H9" s="2">
        <v>2719.54</v>
      </c>
      <c r="I9" s="2">
        <v>6691.86</v>
      </c>
      <c r="J9" s="2">
        <v>3074.15</v>
      </c>
      <c r="K9" s="2">
        <v>6815.36</v>
      </c>
      <c r="L9" s="2">
        <v>882.12</v>
      </c>
      <c r="M9" s="2">
        <v>519.58000000000004</v>
      </c>
      <c r="N9" s="2">
        <v>1281.51</v>
      </c>
      <c r="O9" s="2">
        <v>3404.68</v>
      </c>
      <c r="P9" s="2">
        <v>3882.5</v>
      </c>
      <c r="Q9" s="2">
        <v>1847.39</v>
      </c>
      <c r="R9" s="2">
        <v>1919.48</v>
      </c>
      <c r="S9" s="2">
        <v>2254.0700000000002</v>
      </c>
      <c r="T9" s="2">
        <v>1711.64</v>
      </c>
      <c r="U9" s="2">
        <v>2950.61</v>
      </c>
      <c r="V9" s="2">
        <v>3456.73</v>
      </c>
      <c r="W9" s="2">
        <v>11547.9</v>
      </c>
      <c r="X9" s="2">
        <v>11353.17</v>
      </c>
      <c r="Y9" s="2">
        <v>8830.06</v>
      </c>
      <c r="Z9" s="2">
        <v>10091.67</v>
      </c>
      <c r="AA9" s="2">
        <v>12087.31</v>
      </c>
      <c r="AB9" s="2">
        <v>2746.88</v>
      </c>
      <c r="AC9" s="2">
        <v>913.83</v>
      </c>
      <c r="AD9" s="2">
        <v>12261.71</v>
      </c>
      <c r="AE9" s="2">
        <v>1848.97</v>
      </c>
      <c r="AF9" s="2">
        <v>1091.3900000000001</v>
      </c>
      <c r="AG9" s="2">
        <v>5986.82</v>
      </c>
      <c r="AH9" s="2">
        <v>3647.7</v>
      </c>
      <c r="AI9" s="2">
        <v>1814.88</v>
      </c>
      <c r="AJ9" s="2">
        <v>4102.78</v>
      </c>
      <c r="AK9" s="2">
        <v>866.83</v>
      </c>
      <c r="AL9" s="2">
        <v>334.58</v>
      </c>
      <c r="AM9" s="2">
        <v>871.37</v>
      </c>
      <c r="AN9" s="2">
        <v>2490.17</v>
      </c>
      <c r="AO9" s="2">
        <v>1703.38</v>
      </c>
      <c r="AP9" s="2">
        <v>737.57</v>
      </c>
      <c r="AQ9" s="2">
        <v>1312.41</v>
      </c>
      <c r="AR9" s="2">
        <v>1295.54</v>
      </c>
      <c r="AS9" s="2">
        <v>1070.58</v>
      </c>
      <c r="AT9" s="2">
        <v>2500.2800000000002</v>
      </c>
      <c r="AU9" s="2">
        <v>4322.8500000000004</v>
      </c>
      <c r="AV9" s="2">
        <v>2406.87</v>
      </c>
      <c r="AW9" s="2">
        <v>673.91</v>
      </c>
      <c r="AX9" s="2">
        <v>1250.56</v>
      </c>
      <c r="AY9" s="2">
        <v>1221.78</v>
      </c>
      <c r="AZ9" s="2">
        <v>1211.69</v>
      </c>
      <c r="BA9" s="2">
        <v>639.36</v>
      </c>
      <c r="BB9" s="2">
        <v>820.59</v>
      </c>
      <c r="BC9" s="2">
        <v>3433.05</v>
      </c>
      <c r="BD9" s="2">
        <v>989.72</v>
      </c>
      <c r="BE9" s="2">
        <v>1354.19</v>
      </c>
      <c r="BF9" s="2">
        <v>936.68</v>
      </c>
      <c r="BG9" s="2">
        <v>656.65</v>
      </c>
      <c r="BH9" s="2">
        <v>1009.69</v>
      </c>
      <c r="BI9" s="2">
        <v>438.96</v>
      </c>
    </row>
    <row r="10" spans="1:61">
      <c r="A10" s="1">
        <v>7</v>
      </c>
      <c r="B10" s="2">
        <v>2228.29</v>
      </c>
      <c r="C10" s="2">
        <v>863.14</v>
      </c>
      <c r="D10" s="2">
        <v>1565.02</v>
      </c>
      <c r="E10" s="2">
        <v>1175.31</v>
      </c>
      <c r="F10" s="2">
        <v>1536.07</v>
      </c>
      <c r="G10" s="2">
        <v>2048.66</v>
      </c>
      <c r="H10" s="2">
        <v>9568.66</v>
      </c>
      <c r="I10" s="2">
        <v>11921.17</v>
      </c>
      <c r="J10" s="2">
        <v>4825.26</v>
      </c>
      <c r="K10" s="2">
        <v>10195.75</v>
      </c>
      <c r="L10" s="2">
        <v>1048.17</v>
      </c>
      <c r="M10" s="2">
        <v>989.99</v>
      </c>
      <c r="N10" s="2">
        <v>2047.79</v>
      </c>
      <c r="O10" s="2">
        <v>3366</v>
      </c>
      <c r="P10" s="2">
        <v>3928.77</v>
      </c>
      <c r="Q10" s="2">
        <v>1599.75</v>
      </c>
      <c r="R10" s="2">
        <v>2263.6</v>
      </c>
      <c r="S10" s="2">
        <v>1836.68</v>
      </c>
      <c r="T10" s="2">
        <v>2026.4</v>
      </c>
      <c r="U10" s="2">
        <v>2820.49</v>
      </c>
      <c r="V10" s="2">
        <v>6643.63</v>
      </c>
      <c r="W10" s="2">
        <v>10196.959999999999</v>
      </c>
      <c r="X10" s="2">
        <v>22061.24</v>
      </c>
      <c r="Y10" s="2">
        <v>12781.09</v>
      </c>
      <c r="Z10" s="2">
        <v>14187.84</v>
      </c>
      <c r="AA10" s="2">
        <v>14245.95</v>
      </c>
      <c r="AB10" s="2">
        <v>2872.1</v>
      </c>
      <c r="AC10" s="2">
        <v>1177.05</v>
      </c>
      <c r="AD10" s="2">
        <v>8422.5</v>
      </c>
      <c r="AE10" s="2">
        <v>3008.39</v>
      </c>
      <c r="AF10" s="2">
        <v>2027.45</v>
      </c>
      <c r="AG10" s="2">
        <v>7035.11</v>
      </c>
      <c r="AH10" s="2">
        <v>3732.03</v>
      </c>
      <c r="AI10" s="2">
        <v>3505.74</v>
      </c>
      <c r="AJ10" s="2">
        <v>3089.28</v>
      </c>
      <c r="AK10" s="2">
        <v>1766.17</v>
      </c>
      <c r="AL10" s="2">
        <v>1103.46</v>
      </c>
      <c r="AM10" s="2">
        <v>724.74</v>
      </c>
      <c r="AN10" s="2">
        <v>2933.06</v>
      </c>
      <c r="AO10" s="2">
        <v>2101.02</v>
      </c>
      <c r="AP10" s="2">
        <v>1262.07</v>
      </c>
      <c r="AQ10" s="2">
        <v>1919.44</v>
      </c>
      <c r="AR10" s="2">
        <v>1959.8</v>
      </c>
      <c r="AS10" s="2">
        <v>1162.1400000000001</v>
      </c>
      <c r="AT10" s="2">
        <v>2705.56</v>
      </c>
      <c r="AU10" s="2">
        <v>5765.44</v>
      </c>
      <c r="AV10" s="2">
        <v>2985.36</v>
      </c>
      <c r="AW10" s="2">
        <v>616.05999999999995</v>
      </c>
      <c r="AX10" s="2">
        <v>2594.83</v>
      </c>
      <c r="AY10" s="2">
        <v>1233.3900000000001</v>
      </c>
      <c r="AZ10" s="2">
        <v>1135.6099999999999</v>
      </c>
      <c r="BA10" s="2">
        <v>1345.82</v>
      </c>
      <c r="BB10" s="2">
        <v>966.6</v>
      </c>
      <c r="BC10" s="2">
        <v>4562.6000000000004</v>
      </c>
      <c r="BD10" s="2">
        <v>849.51</v>
      </c>
      <c r="BE10" s="2">
        <v>1839.9</v>
      </c>
      <c r="BF10" s="2">
        <v>1064.49</v>
      </c>
      <c r="BG10" s="2">
        <v>857.75</v>
      </c>
      <c r="BH10" s="2">
        <v>1107.1500000000001</v>
      </c>
      <c r="BI10" s="2">
        <v>624.94000000000005</v>
      </c>
    </row>
    <row r="11" spans="1:61">
      <c r="A11" s="1">
        <v>8</v>
      </c>
      <c r="B11" s="2">
        <v>1958.83</v>
      </c>
      <c r="C11" s="2">
        <v>2133.6</v>
      </c>
      <c r="D11" s="2">
        <v>1995.2</v>
      </c>
      <c r="E11" s="2">
        <v>1955.55</v>
      </c>
      <c r="F11" s="2">
        <v>2323.91</v>
      </c>
      <c r="G11" s="2">
        <v>3654.88</v>
      </c>
      <c r="H11" s="2">
        <v>13455.08</v>
      </c>
      <c r="I11" s="2">
        <v>19429.3</v>
      </c>
      <c r="J11" s="2">
        <v>5973.73</v>
      </c>
      <c r="K11" s="2">
        <v>11885.76</v>
      </c>
      <c r="L11" s="2">
        <v>1179.45</v>
      </c>
      <c r="M11" s="2">
        <v>1748.27</v>
      </c>
      <c r="N11" s="2">
        <v>2990.19</v>
      </c>
      <c r="O11" s="2">
        <v>7695.32</v>
      </c>
      <c r="P11" s="2">
        <v>6261.92</v>
      </c>
      <c r="Q11" s="2">
        <v>3379.05</v>
      </c>
      <c r="R11" s="2">
        <v>2703.4</v>
      </c>
      <c r="S11" s="2">
        <v>4647.16</v>
      </c>
      <c r="T11" s="2">
        <v>2595.79</v>
      </c>
      <c r="U11" s="2">
        <v>5096.2</v>
      </c>
      <c r="V11" s="2">
        <v>6905.26</v>
      </c>
      <c r="W11" s="2">
        <v>22262.14</v>
      </c>
      <c r="X11" s="2">
        <v>34131.25</v>
      </c>
      <c r="Y11" s="2">
        <v>21165.74</v>
      </c>
      <c r="Z11" s="2">
        <v>21575.72</v>
      </c>
      <c r="AA11" s="2">
        <v>17668.95</v>
      </c>
      <c r="AB11" s="2">
        <v>4921.04</v>
      </c>
      <c r="AC11" s="2">
        <v>2105.04</v>
      </c>
      <c r="AD11" s="2">
        <v>14868.46</v>
      </c>
      <c r="AE11" s="2">
        <v>3875.45</v>
      </c>
      <c r="AF11" s="2">
        <v>3567.45</v>
      </c>
      <c r="AG11" s="2">
        <v>14671.45</v>
      </c>
      <c r="AH11" s="2">
        <v>8479.16</v>
      </c>
      <c r="AI11" s="2">
        <v>6385.29</v>
      </c>
      <c r="AJ11" s="2">
        <v>5264.22</v>
      </c>
      <c r="AK11" s="2">
        <v>1965.86</v>
      </c>
      <c r="AL11" s="2">
        <v>1528.95</v>
      </c>
      <c r="AM11" s="2">
        <v>1340.76</v>
      </c>
      <c r="AN11" s="2">
        <v>4089.4</v>
      </c>
      <c r="AO11" s="2">
        <v>3893.9</v>
      </c>
      <c r="AP11" s="2">
        <v>1407.63</v>
      </c>
      <c r="AQ11" s="2">
        <v>2821.32</v>
      </c>
      <c r="AR11" s="2">
        <v>2481.98</v>
      </c>
      <c r="AS11" s="2">
        <v>2108.63</v>
      </c>
      <c r="AT11" s="2">
        <v>3996.48</v>
      </c>
      <c r="AU11" s="2">
        <v>9854.2999999999993</v>
      </c>
      <c r="AV11" s="2">
        <v>5945</v>
      </c>
      <c r="AW11" s="2">
        <v>977.01</v>
      </c>
      <c r="AX11" s="2">
        <v>2937.18</v>
      </c>
      <c r="AY11" s="2">
        <v>2056.1799999999998</v>
      </c>
      <c r="AZ11" s="2">
        <v>1424.85</v>
      </c>
      <c r="BA11" s="2">
        <v>1506.29</v>
      </c>
      <c r="BB11" s="2">
        <v>897.56</v>
      </c>
      <c r="BC11" s="2">
        <v>4772.6099999999997</v>
      </c>
      <c r="BD11" s="2">
        <v>1522.38</v>
      </c>
      <c r="BE11" s="2">
        <v>3279.55</v>
      </c>
      <c r="BF11" s="2">
        <v>1734.83</v>
      </c>
      <c r="BG11" s="2">
        <v>1277.1600000000001</v>
      </c>
      <c r="BH11" s="2">
        <v>1411.4</v>
      </c>
      <c r="BI11" s="2">
        <v>862.57</v>
      </c>
    </row>
    <row r="12" spans="1:61">
      <c r="A12" s="1">
        <v>9</v>
      </c>
      <c r="B12" s="2">
        <v>2795.91</v>
      </c>
      <c r="C12" s="2">
        <v>2713.41</v>
      </c>
      <c r="D12" s="2">
        <v>2141.08</v>
      </c>
      <c r="E12" s="2">
        <v>2817.65</v>
      </c>
      <c r="F12" s="2">
        <v>2949.55</v>
      </c>
      <c r="G12" s="2">
        <v>5509.13</v>
      </c>
      <c r="H12" s="2">
        <v>14184.69</v>
      </c>
      <c r="I12" s="2">
        <v>23914.23</v>
      </c>
      <c r="J12" s="2">
        <v>6745.4</v>
      </c>
      <c r="K12" s="2">
        <v>16325.64</v>
      </c>
      <c r="L12" s="2">
        <v>1333.75</v>
      </c>
      <c r="M12" s="2">
        <v>2091.38</v>
      </c>
      <c r="N12" s="2">
        <v>4428.6499999999996</v>
      </c>
      <c r="O12" s="2">
        <v>8061.45</v>
      </c>
      <c r="P12" s="2">
        <v>8735.9</v>
      </c>
      <c r="Q12" s="2">
        <v>3471.83</v>
      </c>
      <c r="R12" s="2">
        <v>5401.43</v>
      </c>
      <c r="S12" s="2">
        <v>5272.22</v>
      </c>
      <c r="T12" s="2">
        <v>3693.13</v>
      </c>
      <c r="U12" s="2">
        <v>7562.75</v>
      </c>
      <c r="V12" s="2">
        <v>10215.49</v>
      </c>
      <c r="W12" s="2">
        <v>26284.21</v>
      </c>
      <c r="X12" s="2">
        <v>45644.02</v>
      </c>
      <c r="Y12" s="2">
        <v>32811.67</v>
      </c>
      <c r="Z12" s="2">
        <v>29784.35</v>
      </c>
      <c r="AA12" s="2">
        <v>24716.78</v>
      </c>
      <c r="AB12" s="2">
        <v>6517.69</v>
      </c>
      <c r="AC12" s="2">
        <v>2953.96</v>
      </c>
      <c r="AD12" s="2">
        <v>22755.66</v>
      </c>
      <c r="AE12" s="2">
        <v>5640.02</v>
      </c>
      <c r="AF12" s="2">
        <v>4589.62</v>
      </c>
      <c r="AG12" s="2">
        <v>18162.900000000001</v>
      </c>
      <c r="AH12" s="2">
        <v>9278.86</v>
      </c>
      <c r="AI12" s="2">
        <v>8873.98</v>
      </c>
      <c r="AJ12" s="2">
        <v>6952.85</v>
      </c>
      <c r="AK12" s="2">
        <v>2572.3000000000002</v>
      </c>
      <c r="AL12" s="2">
        <v>1585.13</v>
      </c>
      <c r="AM12" s="2">
        <v>1667.28</v>
      </c>
      <c r="AN12" s="2">
        <v>5846.22</v>
      </c>
      <c r="AO12" s="2">
        <v>4038.87</v>
      </c>
      <c r="AP12" s="2">
        <v>1839.78</v>
      </c>
      <c r="AQ12" s="2">
        <v>3725.66</v>
      </c>
      <c r="AR12" s="2">
        <v>3304.8</v>
      </c>
      <c r="AS12" s="2">
        <v>2674.62</v>
      </c>
      <c r="AT12" s="2">
        <v>4921.57</v>
      </c>
      <c r="AU12" s="2">
        <v>14028.53</v>
      </c>
      <c r="AV12" s="2">
        <v>6364.92</v>
      </c>
      <c r="AW12" s="2">
        <v>1150.31</v>
      </c>
      <c r="AX12" s="2">
        <v>3532.56</v>
      </c>
      <c r="AY12" s="2">
        <v>2598.96</v>
      </c>
      <c r="AZ12" s="2">
        <v>2495.5300000000002</v>
      </c>
      <c r="BA12" s="2">
        <v>2083.2399999999998</v>
      </c>
      <c r="BB12" s="2">
        <v>1851.8</v>
      </c>
      <c r="BC12" s="2">
        <v>6863.98</v>
      </c>
      <c r="BD12" s="2">
        <v>1837.18</v>
      </c>
      <c r="BE12" s="2">
        <v>4128.62</v>
      </c>
      <c r="BF12" s="2">
        <v>2476.13</v>
      </c>
      <c r="BG12" s="2">
        <v>1484.96</v>
      </c>
      <c r="BH12" s="2">
        <v>2013.69</v>
      </c>
      <c r="BI12" s="2">
        <v>1238.03</v>
      </c>
    </row>
    <row r="13" spans="1:61">
      <c r="A13" s="1">
        <v>10</v>
      </c>
      <c r="B13" s="2">
        <v>1896.44</v>
      </c>
      <c r="C13" s="2">
        <v>1621.71</v>
      </c>
      <c r="D13" s="2">
        <v>1983.37</v>
      </c>
      <c r="E13" s="2">
        <v>2097.66</v>
      </c>
      <c r="F13" s="2">
        <v>2098.12</v>
      </c>
      <c r="G13" s="2">
        <v>3400.67</v>
      </c>
      <c r="H13" s="2">
        <v>14196.2</v>
      </c>
      <c r="I13" s="2">
        <v>14487.43</v>
      </c>
      <c r="J13" s="2">
        <v>6351.33</v>
      </c>
      <c r="K13" s="2">
        <v>10266.73</v>
      </c>
      <c r="L13" s="2">
        <v>1139.72</v>
      </c>
      <c r="M13" s="2">
        <v>1231.3800000000001</v>
      </c>
      <c r="N13" s="2">
        <v>2969.58</v>
      </c>
      <c r="O13" s="2">
        <v>5839.23</v>
      </c>
      <c r="P13" s="2">
        <v>4453.53</v>
      </c>
      <c r="Q13" s="2">
        <v>2297.12</v>
      </c>
      <c r="R13" s="2">
        <v>3292.82</v>
      </c>
      <c r="S13" s="2">
        <v>3423.28</v>
      </c>
      <c r="T13" s="2">
        <v>3027.21</v>
      </c>
      <c r="U13" s="2">
        <v>4890.2700000000004</v>
      </c>
      <c r="V13" s="2">
        <v>7715.73</v>
      </c>
      <c r="W13" s="2">
        <v>19313.349999999999</v>
      </c>
      <c r="X13" s="2">
        <v>29217.8</v>
      </c>
      <c r="Y13" s="2">
        <v>24055.24</v>
      </c>
      <c r="Z13" s="2">
        <v>18235.41</v>
      </c>
      <c r="AA13" s="2">
        <v>21107.46</v>
      </c>
      <c r="AB13" s="2">
        <v>4107.1099999999997</v>
      </c>
      <c r="AC13" s="2">
        <v>2154.3200000000002</v>
      </c>
      <c r="AD13" s="2">
        <v>20439.189999999999</v>
      </c>
      <c r="AE13" s="2">
        <v>3003.3</v>
      </c>
      <c r="AF13" s="2">
        <v>3167.05</v>
      </c>
      <c r="AG13" s="2">
        <v>10927.34</v>
      </c>
      <c r="AH13" s="2">
        <v>7351.42</v>
      </c>
      <c r="AI13" s="2">
        <v>4818.6000000000004</v>
      </c>
      <c r="AJ13" s="2">
        <v>4783.34</v>
      </c>
      <c r="AK13" s="2">
        <v>2048.6999999999998</v>
      </c>
      <c r="AL13" s="2">
        <v>1157.97</v>
      </c>
      <c r="AM13" s="2">
        <v>1335.8</v>
      </c>
      <c r="AN13" s="2">
        <v>4152.72</v>
      </c>
      <c r="AO13" s="2">
        <v>3745.95</v>
      </c>
      <c r="AP13" s="2">
        <v>1638.26</v>
      </c>
      <c r="AQ13" s="2">
        <v>2130.94</v>
      </c>
      <c r="AR13" s="2">
        <v>1690.3</v>
      </c>
      <c r="AS13" s="2">
        <v>1661.27</v>
      </c>
      <c r="AT13" s="2">
        <v>3859.7</v>
      </c>
      <c r="AU13" s="2">
        <v>9478.81</v>
      </c>
      <c r="AV13" s="2">
        <v>4025.25</v>
      </c>
      <c r="AW13" s="2">
        <v>849.96</v>
      </c>
      <c r="AX13" s="2">
        <v>2107.62</v>
      </c>
      <c r="AY13" s="2">
        <v>2025.14</v>
      </c>
      <c r="AZ13" s="2">
        <v>1802.37</v>
      </c>
      <c r="BA13" s="2">
        <v>1350.76</v>
      </c>
      <c r="BB13" s="2">
        <v>1164.71</v>
      </c>
      <c r="BC13" s="2">
        <v>5387.73</v>
      </c>
      <c r="BD13" s="2">
        <v>1323.05</v>
      </c>
      <c r="BE13" s="2">
        <v>3250.04</v>
      </c>
      <c r="BF13" s="2">
        <v>1361.37</v>
      </c>
      <c r="BG13" s="2">
        <v>928.48</v>
      </c>
      <c r="BH13" s="2">
        <v>1375.94</v>
      </c>
      <c r="BI13" s="2">
        <v>865.46</v>
      </c>
    </row>
    <row r="14" spans="1:61">
      <c r="A14" s="1">
        <v>11</v>
      </c>
      <c r="B14" s="2">
        <v>1867.11</v>
      </c>
      <c r="C14" s="2">
        <v>987.79</v>
      </c>
      <c r="D14" s="2">
        <v>953.71</v>
      </c>
      <c r="E14" s="2">
        <v>1579.1</v>
      </c>
      <c r="F14" s="2">
        <v>1341.18</v>
      </c>
      <c r="G14" s="2">
        <v>2488.85</v>
      </c>
      <c r="H14" s="2">
        <v>7554.24</v>
      </c>
      <c r="I14" s="2">
        <v>10638.45</v>
      </c>
      <c r="J14" s="2">
        <v>3618.84</v>
      </c>
      <c r="K14" s="2">
        <v>5543.91</v>
      </c>
      <c r="L14" s="2">
        <v>879.09</v>
      </c>
      <c r="M14" s="2">
        <v>1081.52</v>
      </c>
      <c r="N14" s="2">
        <v>2123.67</v>
      </c>
      <c r="O14" s="2">
        <v>3455.07</v>
      </c>
      <c r="P14" s="2">
        <v>5396.06</v>
      </c>
      <c r="Q14" s="2">
        <v>1543.39</v>
      </c>
      <c r="R14" s="2">
        <v>1555.34</v>
      </c>
      <c r="S14" s="2">
        <v>2454.39</v>
      </c>
      <c r="T14" s="2">
        <v>1764.15</v>
      </c>
      <c r="U14" s="2">
        <v>3551.33</v>
      </c>
      <c r="V14" s="2">
        <v>5298.77</v>
      </c>
      <c r="W14" s="2">
        <v>20750.23</v>
      </c>
      <c r="X14" s="2">
        <v>24183.07</v>
      </c>
      <c r="Y14" s="2">
        <v>14281.25</v>
      </c>
      <c r="Z14" s="2">
        <v>13723.57</v>
      </c>
      <c r="AA14" s="2">
        <v>14165.51</v>
      </c>
      <c r="AB14" s="2">
        <v>2476.7399999999998</v>
      </c>
      <c r="AC14" s="2">
        <v>929.7</v>
      </c>
      <c r="AD14" s="2">
        <v>13420.83</v>
      </c>
      <c r="AE14" s="2">
        <v>3516.4</v>
      </c>
      <c r="AF14" s="2">
        <v>2397.06</v>
      </c>
      <c r="AG14" s="2">
        <v>5329.61</v>
      </c>
      <c r="AH14" s="2">
        <v>4871.1099999999997</v>
      </c>
      <c r="AI14" s="2">
        <v>4002.28</v>
      </c>
      <c r="AJ14" s="2">
        <v>3071.83</v>
      </c>
      <c r="AK14" s="2">
        <v>1637.43</v>
      </c>
      <c r="AL14" s="2">
        <v>762.01</v>
      </c>
      <c r="AM14" s="2">
        <v>739.23</v>
      </c>
      <c r="AN14" s="2">
        <v>2785.01</v>
      </c>
      <c r="AO14" s="2">
        <v>2357.11</v>
      </c>
      <c r="AP14" s="2">
        <v>1290.58</v>
      </c>
      <c r="AQ14" s="2">
        <v>1667.3</v>
      </c>
      <c r="AR14" s="2">
        <v>1622.49</v>
      </c>
      <c r="AS14" s="2">
        <v>1254.82</v>
      </c>
      <c r="AT14" s="2">
        <v>2635.36</v>
      </c>
      <c r="AU14" s="2">
        <v>5876.93</v>
      </c>
      <c r="AV14" s="2">
        <v>4115.5200000000004</v>
      </c>
      <c r="AW14" s="2">
        <v>654.22</v>
      </c>
      <c r="AX14" s="2">
        <v>2084.91</v>
      </c>
      <c r="AY14" s="2">
        <v>1566.52</v>
      </c>
      <c r="AZ14" s="2">
        <v>1394.45</v>
      </c>
      <c r="BA14" s="2">
        <v>1203.42</v>
      </c>
      <c r="BB14" s="2">
        <v>686.94</v>
      </c>
      <c r="BC14" s="2">
        <v>2839.84</v>
      </c>
      <c r="BD14" s="2">
        <v>1042.4100000000001</v>
      </c>
      <c r="BE14" s="2">
        <v>1780.66</v>
      </c>
      <c r="BF14" s="2">
        <v>1549.14</v>
      </c>
      <c r="BG14" s="2">
        <v>880.61</v>
      </c>
      <c r="BH14" s="2">
        <v>1177.17</v>
      </c>
      <c r="BI14" s="2">
        <v>656.87</v>
      </c>
    </row>
    <row r="15" spans="1:61">
      <c r="A15" s="1">
        <v>12</v>
      </c>
      <c r="B15" s="2">
        <v>1560.01</v>
      </c>
      <c r="C15" s="2">
        <v>1172.8699999999999</v>
      </c>
      <c r="D15" s="2">
        <v>955.98</v>
      </c>
      <c r="E15" s="2">
        <v>1502.39</v>
      </c>
      <c r="F15" s="2">
        <v>1097.03</v>
      </c>
      <c r="G15" s="2">
        <v>2178.67</v>
      </c>
      <c r="H15" s="2">
        <v>10075.540000000001</v>
      </c>
      <c r="I15" s="2">
        <v>8292.25</v>
      </c>
      <c r="J15" s="2">
        <v>2254.7800000000002</v>
      </c>
      <c r="K15" s="2">
        <v>5152.32</v>
      </c>
      <c r="L15" s="2">
        <v>1077.2</v>
      </c>
      <c r="M15" s="2">
        <v>1030.1600000000001</v>
      </c>
      <c r="N15" s="2">
        <v>2526.14</v>
      </c>
      <c r="O15" s="2">
        <v>4489.08</v>
      </c>
      <c r="P15" s="2">
        <v>2339.1</v>
      </c>
      <c r="Q15" s="2">
        <v>1843.43</v>
      </c>
      <c r="R15" s="2">
        <v>2848.19</v>
      </c>
      <c r="S15" s="2">
        <v>2288.2199999999998</v>
      </c>
      <c r="T15" s="2">
        <v>2066.38</v>
      </c>
      <c r="U15" s="2">
        <v>2536.25</v>
      </c>
      <c r="V15" s="2">
        <v>4570</v>
      </c>
      <c r="W15" s="2">
        <v>15216.39</v>
      </c>
      <c r="X15" s="2">
        <v>19725.39</v>
      </c>
      <c r="Y15" s="2">
        <v>15064.75</v>
      </c>
      <c r="Z15" s="2">
        <v>13028.74</v>
      </c>
      <c r="AA15" s="2">
        <v>15491.16</v>
      </c>
      <c r="AB15" s="2">
        <v>2126.98</v>
      </c>
      <c r="AC15" s="2">
        <v>1599.52</v>
      </c>
      <c r="AD15" s="2">
        <v>10916.21</v>
      </c>
      <c r="AE15" s="2">
        <v>2278.38</v>
      </c>
      <c r="AF15" s="2">
        <v>1909.37</v>
      </c>
      <c r="AG15" s="2">
        <v>5014.78</v>
      </c>
      <c r="AH15" s="2">
        <v>3100.01</v>
      </c>
      <c r="AI15" s="2">
        <v>3431.01</v>
      </c>
      <c r="AJ15" s="2">
        <v>3498.05</v>
      </c>
      <c r="AK15" s="2">
        <v>1101</v>
      </c>
      <c r="AL15" s="2">
        <v>1058.4000000000001</v>
      </c>
      <c r="AM15" s="2">
        <v>730.23</v>
      </c>
      <c r="AN15" s="2">
        <v>2790.47</v>
      </c>
      <c r="AO15" s="2">
        <v>2813.51</v>
      </c>
      <c r="AP15" s="2">
        <v>898.64</v>
      </c>
      <c r="AQ15" s="2">
        <v>1639.7</v>
      </c>
      <c r="AR15" s="2">
        <v>1716.28</v>
      </c>
      <c r="AS15" s="2">
        <v>1206.94</v>
      </c>
      <c r="AT15" s="2">
        <v>3462.48</v>
      </c>
      <c r="AU15" s="2">
        <v>7036.37</v>
      </c>
      <c r="AV15" s="2">
        <v>3725.44</v>
      </c>
      <c r="AW15" s="2">
        <v>709.68</v>
      </c>
      <c r="AX15" s="2">
        <v>2138.21</v>
      </c>
      <c r="AY15" s="2">
        <v>1924.36</v>
      </c>
      <c r="AZ15" s="2">
        <v>1349.88</v>
      </c>
      <c r="BA15" s="2">
        <v>1012.4</v>
      </c>
      <c r="BB15" s="2">
        <v>1037.43</v>
      </c>
      <c r="BC15" s="2">
        <v>3029.95</v>
      </c>
      <c r="BD15" s="2">
        <v>995.89</v>
      </c>
      <c r="BE15" s="2">
        <v>2287.06</v>
      </c>
      <c r="BF15" s="2">
        <v>1026.03</v>
      </c>
      <c r="BG15" s="2">
        <v>781.54</v>
      </c>
      <c r="BH15" s="2">
        <v>1261.08</v>
      </c>
      <c r="BI15" s="2">
        <v>708.7</v>
      </c>
    </row>
    <row r="16" spans="1:61">
      <c r="A16" s="1">
        <v>13</v>
      </c>
      <c r="B16" s="2">
        <v>1813.44</v>
      </c>
      <c r="C16" s="2">
        <v>1706.85</v>
      </c>
      <c r="D16" s="2">
        <v>1424.17</v>
      </c>
      <c r="E16" s="2">
        <v>1710.74</v>
      </c>
      <c r="F16" s="2">
        <v>1229.1500000000001</v>
      </c>
      <c r="G16" s="2">
        <v>3602.14</v>
      </c>
      <c r="H16" s="2">
        <v>8010.46</v>
      </c>
      <c r="I16" s="2">
        <v>13089.59</v>
      </c>
      <c r="J16" s="2">
        <v>4006.55</v>
      </c>
      <c r="K16" s="2">
        <v>9164.14</v>
      </c>
      <c r="L16" s="2">
        <v>802.37</v>
      </c>
      <c r="M16" s="2">
        <v>1032.55</v>
      </c>
      <c r="N16" s="2">
        <v>2240.71</v>
      </c>
      <c r="O16" s="2">
        <v>3872.38</v>
      </c>
      <c r="P16" s="2">
        <v>5571.81</v>
      </c>
      <c r="Q16" s="2">
        <v>2091.54</v>
      </c>
      <c r="R16" s="2">
        <v>2618.75</v>
      </c>
      <c r="S16" s="2">
        <v>2588.4299999999998</v>
      </c>
      <c r="T16" s="2">
        <v>1961.26</v>
      </c>
      <c r="U16" s="2">
        <v>2978.96</v>
      </c>
      <c r="V16" s="2">
        <v>5748.77</v>
      </c>
      <c r="W16" s="2">
        <v>15682.09</v>
      </c>
      <c r="X16" s="2">
        <v>19369.18</v>
      </c>
      <c r="Y16" s="2">
        <v>15529.02</v>
      </c>
      <c r="Z16" s="2">
        <v>18224.25</v>
      </c>
      <c r="AA16" s="2">
        <v>16691.45</v>
      </c>
      <c r="AB16" s="2">
        <v>3596.08</v>
      </c>
      <c r="AC16" s="2">
        <v>1735.6</v>
      </c>
      <c r="AD16" s="2">
        <v>13799.5</v>
      </c>
      <c r="AE16" s="2">
        <v>2448.44</v>
      </c>
      <c r="AF16" s="2">
        <v>2060.73</v>
      </c>
      <c r="AG16" s="2">
        <v>8561.93</v>
      </c>
      <c r="AH16" s="2">
        <v>5856.34</v>
      </c>
      <c r="AI16" s="2">
        <v>4542.6899999999996</v>
      </c>
      <c r="AJ16" s="2">
        <v>3439.97</v>
      </c>
      <c r="AK16" s="2">
        <v>1459.96</v>
      </c>
      <c r="AL16" s="2">
        <v>719.36</v>
      </c>
      <c r="AM16" s="2">
        <v>952.47</v>
      </c>
      <c r="AN16" s="2">
        <v>3194.17</v>
      </c>
      <c r="AO16" s="2">
        <v>1831.19</v>
      </c>
      <c r="AP16" s="2">
        <v>1152.72</v>
      </c>
      <c r="AQ16" s="2">
        <v>2075.5</v>
      </c>
      <c r="AR16" s="2">
        <v>1259.6099999999999</v>
      </c>
      <c r="AS16" s="2">
        <v>1511.93</v>
      </c>
      <c r="AT16" s="2">
        <v>2668.24</v>
      </c>
      <c r="AU16" s="2">
        <v>6588.34</v>
      </c>
      <c r="AV16" s="2">
        <v>3560.19</v>
      </c>
      <c r="AW16" s="2">
        <v>839.21</v>
      </c>
      <c r="AX16" s="2">
        <v>1786.13</v>
      </c>
      <c r="AY16" s="2">
        <v>1544.33</v>
      </c>
      <c r="AZ16" s="2">
        <v>1445.18</v>
      </c>
      <c r="BA16" s="2">
        <v>990.5</v>
      </c>
      <c r="BB16" s="2">
        <v>953.43</v>
      </c>
      <c r="BC16" s="2">
        <v>3829.24</v>
      </c>
      <c r="BD16" s="2">
        <v>772.66</v>
      </c>
      <c r="BE16" s="2">
        <v>1991.86</v>
      </c>
      <c r="BF16" s="2">
        <v>963.95</v>
      </c>
      <c r="BG16" s="2">
        <v>876.64</v>
      </c>
      <c r="BH16" s="2">
        <v>1547.01</v>
      </c>
      <c r="BI16" s="2">
        <v>735.41</v>
      </c>
    </row>
    <row r="17" spans="1:61">
      <c r="A17" s="1">
        <v>14</v>
      </c>
      <c r="B17" s="2">
        <v>2033.75</v>
      </c>
      <c r="C17" s="2">
        <v>1587.25</v>
      </c>
      <c r="D17" s="2">
        <v>1625.26</v>
      </c>
      <c r="E17" s="2">
        <v>1592.72</v>
      </c>
      <c r="F17" s="2">
        <v>1912</v>
      </c>
      <c r="G17" s="2">
        <v>3241.79</v>
      </c>
      <c r="H17" s="2">
        <v>11290.45</v>
      </c>
      <c r="I17" s="2">
        <v>13912.71</v>
      </c>
      <c r="J17" s="2">
        <v>3683.4</v>
      </c>
      <c r="K17" s="2">
        <v>11217.74</v>
      </c>
      <c r="L17" s="2">
        <v>1065.4000000000001</v>
      </c>
      <c r="M17" s="2">
        <v>853.51</v>
      </c>
      <c r="N17" s="2">
        <v>3025.94</v>
      </c>
      <c r="O17" s="2">
        <v>4805.59</v>
      </c>
      <c r="P17" s="2">
        <v>5957.08</v>
      </c>
      <c r="Q17" s="2">
        <v>2463.56</v>
      </c>
      <c r="R17" s="2">
        <v>3738.67</v>
      </c>
      <c r="S17" s="2">
        <v>3309.15</v>
      </c>
      <c r="T17" s="2">
        <v>2683.98</v>
      </c>
      <c r="U17" s="2">
        <v>4454.07</v>
      </c>
      <c r="V17" s="2">
        <v>7290.38</v>
      </c>
      <c r="W17" s="2">
        <v>16506.45</v>
      </c>
      <c r="X17" s="2">
        <v>31465.45</v>
      </c>
      <c r="Y17" s="2">
        <v>20811.830000000002</v>
      </c>
      <c r="Z17" s="2">
        <v>16566.14</v>
      </c>
      <c r="AA17" s="2">
        <v>18306</v>
      </c>
      <c r="AB17" s="2">
        <v>4112.88</v>
      </c>
      <c r="AC17" s="2">
        <v>1756.01</v>
      </c>
      <c r="AD17" s="2">
        <v>14297.3</v>
      </c>
      <c r="AE17" s="2">
        <v>3643.11</v>
      </c>
      <c r="AF17" s="2">
        <v>2229.75</v>
      </c>
      <c r="AG17" s="2">
        <v>11421.51</v>
      </c>
      <c r="AH17" s="2">
        <v>5841.56</v>
      </c>
      <c r="AI17" s="2">
        <v>3997.44</v>
      </c>
      <c r="AJ17" s="2">
        <v>4959.2299999999996</v>
      </c>
      <c r="AK17" s="2">
        <v>1717.48</v>
      </c>
      <c r="AL17" s="2">
        <v>1253.83</v>
      </c>
      <c r="AM17" s="2">
        <v>1039.5999999999999</v>
      </c>
      <c r="AN17" s="2">
        <v>3502.58</v>
      </c>
      <c r="AO17" s="2">
        <v>3124.95</v>
      </c>
      <c r="AP17" s="2">
        <v>1262.27</v>
      </c>
      <c r="AQ17" s="2">
        <v>2525.86</v>
      </c>
      <c r="AR17" s="2">
        <v>1489.36</v>
      </c>
      <c r="AS17" s="2">
        <v>1435.14</v>
      </c>
      <c r="AT17" s="2">
        <v>2729.57</v>
      </c>
      <c r="AU17" s="2">
        <v>8471.93</v>
      </c>
      <c r="AV17" s="2">
        <v>4793.41</v>
      </c>
      <c r="AW17" s="2">
        <v>851.68</v>
      </c>
      <c r="AX17" s="2">
        <v>1937.5</v>
      </c>
      <c r="AY17" s="2">
        <v>1326.73</v>
      </c>
      <c r="AZ17" s="2">
        <v>1876.74</v>
      </c>
      <c r="BA17" s="2">
        <v>1186.18</v>
      </c>
      <c r="BB17" s="2">
        <v>1138.23</v>
      </c>
      <c r="BC17" s="2">
        <v>2440.06</v>
      </c>
      <c r="BD17" s="2">
        <v>1285.1199999999999</v>
      </c>
      <c r="BE17" s="2">
        <v>1794.18</v>
      </c>
      <c r="BF17" s="2">
        <v>1665.6</v>
      </c>
      <c r="BG17" s="2">
        <v>843.63</v>
      </c>
      <c r="BH17" s="2">
        <v>1527.48</v>
      </c>
      <c r="BI17" s="2">
        <v>634.48</v>
      </c>
    </row>
    <row r="18" spans="1:61">
      <c r="A18" s="1">
        <v>15</v>
      </c>
      <c r="B18" s="2">
        <v>3305.46</v>
      </c>
      <c r="C18" s="2">
        <v>2539.36</v>
      </c>
      <c r="D18" s="2">
        <v>2005.76</v>
      </c>
      <c r="E18" s="2">
        <v>2459.63</v>
      </c>
      <c r="F18" s="2">
        <v>2708.07</v>
      </c>
      <c r="G18" s="2">
        <v>5169.07</v>
      </c>
      <c r="H18" s="2">
        <v>19273.080000000002</v>
      </c>
      <c r="I18" s="2">
        <v>18486.46</v>
      </c>
      <c r="J18" s="2">
        <v>7799.84</v>
      </c>
      <c r="K18" s="2">
        <v>13546.76</v>
      </c>
      <c r="L18" s="2">
        <v>1476.77</v>
      </c>
      <c r="M18" s="2">
        <v>2234.0500000000002</v>
      </c>
      <c r="N18" s="2">
        <v>4087.94</v>
      </c>
      <c r="O18" s="2">
        <v>7294.87</v>
      </c>
      <c r="P18" s="2">
        <v>7751.44</v>
      </c>
      <c r="Q18" s="2">
        <v>3403.39</v>
      </c>
      <c r="R18" s="2">
        <v>4620.88</v>
      </c>
      <c r="S18" s="2">
        <v>4374.05</v>
      </c>
      <c r="T18" s="2">
        <v>3722.71</v>
      </c>
      <c r="U18" s="2">
        <v>6703.74</v>
      </c>
      <c r="V18" s="2">
        <v>9799.8700000000008</v>
      </c>
      <c r="W18" s="2">
        <v>25594.74</v>
      </c>
      <c r="X18" s="2">
        <v>37296.480000000003</v>
      </c>
      <c r="Y18" s="2">
        <v>28833.13</v>
      </c>
      <c r="Z18" s="2">
        <v>26064.38</v>
      </c>
      <c r="AA18" s="2">
        <v>27917.08</v>
      </c>
      <c r="AB18" s="2">
        <v>6543.05</v>
      </c>
      <c r="AC18" s="2">
        <v>3105.34</v>
      </c>
      <c r="AD18" s="2">
        <v>23208.41</v>
      </c>
      <c r="AE18" s="2">
        <v>5344.6</v>
      </c>
      <c r="AF18" s="2">
        <v>4190.43</v>
      </c>
      <c r="AG18" s="2">
        <v>12333.89</v>
      </c>
      <c r="AH18" s="2">
        <v>10489.32</v>
      </c>
      <c r="AI18" s="2">
        <v>6951.4</v>
      </c>
      <c r="AJ18" s="2">
        <v>6699.34</v>
      </c>
      <c r="AK18" s="2">
        <v>2155.29</v>
      </c>
      <c r="AL18" s="2">
        <v>1437.83</v>
      </c>
      <c r="AM18" s="2">
        <v>1914.84</v>
      </c>
      <c r="AN18" s="2">
        <v>5336.69</v>
      </c>
      <c r="AO18" s="2">
        <v>4330.1899999999996</v>
      </c>
      <c r="AP18" s="2">
        <v>1799.74</v>
      </c>
      <c r="AQ18" s="2">
        <v>2500.7199999999998</v>
      </c>
      <c r="AR18" s="2">
        <v>2871.44</v>
      </c>
      <c r="AS18" s="2">
        <v>1991.54</v>
      </c>
      <c r="AT18" s="2">
        <v>5119.38</v>
      </c>
      <c r="AU18" s="2">
        <v>11903.67</v>
      </c>
      <c r="AV18" s="2">
        <v>6984.59</v>
      </c>
      <c r="AW18" s="2">
        <v>1122.69</v>
      </c>
      <c r="AX18" s="2">
        <v>3270.03</v>
      </c>
      <c r="AY18" s="2">
        <v>2659.87</v>
      </c>
      <c r="AZ18" s="2">
        <v>2462.7600000000002</v>
      </c>
      <c r="BA18" s="2">
        <v>1890.13</v>
      </c>
      <c r="BB18" s="2">
        <v>1571.13</v>
      </c>
      <c r="BC18" s="2">
        <v>6730.24</v>
      </c>
      <c r="BD18" s="2">
        <v>1636.44</v>
      </c>
      <c r="BE18" s="2">
        <v>3982.39</v>
      </c>
      <c r="BF18" s="2">
        <v>2343.46</v>
      </c>
      <c r="BG18" s="2">
        <v>1245.83</v>
      </c>
      <c r="BH18" s="2">
        <v>2194.91</v>
      </c>
      <c r="BI18" s="2">
        <v>1077.4000000000001</v>
      </c>
    </row>
    <row r="19" spans="1:61">
      <c r="A19" s="1">
        <v>16</v>
      </c>
      <c r="B19" s="2">
        <v>3500.46</v>
      </c>
      <c r="C19" s="2">
        <v>2553.8000000000002</v>
      </c>
      <c r="D19" s="2">
        <v>2698.5</v>
      </c>
      <c r="E19" s="2">
        <v>2715.24</v>
      </c>
      <c r="F19" s="2">
        <v>3398.02</v>
      </c>
      <c r="G19" s="2">
        <v>5314.48</v>
      </c>
      <c r="H19" s="2">
        <v>16258.35</v>
      </c>
      <c r="I19" s="2">
        <v>22485.84</v>
      </c>
      <c r="J19" s="2">
        <v>9327.82</v>
      </c>
      <c r="K19" s="2">
        <v>18018.330000000002</v>
      </c>
      <c r="L19" s="2">
        <v>1898.08</v>
      </c>
      <c r="M19" s="2">
        <v>2402.7199999999998</v>
      </c>
      <c r="N19" s="2">
        <v>5290.87</v>
      </c>
      <c r="O19" s="2">
        <v>10287.66</v>
      </c>
      <c r="P19" s="2">
        <v>11399.28</v>
      </c>
      <c r="Q19" s="2">
        <v>3822.43</v>
      </c>
      <c r="R19" s="2">
        <v>5697.61</v>
      </c>
      <c r="S19" s="2">
        <v>5999</v>
      </c>
      <c r="T19" s="2">
        <v>3875.37</v>
      </c>
      <c r="U19" s="2">
        <v>7576.24</v>
      </c>
      <c r="V19" s="2">
        <v>13413.6</v>
      </c>
      <c r="W19" s="2">
        <v>29495.67</v>
      </c>
      <c r="X19" s="2">
        <v>49993.59</v>
      </c>
      <c r="Y19" s="2">
        <v>41559.589999999997</v>
      </c>
      <c r="Z19" s="2">
        <v>31204.99</v>
      </c>
      <c r="AA19" s="2">
        <v>36483.43</v>
      </c>
      <c r="AB19" s="2">
        <v>7276.06</v>
      </c>
      <c r="AC19" s="2">
        <v>2971.49</v>
      </c>
      <c r="AD19" s="2">
        <v>30801.34</v>
      </c>
      <c r="AE19" s="2">
        <v>5973.62</v>
      </c>
      <c r="AF19" s="2">
        <v>4957.24</v>
      </c>
      <c r="AG19" s="2">
        <v>18365.16</v>
      </c>
      <c r="AH19" s="2">
        <v>13150.61</v>
      </c>
      <c r="AI19" s="2">
        <v>9176.56</v>
      </c>
      <c r="AJ19" s="2">
        <v>8079.94</v>
      </c>
      <c r="AK19" s="2">
        <v>2887.24</v>
      </c>
      <c r="AL19" s="2">
        <v>2037.74</v>
      </c>
      <c r="AM19" s="2">
        <v>2089.85</v>
      </c>
      <c r="AN19" s="2">
        <v>7182.15</v>
      </c>
      <c r="AO19" s="2">
        <v>5984.25</v>
      </c>
      <c r="AP19" s="2">
        <v>2147.16</v>
      </c>
      <c r="AQ19" s="2">
        <v>3811.35</v>
      </c>
      <c r="AR19" s="2">
        <v>3082.6</v>
      </c>
      <c r="AS19" s="2">
        <v>2782.52</v>
      </c>
      <c r="AT19" s="2">
        <v>6029.84</v>
      </c>
      <c r="AU19" s="2">
        <v>16380.47</v>
      </c>
      <c r="AV19" s="2">
        <v>8537.01</v>
      </c>
      <c r="AW19" s="2">
        <v>1366.04</v>
      </c>
      <c r="AX19" s="2">
        <v>3748.71</v>
      </c>
      <c r="AY19" s="2">
        <v>2934.25</v>
      </c>
      <c r="AZ19" s="2">
        <v>2790.88</v>
      </c>
      <c r="BA19" s="2">
        <v>2145.33</v>
      </c>
      <c r="BB19" s="2">
        <v>1939.83</v>
      </c>
      <c r="BC19" s="2">
        <v>8722.1</v>
      </c>
      <c r="BD19" s="2">
        <v>1977.71</v>
      </c>
      <c r="BE19" s="2">
        <v>4608.8999999999996</v>
      </c>
      <c r="BF19" s="2">
        <v>2495.2600000000002</v>
      </c>
      <c r="BG19" s="2">
        <v>1566.62</v>
      </c>
      <c r="BH19" s="2">
        <v>2659.25</v>
      </c>
      <c r="BI19" s="2">
        <v>1157.97</v>
      </c>
    </row>
    <row r="20" spans="1:61">
      <c r="A20" s="1">
        <v>17</v>
      </c>
      <c r="B20" s="2">
        <v>2758.41</v>
      </c>
      <c r="C20" s="2">
        <v>2223.62</v>
      </c>
      <c r="D20" s="2">
        <v>1805.35</v>
      </c>
      <c r="E20" s="2">
        <v>2295.0700000000002</v>
      </c>
      <c r="F20" s="2">
        <v>2126.79</v>
      </c>
      <c r="G20" s="2">
        <v>4522.0600000000004</v>
      </c>
      <c r="H20" s="2">
        <v>13454.27</v>
      </c>
      <c r="I20" s="2">
        <v>18213.68</v>
      </c>
      <c r="J20" s="2">
        <v>6939.25</v>
      </c>
      <c r="K20" s="2">
        <v>11501.22</v>
      </c>
      <c r="L20" s="2">
        <v>1078.1199999999999</v>
      </c>
      <c r="M20" s="2">
        <v>2117.08</v>
      </c>
      <c r="N20" s="2">
        <v>3625.71</v>
      </c>
      <c r="O20" s="2">
        <v>5598.67</v>
      </c>
      <c r="P20" s="2">
        <v>6521.76</v>
      </c>
      <c r="Q20" s="2">
        <v>2744.06</v>
      </c>
      <c r="R20" s="2">
        <v>4832.66</v>
      </c>
      <c r="S20" s="2">
        <v>4529.3500000000004</v>
      </c>
      <c r="T20" s="2">
        <v>2672.16</v>
      </c>
      <c r="U20" s="2">
        <v>5801.62</v>
      </c>
      <c r="V20" s="2">
        <v>9133.74</v>
      </c>
      <c r="W20" s="2">
        <v>19700.759999999998</v>
      </c>
      <c r="X20" s="2">
        <v>24730.51</v>
      </c>
      <c r="Y20" s="2">
        <v>23687.27</v>
      </c>
      <c r="Z20" s="2">
        <v>21334.42</v>
      </c>
      <c r="AA20" s="2">
        <v>24656.43</v>
      </c>
      <c r="AB20" s="2">
        <v>5643.28</v>
      </c>
      <c r="AC20" s="2">
        <v>2127.31</v>
      </c>
      <c r="AD20" s="2">
        <v>18899.939999999999</v>
      </c>
      <c r="AE20" s="2">
        <v>4902.6499999999996</v>
      </c>
      <c r="AF20" s="2">
        <v>3857.11</v>
      </c>
      <c r="AG20" s="2">
        <v>13443.06</v>
      </c>
      <c r="AH20" s="2">
        <v>8909.11</v>
      </c>
      <c r="AI20" s="2">
        <v>6791.33</v>
      </c>
      <c r="AJ20" s="2">
        <v>5262.66</v>
      </c>
      <c r="AK20" s="2">
        <v>2058.06</v>
      </c>
      <c r="AL20" s="2">
        <v>1494.82</v>
      </c>
      <c r="AM20" s="2">
        <v>1483.08</v>
      </c>
      <c r="AN20" s="2">
        <v>5824.14</v>
      </c>
      <c r="AO20" s="2">
        <v>3565.9</v>
      </c>
      <c r="AP20" s="2">
        <v>1446.85</v>
      </c>
      <c r="AQ20" s="2">
        <v>2955.59</v>
      </c>
      <c r="AR20" s="2">
        <v>2208.2199999999998</v>
      </c>
      <c r="AS20" s="2">
        <v>2053.8200000000002</v>
      </c>
      <c r="AT20" s="2">
        <v>3760.64</v>
      </c>
      <c r="AU20" s="2">
        <v>12515.8</v>
      </c>
      <c r="AV20" s="2">
        <v>4976.46</v>
      </c>
      <c r="AW20" s="2">
        <v>963.29</v>
      </c>
      <c r="AX20" s="2">
        <v>2757.92</v>
      </c>
      <c r="AY20" s="2">
        <v>2232.16</v>
      </c>
      <c r="AZ20" s="2">
        <v>1779.76</v>
      </c>
      <c r="BA20" s="2">
        <v>1974.02</v>
      </c>
      <c r="BB20" s="2">
        <v>1399.65</v>
      </c>
      <c r="BC20" s="2">
        <v>6279.85</v>
      </c>
      <c r="BD20" s="2">
        <v>1785.38</v>
      </c>
      <c r="BE20" s="2">
        <v>3809.62</v>
      </c>
      <c r="BF20" s="2">
        <v>2002.21</v>
      </c>
      <c r="BG20" s="2">
        <v>1172.73</v>
      </c>
      <c r="BH20" s="2">
        <v>2021.92</v>
      </c>
      <c r="BI20" s="2">
        <v>1081.77</v>
      </c>
    </row>
    <row r="21" spans="1:61">
      <c r="A21" s="1">
        <v>18</v>
      </c>
      <c r="B21" s="2">
        <v>1515.28</v>
      </c>
      <c r="C21" s="2">
        <v>1629.25</v>
      </c>
      <c r="D21" s="2">
        <v>1479.3</v>
      </c>
      <c r="E21" s="2">
        <v>1399.28</v>
      </c>
      <c r="F21" s="2">
        <v>2293.9</v>
      </c>
      <c r="G21" s="2">
        <v>3399.72</v>
      </c>
      <c r="H21" s="2">
        <v>10293.93</v>
      </c>
      <c r="I21" s="2">
        <v>13024.34</v>
      </c>
      <c r="J21" s="2">
        <v>4429.01</v>
      </c>
      <c r="K21" s="2">
        <v>9546.94</v>
      </c>
      <c r="L21" s="2">
        <v>844.51</v>
      </c>
      <c r="M21" s="2">
        <v>1277.04</v>
      </c>
      <c r="N21" s="2">
        <v>2968.27</v>
      </c>
      <c r="O21" s="2">
        <v>5919.14</v>
      </c>
      <c r="P21" s="2">
        <v>5794.36</v>
      </c>
      <c r="Q21" s="2">
        <v>2098.27</v>
      </c>
      <c r="R21" s="2">
        <v>3547.43</v>
      </c>
      <c r="S21" s="2">
        <v>2798.81</v>
      </c>
      <c r="T21" s="2">
        <v>2122.7600000000002</v>
      </c>
      <c r="U21" s="2">
        <v>2900.89</v>
      </c>
      <c r="V21" s="2">
        <v>5981.23</v>
      </c>
      <c r="W21" s="2">
        <v>15473.65</v>
      </c>
      <c r="X21" s="2">
        <v>23728.77</v>
      </c>
      <c r="Y21" s="2">
        <v>19627.919999999998</v>
      </c>
      <c r="Z21" s="2">
        <v>20324.36</v>
      </c>
      <c r="AA21" s="2">
        <v>16657.66</v>
      </c>
      <c r="AB21" s="2">
        <v>4849.3599999999997</v>
      </c>
      <c r="AC21" s="2">
        <v>1782.64</v>
      </c>
      <c r="AD21" s="2">
        <v>16639.86</v>
      </c>
      <c r="AE21" s="2">
        <v>4284.55</v>
      </c>
      <c r="AF21" s="2">
        <v>2979.68</v>
      </c>
      <c r="AG21" s="2">
        <v>11126.95</v>
      </c>
      <c r="AH21" s="2">
        <v>5951.19</v>
      </c>
      <c r="AI21" s="2">
        <v>6426.34</v>
      </c>
      <c r="AJ21" s="2">
        <v>4383.5200000000004</v>
      </c>
      <c r="AK21" s="2">
        <v>1638.67</v>
      </c>
      <c r="AL21" s="2">
        <v>1292.78</v>
      </c>
      <c r="AM21" s="2">
        <v>1062.02</v>
      </c>
      <c r="AN21" s="2">
        <v>3672.92</v>
      </c>
      <c r="AO21" s="2">
        <v>2702.49</v>
      </c>
      <c r="AP21" s="2">
        <v>1560.8</v>
      </c>
      <c r="AQ21" s="2">
        <v>1788.59</v>
      </c>
      <c r="AR21" s="2">
        <v>2101.23</v>
      </c>
      <c r="AS21" s="2">
        <v>1592.63</v>
      </c>
      <c r="AT21" s="2">
        <v>3145</v>
      </c>
      <c r="AU21" s="2">
        <v>8677.92</v>
      </c>
      <c r="AV21" s="2">
        <v>5149.45</v>
      </c>
      <c r="AW21" s="2">
        <v>852.22</v>
      </c>
      <c r="AX21" s="2">
        <v>2415.9299999999998</v>
      </c>
      <c r="AY21" s="2">
        <v>1672.66</v>
      </c>
      <c r="AZ21" s="2">
        <v>1375.73</v>
      </c>
      <c r="BA21" s="2">
        <v>1107.17</v>
      </c>
      <c r="BB21" s="2">
        <v>1174.5</v>
      </c>
      <c r="BC21" s="2">
        <v>4024.3</v>
      </c>
      <c r="BD21" s="2">
        <v>1197.5899999999999</v>
      </c>
      <c r="BE21" s="2">
        <v>2299.48</v>
      </c>
      <c r="BF21" s="2">
        <v>2119.89</v>
      </c>
      <c r="BG21" s="2">
        <v>905.63</v>
      </c>
      <c r="BH21" s="2">
        <v>1385.5</v>
      </c>
      <c r="BI21" s="2">
        <v>816.71</v>
      </c>
    </row>
    <row r="22" spans="1:61">
      <c r="A22" s="1">
        <v>19</v>
      </c>
      <c r="B22" s="2">
        <v>1920.74</v>
      </c>
      <c r="C22" s="2">
        <v>1746.52</v>
      </c>
      <c r="D22" s="2">
        <v>1629.04</v>
      </c>
      <c r="E22" s="2">
        <v>1727.88</v>
      </c>
      <c r="F22" s="2">
        <v>1764.99</v>
      </c>
      <c r="G22" s="2">
        <v>2890.34</v>
      </c>
      <c r="H22" s="2">
        <v>12556.19</v>
      </c>
      <c r="I22" s="2">
        <v>13704.57</v>
      </c>
      <c r="J22" s="2">
        <v>5064.0600000000004</v>
      </c>
      <c r="K22" s="2">
        <v>10363.24</v>
      </c>
      <c r="L22" s="2">
        <v>1245.33</v>
      </c>
      <c r="M22" s="2">
        <v>1338.6</v>
      </c>
      <c r="N22" s="2">
        <v>3382.48</v>
      </c>
      <c r="O22" s="2">
        <v>4359.41</v>
      </c>
      <c r="P22" s="2">
        <v>6181.65</v>
      </c>
      <c r="Q22" s="2">
        <v>2220.65</v>
      </c>
      <c r="R22" s="2">
        <v>3243.71</v>
      </c>
      <c r="S22" s="2">
        <v>3338.34</v>
      </c>
      <c r="T22" s="2">
        <v>2308.02</v>
      </c>
      <c r="U22" s="2">
        <v>4292.8100000000004</v>
      </c>
      <c r="V22" s="2">
        <v>7275.2</v>
      </c>
      <c r="W22" s="2">
        <v>18252.439999999999</v>
      </c>
      <c r="X22" s="2">
        <v>23192.21</v>
      </c>
      <c r="Y22" s="2">
        <v>17729.53</v>
      </c>
      <c r="Z22" s="2">
        <v>19087.95</v>
      </c>
      <c r="AA22" s="2">
        <v>19680.939999999999</v>
      </c>
      <c r="AB22" s="2">
        <v>3072.91</v>
      </c>
      <c r="AC22" s="2">
        <v>1937.4</v>
      </c>
      <c r="AD22" s="2">
        <v>13710.34</v>
      </c>
      <c r="AE22" s="2">
        <v>2644.37</v>
      </c>
      <c r="AF22" s="2">
        <v>2452.33</v>
      </c>
      <c r="AG22" s="2">
        <v>11576.27</v>
      </c>
      <c r="AH22" s="2">
        <v>6879.71</v>
      </c>
      <c r="AI22" s="2">
        <v>6394.28</v>
      </c>
      <c r="AJ22" s="2">
        <v>4483.4799999999996</v>
      </c>
      <c r="AK22" s="2">
        <v>1483.12</v>
      </c>
      <c r="AL22" s="2">
        <v>1416.25</v>
      </c>
      <c r="AM22" s="2">
        <v>1118.24</v>
      </c>
      <c r="AN22" s="2">
        <v>3266.71</v>
      </c>
      <c r="AO22" s="2">
        <v>3047.86</v>
      </c>
      <c r="AP22" s="2">
        <v>998.78</v>
      </c>
      <c r="AQ22" s="2">
        <v>2299.7800000000002</v>
      </c>
      <c r="AR22" s="2">
        <v>1989.39</v>
      </c>
      <c r="AS22" s="2">
        <v>1334.65</v>
      </c>
      <c r="AT22" s="2">
        <v>3307.35</v>
      </c>
      <c r="AU22" s="2">
        <v>8327.31</v>
      </c>
      <c r="AV22" s="2">
        <v>4569.75</v>
      </c>
      <c r="AW22" s="2">
        <v>626.52</v>
      </c>
      <c r="AX22" s="2">
        <v>2133.77</v>
      </c>
      <c r="AY22" s="2">
        <v>1677.75</v>
      </c>
      <c r="AZ22" s="2">
        <v>1373.09</v>
      </c>
      <c r="BA22" s="2">
        <v>1309.23</v>
      </c>
      <c r="BB22" s="2">
        <v>996.67</v>
      </c>
      <c r="BC22" s="2">
        <v>4526.49</v>
      </c>
      <c r="BD22" s="2">
        <v>1075.6199999999999</v>
      </c>
      <c r="BE22" s="2">
        <v>2466.75</v>
      </c>
      <c r="BF22" s="2">
        <v>1553.69</v>
      </c>
      <c r="BG22" s="2">
        <v>1229.3599999999999</v>
      </c>
      <c r="BH22" s="2">
        <v>1745.62</v>
      </c>
      <c r="BI22" s="2">
        <v>614.38</v>
      </c>
    </row>
    <row r="23" spans="1:61">
      <c r="A23" s="1">
        <v>20</v>
      </c>
      <c r="B23" s="2">
        <v>1839.93</v>
      </c>
      <c r="C23" s="2">
        <v>1859.19</v>
      </c>
      <c r="D23" s="2">
        <v>1826.67</v>
      </c>
      <c r="E23" s="2">
        <v>1791.2</v>
      </c>
      <c r="F23" s="2">
        <v>1934.27</v>
      </c>
      <c r="G23" s="2">
        <v>3260.25</v>
      </c>
      <c r="H23" s="2">
        <v>10379.15</v>
      </c>
      <c r="I23" s="2">
        <v>14392</v>
      </c>
      <c r="J23" s="2">
        <v>5164.46</v>
      </c>
      <c r="K23" s="2">
        <v>7041.21</v>
      </c>
      <c r="L23" s="2">
        <v>969.31</v>
      </c>
      <c r="M23" s="2">
        <v>1313.34</v>
      </c>
      <c r="N23" s="2">
        <v>3514.22</v>
      </c>
      <c r="O23" s="2">
        <v>4832.1899999999996</v>
      </c>
      <c r="P23" s="2">
        <v>5951.6</v>
      </c>
      <c r="Q23" s="2">
        <v>2526.75</v>
      </c>
      <c r="R23" s="2">
        <v>2909.17</v>
      </c>
      <c r="S23" s="2">
        <v>3589.37</v>
      </c>
      <c r="T23" s="2">
        <v>2818.84</v>
      </c>
      <c r="U23" s="2">
        <v>2886.71</v>
      </c>
      <c r="V23" s="2">
        <v>6779</v>
      </c>
      <c r="W23" s="2">
        <v>23367.64</v>
      </c>
      <c r="X23" s="2">
        <v>32206.82</v>
      </c>
      <c r="Y23" s="2">
        <v>27282.32</v>
      </c>
      <c r="Z23" s="2">
        <v>22940.959999999999</v>
      </c>
      <c r="AA23" s="2">
        <v>14431.92</v>
      </c>
      <c r="AB23" s="2">
        <v>4852.93</v>
      </c>
      <c r="AC23" s="2">
        <v>1995.54</v>
      </c>
      <c r="AD23" s="2">
        <v>20618.900000000001</v>
      </c>
      <c r="AE23" s="2">
        <v>3442.57</v>
      </c>
      <c r="AF23" s="2">
        <v>3210.27</v>
      </c>
      <c r="AG23" s="2">
        <v>12666.38</v>
      </c>
      <c r="AH23" s="2">
        <v>7175.49</v>
      </c>
      <c r="AI23" s="2">
        <v>6699.92</v>
      </c>
      <c r="AJ23" s="2">
        <v>6353.96</v>
      </c>
      <c r="AK23" s="2">
        <v>1507.94</v>
      </c>
      <c r="AL23" s="2">
        <v>1111.92</v>
      </c>
      <c r="AM23" s="2">
        <v>1184.42</v>
      </c>
      <c r="AN23" s="2">
        <v>3594.99</v>
      </c>
      <c r="AO23" s="2">
        <v>3152.6</v>
      </c>
      <c r="AP23" s="2">
        <v>1533.44</v>
      </c>
      <c r="AQ23" s="2">
        <v>2483.63</v>
      </c>
      <c r="AR23" s="2">
        <v>2157.5100000000002</v>
      </c>
      <c r="AS23" s="2">
        <v>1315.03</v>
      </c>
      <c r="AT23" s="2">
        <v>3861.44</v>
      </c>
      <c r="AU23" s="2">
        <v>7138.76</v>
      </c>
      <c r="AV23" s="2">
        <v>5848.22</v>
      </c>
      <c r="AW23" s="2">
        <v>861.56</v>
      </c>
      <c r="AX23" s="2">
        <v>2553.14</v>
      </c>
      <c r="AY23" s="2">
        <v>2060.2199999999998</v>
      </c>
      <c r="AZ23" s="2">
        <v>1572.39</v>
      </c>
      <c r="BA23" s="2">
        <v>1252.49</v>
      </c>
      <c r="BB23" s="2">
        <v>1302.43</v>
      </c>
      <c r="BC23" s="2">
        <v>3962.23</v>
      </c>
      <c r="BD23" s="2">
        <v>1272.2</v>
      </c>
      <c r="BE23" s="2">
        <v>3169.21</v>
      </c>
      <c r="BF23" s="2">
        <v>2002.03</v>
      </c>
      <c r="BG23" s="2">
        <v>1037.52</v>
      </c>
      <c r="BH23" s="2">
        <v>1942.06</v>
      </c>
      <c r="BI23" s="2">
        <v>634.91999999999996</v>
      </c>
    </row>
    <row r="24" spans="1:61">
      <c r="A24" s="1">
        <v>21</v>
      </c>
      <c r="B24" s="2">
        <v>2372.04</v>
      </c>
      <c r="C24" s="2">
        <v>1856.61</v>
      </c>
      <c r="D24" s="2">
        <v>1588.79</v>
      </c>
      <c r="E24" s="2">
        <v>2253.61</v>
      </c>
      <c r="F24" s="2">
        <v>2277.84</v>
      </c>
      <c r="G24" s="2">
        <v>4292.58</v>
      </c>
      <c r="H24" s="2">
        <v>11437.58</v>
      </c>
      <c r="I24" s="2">
        <v>15989.38</v>
      </c>
      <c r="J24" s="2">
        <v>6736.72</v>
      </c>
      <c r="K24" s="2">
        <v>14431.47</v>
      </c>
      <c r="L24" s="2">
        <v>1275.32</v>
      </c>
      <c r="M24" s="2">
        <v>1715.92</v>
      </c>
      <c r="N24" s="2">
        <v>3958.36</v>
      </c>
      <c r="O24" s="2">
        <v>6223.07</v>
      </c>
      <c r="P24" s="2">
        <v>7145.82</v>
      </c>
      <c r="Q24" s="2">
        <v>2806.04</v>
      </c>
      <c r="R24" s="2">
        <v>4580.04</v>
      </c>
      <c r="S24" s="2">
        <v>3403.23</v>
      </c>
      <c r="T24" s="2">
        <v>2664.25</v>
      </c>
      <c r="U24" s="2">
        <v>6363.51</v>
      </c>
      <c r="V24" s="2">
        <v>9474.5400000000009</v>
      </c>
      <c r="W24" s="2">
        <v>27620.78</v>
      </c>
      <c r="X24" s="2">
        <v>29407.46</v>
      </c>
      <c r="Y24" s="2">
        <v>31296.94</v>
      </c>
      <c r="Z24" s="2">
        <v>14030.97</v>
      </c>
      <c r="AA24" s="2">
        <v>17301.98</v>
      </c>
      <c r="AB24" s="2">
        <v>5251.75</v>
      </c>
      <c r="AC24" s="2">
        <v>2168.1999999999998</v>
      </c>
      <c r="AD24" s="2">
        <v>15594.36</v>
      </c>
      <c r="AE24" s="2">
        <v>4293.97</v>
      </c>
      <c r="AF24" s="2">
        <v>3369.56</v>
      </c>
      <c r="AG24" s="2">
        <v>13007.57</v>
      </c>
      <c r="AH24" s="2">
        <v>7135.18</v>
      </c>
      <c r="AI24" s="2">
        <v>6287.09</v>
      </c>
      <c r="AJ24" s="2">
        <v>4976.75</v>
      </c>
      <c r="AK24" s="2">
        <v>2134.6999999999998</v>
      </c>
      <c r="AL24" s="2">
        <v>1334.31</v>
      </c>
      <c r="AM24" s="2">
        <v>1321.99</v>
      </c>
      <c r="AN24" s="2">
        <v>5120.9799999999996</v>
      </c>
      <c r="AO24" s="2">
        <v>4078.71</v>
      </c>
      <c r="AP24" s="2">
        <v>1476.41</v>
      </c>
      <c r="AQ24" s="2">
        <v>2786.44</v>
      </c>
      <c r="AR24" s="2">
        <v>2481.9899999999998</v>
      </c>
      <c r="AS24" s="2">
        <v>2151.17</v>
      </c>
      <c r="AT24" s="2">
        <v>5106.7700000000004</v>
      </c>
      <c r="AU24" s="2">
        <v>8778.73</v>
      </c>
      <c r="AV24" s="2">
        <v>4385.7</v>
      </c>
      <c r="AW24" s="2">
        <v>857.88</v>
      </c>
      <c r="AX24" s="2">
        <v>1929.42</v>
      </c>
      <c r="AY24" s="2">
        <v>2492.61</v>
      </c>
      <c r="AZ24" s="2">
        <v>2100.56</v>
      </c>
      <c r="BA24" s="2">
        <v>1494.19</v>
      </c>
      <c r="BB24" s="2">
        <v>1314.78</v>
      </c>
      <c r="BC24" s="2">
        <v>6440.47</v>
      </c>
      <c r="BD24" s="2">
        <v>1198.73</v>
      </c>
      <c r="BE24" s="2">
        <v>3536.48</v>
      </c>
      <c r="BF24" s="2">
        <v>1739.17</v>
      </c>
      <c r="BG24" s="2">
        <v>1171.8399999999999</v>
      </c>
      <c r="BH24" s="2">
        <v>1723.11</v>
      </c>
      <c r="BI24" s="2">
        <v>941.39</v>
      </c>
    </row>
    <row r="25" spans="1:61">
      <c r="A25" s="1">
        <v>22</v>
      </c>
      <c r="B25" s="2">
        <v>3606.79</v>
      </c>
      <c r="C25" s="2">
        <v>3058.6</v>
      </c>
      <c r="D25" s="2">
        <v>2285.69</v>
      </c>
      <c r="E25" s="2">
        <v>2675.52</v>
      </c>
      <c r="F25" s="2">
        <v>3160.6</v>
      </c>
      <c r="G25" s="2">
        <v>5592.1</v>
      </c>
      <c r="H25" s="2">
        <v>16668.87</v>
      </c>
      <c r="I25" s="2">
        <v>24621.81</v>
      </c>
      <c r="J25" s="2">
        <v>7119.65</v>
      </c>
      <c r="K25" s="2">
        <v>14324.22</v>
      </c>
      <c r="L25" s="2">
        <v>1460.31</v>
      </c>
      <c r="M25" s="2">
        <v>1917.42</v>
      </c>
      <c r="N25" s="2">
        <v>4164.25</v>
      </c>
      <c r="O25" s="2">
        <v>9000.06</v>
      </c>
      <c r="P25" s="2">
        <v>9519.75</v>
      </c>
      <c r="Q25" s="2">
        <v>4027.83</v>
      </c>
      <c r="R25" s="2">
        <v>4520.8900000000003</v>
      </c>
      <c r="S25" s="2">
        <v>5786.48</v>
      </c>
      <c r="T25" s="2">
        <v>3783.8</v>
      </c>
      <c r="U25" s="2">
        <v>7179.43</v>
      </c>
      <c r="V25" s="2">
        <v>12032.6</v>
      </c>
      <c r="W25" s="2">
        <v>27296</v>
      </c>
      <c r="X25" s="2">
        <v>42669.86</v>
      </c>
      <c r="Y25" s="2">
        <v>32705.91</v>
      </c>
      <c r="Z25" s="2">
        <v>29198.75</v>
      </c>
      <c r="AA25" s="2">
        <v>28831.33</v>
      </c>
      <c r="AB25" s="2">
        <v>6828.11</v>
      </c>
      <c r="AC25" s="2">
        <v>2552.71</v>
      </c>
      <c r="AD25" s="2">
        <v>24289.45</v>
      </c>
      <c r="AE25" s="2">
        <v>5929.11</v>
      </c>
      <c r="AF25" s="2">
        <v>4231.17</v>
      </c>
      <c r="AG25" s="2">
        <v>18044.259999999998</v>
      </c>
      <c r="AH25" s="2">
        <v>13890.96</v>
      </c>
      <c r="AI25" s="2">
        <v>8470.83</v>
      </c>
      <c r="AJ25" s="2">
        <v>7493.15</v>
      </c>
      <c r="AK25" s="2">
        <v>2408.84</v>
      </c>
      <c r="AL25" s="2">
        <v>1924.72</v>
      </c>
      <c r="AM25" s="2">
        <v>1801.25</v>
      </c>
      <c r="AN25" s="2">
        <v>5649.73</v>
      </c>
      <c r="AO25" s="2">
        <v>4378.46</v>
      </c>
      <c r="AP25" s="2">
        <v>2075.77</v>
      </c>
      <c r="AQ25" s="2">
        <v>3600.98</v>
      </c>
      <c r="AR25" s="2">
        <v>3094.51</v>
      </c>
      <c r="AS25" s="2">
        <v>2201.12</v>
      </c>
      <c r="AT25" s="2">
        <v>6094.24</v>
      </c>
      <c r="AU25" s="2">
        <v>12024.59</v>
      </c>
      <c r="AV25" s="2">
        <v>8155.56</v>
      </c>
      <c r="AW25" s="2">
        <v>1263.56</v>
      </c>
      <c r="AX25" s="2">
        <v>3922.64</v>
      </c>
      <c r="AY25" s="2">
        <v>3093</v>
      </c>
      <c r="AZ25" s="2">
        <v>2547.0700000000002</v>
      </c>
      <c r="BA25" s="2">
        <v>1942.5</v>
      </c>
      <c r="BB25" s="2">
        <v>1642.76</v>
      </c>
      <c r="BC25" s="2">
        <v>7434.32</v>
      </c>
      <c r="BD25" s="2">
        <v>1775.99</v>
      </c>
      <c r="BE25" s="2">
        <v>3563.13</v>
      </c>
      <c r="BF25" s="2">
        <v>2647.32</v>
      </c>
      <c r="BG25" s="2">
        <v>1503.74</v>
      </c>
      <c r="BH25" s="2">
        <v>2637.13</v>
      </c>
      <c r="BI25" s="2">
        <v>1117.4100000000001</v>
      </c>
    </row>
    <row r="26" spans="1:61">
      <c r="A26" s="1">
        <v>23</v>
      </c>
      <c r="B26" s="2">
        <v>4190</v>
      </c>
      <c r="C26" s="2">
        <v>3212.16</v>
      </c>
      <c r="D26" s="2">
        <v>3152.43</v>
      </c>
      <c r="E26" s="2">
        <v>3084.62</v>
      </c>
      <c r="F26" s="2">
        <v>3693.48</v>
      </c>
      <c r="G26" s="2">
        <v>6471.57</v>
      </c>
      <c r="H26" s="2">
        <v>20917.64</v>
      </c>
      <c r="I26" s="2">
        <v>30039.16</v>
      </c>
      <c r="J26" s="2">
        <v>9286.19</v>
      </c>
      <c r="K26" s="2">
        <v>16939.259999999998</v>
      </c>
      <c r="L26" s="2">
        <v>1811.65</v>
      </c>
      <c r="M26" s="2">
        <v>2508.8000000000002</v>
      </c>
      <c r="N26" s="2">
        <v>5098.01</v>
      </c>
      <c r="O26" s="2">
        <v>9943.68</v>
      </c>
      <c r="P26" s="2">
        <v>12458.73</v>
      </c>
      <c r="Q26" s="2">
        <v>4254.3999999999996</v>
      </c>
      <c r="R26" s="2">
        <v>6187.58</v>
      </c>
      <c r="S26" s="2">
        <v>7041.21</v>
      </c>
      <c r="T26" s="2">
        <v>4435.1099999999997</v>
      </c>
      <c r="U26" s="2">
        <v>9038.08</v>
      </c>
      <c r="V26" s="2">
        <v>14201.57</v>
      </c>
      <c r="W26" s="2">
        <v>29507.32</v>
      </c>
      <c r="X26" s="2">
        <v>57562.720000000001</v>
      </c>
      <c r="Y26" s="2">
        <v>44742.36</v>
      </c>
      <c r="Z26" s="2">
        <v>34393.82</v>
      </c>
      <c r="AA26" s="2">
        <v>33063.43</v>
      </c>
      <c r="AB26" s="2">
        <v>9037.41</v>
      </c>
      <c r="AC26" s="2">
        <v>4064.84</v>
      </c>
      <c r="AD26" s="2">
        <v>32167.87</v>
      </c>
      <c r="AE26" s="2">
        <v>7502.03</v>
      </c>
      <c r="AF26" s="2">
        <v>4836.92</v>
      </c>
      <c r="AG26" s="2">
        <v>21787.1</v>
      </c>
      <c r="AH26" s="2">
        <v>14896.64</v>
      </c>
      <c r="AI26" s="2">
        <v>12637.95</v>
      </c>
      <c r="AJ26" s="2">
        <v>8618.4699999999993</v>
      </c>
      <c r="AK26" s="2">
        <v>3007.21</v>
      </c>
      <c r="AL26" s="2">
        <v>2333.61</v>
      </c>
      <c r="AM26" s="2">
        <v>2221.0500000000002</v>
      </c>
      <c r="AN26" s="2">
        <v>6823.71</v>
      </c>
      <c r="AO26" s="2">
        <v>6327.58</v>
      </c>
      <c r="AP26" s="2">
        <v>2415.5</v>
      </c>
      <c r="AQ26" s="2">
        <v>4654.83</v>
      </c>
      <c r="AR26" s="2">
        <v>4188.53</v>
      </c>
      <c r="AS26" s="2">
        <v>3017.85</v>
      </c>
      <c r="AT26" s="2">
        <v>7206.17</v>
      </c>
      <c r="AU26" s="2">
        <v>16636.64</v>
      </c>
      <c r="AV26" s="2">
        <v>7626.21</v>
      </c>
      <c r="AW26" s="2">
        <v>1430.31</v>
      </c>
      <c r="AX26" s="2">
        <v>4354.58</v>
      </c>
      <c r="AY26" s="2">
        <v>3409.94</v>
      </c>
      <c r="AZ26" s="2">
        <v>3267.1</v>
      </c>
      <c r="BA26" s="2">
        <v>2351.35</v>
      </c>
      <c r="BB26" s="2">
        <v>2323.04</v>
      </c>
      <c r="BC26" s="2">
        <v>8784.26</v>
      </c>
      <c r="BD26" s="2">
        <v>2080.34</v>
      </c>
      <c r="BE26" s="2">
        <v>5393.67</v>
      </c>
      <c r="BF26" s="2">
        <v>2904.92</v>
      </c>
      <c r="BG26" s="2">
        <v>1952.8</v>
      </c>
      <c r="BH26" s="2">
        <v>3197.1</v>
      </c>
      <c r="BI26" s="2">
        <v>1378.16</v>
      </c>
    </row>
    <row r="27" spans="1:61">
      <c r="A27" s="1">
        <v>24</v>
      </c>
      <c r="B27" s="2">
        <v>2793.29</v>
      </c>
      <c r="C27" s="2">
        <v>2292.0100000000002</v>
      </c>
      <c r="D27" s="2">
        <v>2488.12</v>
      </c>
      <c r="E27" s="2">
        <v>2558.56</v>
      </c>
      <c r="F27" s="2">
        <v>2617.23</v>
      </c>
      <c r="G27" s="2">
        <v>4723.17</v>
      </c>
      <c r="H27" s="2">
        <v>16893.169999999998</v>
      </c>
      <c r="I27" s="2">
        <v>18499.759999999998</v>
      </c>
      <c r="J27" s="2">
        <v>8481.68</v>
      </c>
      <c r="K27" s="2">
        <v>14254.56</v>
      </c>
      <c r="L27" s="2">
        <v>1468.15</v>
      </c>
      <c r="M27" s="2">
        <v>1697.78</v>
      </c>
      <c r="N27" s="2">
        <v>3667.91</v>
      </c>
      <c r="O27" s="2">
        <v>7993.38</v>
      </c>
      <c r="P27" s="2">
        <v>7969.73</v>
      </c>
      <c r="Q27" s="2">
        <v>3142.79</v>
      </c>
      <c r="R27" s="2">
        <v>5282.91</v>
      </c>
      <c r="S27" s="2">
        <v>4853.5</v>
      </c>
      <c r="T27" s="2">
        <v>3654.19</v>
      </c>
      <c r="U27" s="2">
        <v>6764.7</v>
      </c>
      <c r="V27" s="2">
        <v>11396.66</v>
      </c>
      <c r="W27" s="2">
        <v>23918.58</v>
      </c>
      <c r="X27" s="2">
        <v>40736.03</v>
      </c>
      <c r="Y27" s="2">
        <v>29660.65</v>
      </c>
      <c r="Z27" s="2">
        <v>23043.71</v>
      </c>
      <c r="AA27" s="2">
        <v>26750.37</v>
      </c>
      <c r="AB27" s="2">
        <v>6287.99</v>
      </c>
      <c r="AC27" s="2">
        <v>2670.66</v>
      </c>
      <c r="AD27" s="2">
        <v>17670.419999999998</v>
      </c>
      <c r="AE27" s="2">
        <v>5816.59</v>
      </c>
      <c r="AF27" s="2">
        <v>3277.75</v>
      </c>
      <c r="AG27" s="2">
        <v>12368.21</v>
      </c>
      <c r="AH27" s="2">
        <v>10783.56</v>
      </c>
      <c r="AI27" s="2">
        <v>8180.17</v>
      </c>
      <c r="AJ27" s="2">
        <v>6755.84</v>
      </c>
      <c r="AK27" s="2">
        <v>2411.92</v>
      </c>
      <c r="AL27" s="2">
        <v>1651.49</v>
      </c>
      <c r="AM27" s="2">
        <v>1594.2</v>
      </c>
      <c r="AN27" s="2">
        <v>5802.25</v>
      </c>
      <c r="AO27" s="2">
        <v>4247.74</v>
      </c>
      <c r="AP27" s="2">
        <v>1799.02</v>
      </c>
      <c r="AQ27" s="2">
        <v>3513.83</v>
      </c>
      <c r="AR27" s="2">
        <v>3163.62</v>
      </c>
      <c r="AS27" s="2">
        <v>2200.69</v>
      </c>
      <c r="AT27" s="2">
        <v>4676.8900000000003</v>
      </c>
      <c r="AU27" s="2">
        <v>11971.65</v>
      </c>
      <c r="AV27" s="2">
        <v>7641.57</v>
      </c>
      <c r="AW27" s="2">
        <v>1073.0899999999999</v>
      </c>
      <c r="AX27" s="2">
        <v>2998.77</v>
      </c>
      <c r="AY27" s="2">
        <v>3307.1</v>
      </c>
      <c r="AZ27" s="2">
        <v>2334.64</v>
      </c>
      <c r="BA27" s="2">
        <v>1953.23</v>
      </c>
      <c r="BB27" s="2">
        <v>1686.57</v>
      </c>
      <c r="BC27" s="2">
        <v>6159.04</v>
      </c>
      <c r="BD27" s="2">
        <v>1540.23</v>
      </c>
      <c r="BE27" s="2">
        <v>4101.25</v>
      </c>
      <c r="BF27" s="2">
        <v>1905.96</v>
      </c>
      <c r="BG27" s="2">
        <v>1210.58</v>
      </c>
      <c r="BH27" s="2">
        <v>2325.25</v>
      </c>
      <c r="BI27" s="2">
        <v>995.51</v>
      </c>
    </row>
    <row r="28" spans="1:61">
      <c r="A28" s="1">
        <v>25</v>
      </c>
      <c r="B28" s="2">
        <v>2361.25</v>
      </c>
      <c r="C28" s="2">
        <v>1753.71</v>
      </c>
      <c r="D28" s="2">
        <v>2171.39</v>
      </c>
      <c r="E28" s="2">
        <v>1838.58</v>
      </c>
      <c r="F28" s="2">
        <v>1859.66</v>
      </c>
      <c r="G28" s="2">
        <v>4275.16</v>
      </c>
      <c r="H28" s="2">
        <v>15174.58</v>
      </c>
      <c r="I28" s="2">
        <v>12876.21</v>
      </c>
      <c r="J28" s="2">
        <v>5760.14</v>
      </c>
      <c r="K28" s="2">
        <v>12774.98</v>
      </c>
      <c r="L28" s="2">
        <v>1232.75</v>
      </c>
      <c r="M28" s="2">
        <v>1679.03</v>
      </c>
      <c r="N28" s="2">
        <v>3285.75</v>
      </c>
      <c r="O28" s="2">
        <v>5529.6</v>
      </c>
      <c r="P28" s="2">
        <v>6812.21</v>
      </c>
      <c r="Q28" s="2">
        <v>2931.01</v>
      </c>
      <c r="R28" s="2">
        <v>4373.95</v>
      </c>
      <c r="S28" s="2">
        <v>3912.23</v>
      </c>
      <c r="T28" s="2">
        <v>3057.05</v>
      </c>
      <c r="U28" s="2">
        <v>5627.1</v>
      </c>
      <c r="V28" s="2">
        <v>7943.21</v>
      </c>
      <c r="W28" s="2">
        <v>19721.04</v>
      </c>
      <c r="X28" s="2">
        <v>31071.66</v>
      </c>
      <c r="Y28" s="2">
        <v>16335.04</v>
      </c>
      <c r="Z28" s="2">
        <v>19399.37</v>
      </c>
      <c r="AA28" s="2">
        <v>14426.35</v>
      </c>
      <c r="AB28" s="2">
        <v>5989.97</v>
      </c>
      <c r="AC28" s="2">
        <v>2081.98</v>
      </c>
      <c r="AD28" s="2">
        <v>17328.61</v>
      </c>
      <c r="AE28" s="2">
        <v>5070</v>
      </c>
      <c r="AF28" s="2">
        <v>3309.22</v>
      </c>
      <c r="AG28" s="2">
        <v>12845.41</v>
      </c>
      <c r="AH28" s="2">
        <v>9587.5</v>
      </c>
      <c r="AI28" s="2">
        <v>4142.41</v>
      </c>
      <c r="AJ28" s="2">
        <v>5567.89</v>
      </c>
      <c r="AK28" s="2">
        <v>2034.11</v>
      </c>
      <c r="AL28" s="2">
        <v>1217.4000000000001</v>
      </c>
      <c r="AM28" s="2">
        <v>1429.94</v>
      </c>
      <c r="AN28" s="2">
        <v>3838.39</v>
      </c>
      <c r="AO28" s="2">
        <v>3197.23</v>
      </c>
      <c r="AP28" s="2">
        <v>1590.1</v>
      </c>
      <c r="AQ28" s="2">
        <v>2440.33</v>
      </c>
      <c r="AR28" s="2">
        <v>2213.27</v>
      </c>
      <c r="AS28" s="2">
        <v>2018.68</v>
      </c>
      <c r="AT28" s="2">
        <v>4125.9399999999996</v>
      </c>
      <c r="AU28" s="2">
        <v>9622.2199999999993</v>
      </c>
      <c r="AV28" s="2">
        <v>5951.69</v>
      </c>
      <c r="AW28" s="2">
        <v>948.13</v>
      </c>
      <c r="AX28" s="2">
        <v>2450.31</v>
      </c>
      <c r="AY28" s="2">
        <v>1553.59</v>
      </c>
      <c r="AZ28" s="2">
        <v>1929.44</v>
      </c>
      <c r="BA28" s="2">
        <v>1632.26</v>
      </c>
      <c r="BB28" s="2">
        <v>1525.83</v>
      </c>
      <c r="BC28" s="2">
        <v>4750.57</v>
      </c>
      <c r="BD28" s="2">
        <v>1290.5</v>
      </c>
      <c r="BE28" s="2">
        <v>2870.28</v>
      </c>
      <c r="BF28" s="2">
        <v>2028.96</v>
      </c>
      <c r="BG28" s="2">
        <v>1165.78</v>
      </c>
      <c r="BH28" s="2">
        <v>1969.3</v>
      </c>
      <c r="BI28" s="2">
        <v>715.9</v>
      </c>
    </row>
    <row r="29" spans="1:61">
      <c r="A29" s="1">
        <v>26</v>
      </c>
      <c r="B29" s="2">
        <v>2382.86</v>
      </c>
      <c r="C29" s="2">
        <v>2057.38</v>
      </c>
      <c r="D29" s="2">
        <v>1666.09</v>
      </c>
      <c r="E29" s="2">
        <v>2143.5300000000002</v>
      </c>
      <c r="F29" s="2">
        <v>2178.7399999999998</v>
      </c>
      <c r="G29" s="2">
        <v>3738.3</v>
      </c>
      <c r="H29" s="2">
        <v>12488.56</v>
      </c>
      <c r="I29" s="2">
        <v>21106.79</v>
      </c>
      <c r="J29" s="2">
        <v>5390.76</v>
      </c>
      <c r="K29" s="2">
        <v>11608.75</v>
      </c>
      <c r="L29" s="2">
        <v>1245.53</v>
      </c>
      <c r="M29" s="2">
        <v>1592.2</v>
      </c>
      <c r="N29" s="2">
        <v>3490.33</v>
      </c>
      <c r="O29" s="2">
        <v>7198.73</v>
      </c>
      <c r="P29" s="2">
        <v>6449.54</v>
      </c>
      <c r="Q29" s="2">
        <v>2889.1</v>
      </c>
      <c r="R29" s="2">
        <v>4249.4799999999996</v>
      </c>
      <c r="S29" s="2">
        <v>2982.88</v>
      </c>
      <c r="T29" s="2">
        <v>2864.26</v>
      </c>
      <c r="U29" s="2">
        <v>4189.08</v>
      </c>
      <c r="V29" s="2">
        <v>5407.41</v>
      </c>
      <c r="W29" s="2">
        <v>20138.86</v>
      </c>
      <c r="X29" s="2">
        <v>29790.75</v>
      </c>
      <c r="Y29" s="2">
        <v>24922.86</v>
      </c>
      <c r="Z29" s="2">
        <v>17776.7</v>
      </c>
      <c r="AA29" s="2">
        <v>18699.09</v>
      </c>
      <c r="AB29" s="2">
        <v>4737.9399999999996</v>
      </c>
      <c r="AC29" s="2">
        <v>2239.4499999999998</v>
      </c>
      <c r="AD29" s="2">
        <v>21079.39</v>
      </c>
      <c r="AE29" s="2">
        <v>3471.74</v>
      </c>
      <c r="AF29" s="2">
        <v>3265.3</v>
      </c>
      <c r="AG29" s="2">
        <v>12870.08</v>
      </c>
      <c r="AH29" s="2">
        <v>7955</v>
      </c>
      <c r="AI29" s="2">
        <v>5821.57</v>
      </c>
      <c r="AJ29" s="2">
        <v>4614.16</v>
      </c>
      <c r="AK29" s="2">
        <v>1962.28</v>
      </c>
      <c r="AL29" s="2">
        <v>1110.6199999999999</v>
      </c>
      <c r="AM29" s="2">
        <v>1388.29</v>
      </c>
      <c r="AN29" s="2">
        <v>4144.96</v>
      </c>
      <c r="AO29" s="2">
        <v>3015.82</v>
      </c>
      <c r="AP29" s="2">
        <v>1524.27</v>
      </c>
      <c r="AQ29" s="2">
        <v>2754.63</v>
      </c>
      <c r="AR29" s="2">
        <v>2627.24</v>
      </c>
      <c r="AS29" s="2">
        <v>1677.77</v>
      </c>
      <c r="AT29" s="2">
        <v>3447.67</v>
      </c>
      <c r="AU29" s="2">
        <v>11232.74</v>
      </c>
      <c r="AV29" s="2">
        <v>5204.66</v>
      </c>
      <c r="AW29" s="2">
        <v>1111.69</v>
      </c>
      <c r="AX29" s="2">
        <v>2474.48</v>
      </c>
      <c r="AY29" s="2">
        <v>1947.53</v>
      </c>
      <c r="AZ29" s="2">
        <v>2000.83</v>
      </c>
      <c r="BA29" s="2">
        <v>1831.57</v>
      </c>
      <c r="BB29" s="2">
        <v>1298.4000000000001</v>
      </c>
      <c r="BC29" s="2">
        <v>4549.1000000000004</v>
      </c>
      <c r="BD29" s="2">
        <v>1414.21</v>
      </c>
      <c r="BE29" s="2">
        <v>2882.35</v>
      </c>
      <c r="BF29" s="2">
        <v>1590.09</v>
      </c>
      <c r="BG29" s="2">
        <v>1210.4100000000001</v>
      </c>
      <c r="BH29" s="2">
        <v>1596.55</v>
      </c>
      <c r="BI29" s="2">
        <v>821.97</v>
      </c>
    </row>
    <row r="30" spans="1:61">
      <c r="A30" s="1">
        <v>27</v>
      </c>
      <c r="B30" s="2">
        <v>2239.46</v>
      </c>
      <c r="C30" s="2">
        <v>1880.63</v>
      </c>
      <c r="D30" s="2">
        <v>1868.3</v>
      </c>
      <c r="E30" s="2">
        <v>2148.65</v>
      </c>
      <c r="F30" s="2">
        <v>2142.04</v>
      </c>
      <c r="G30" s="2">
        <v>4556.3599999999997</v>
      </c>
      <c r="H30" s="2">
        <v>11904.72</v>
      </c>
      <c r="I30" s="2">
        <v>14524.88</v>
      </c>
      <c r="J30" s="2">
        <v>6590.85</v>
      </c>
      <c r="K30" s="2">
        <v>12198.41</v>
      </c>
      <c r="L30" s="2">
        <v>1347.33</v>
      </c>
      <c r="M30" s="2">
        <v>1656.52</v>
      </c>
      <c r="N30" s="2">
        <v>4648.68</v>
      </c>
      <c r="O30" s="2">
        <v>6610.96</v>
      </c>
      <c r="P30" s="2">
        <v>7642.51</v>
      </c>
      <c r="Q30" s="2">
        <v>2439.56</v>
      </c>
      <c r="R30" s="2">
        <v>3405.34</v>
      </c>
      <c r="S30" s="2">
        <v>4106.8</v>
      </c>
      <c r="T30" s="2">
        <v>2408.56</v>
      </c>
      <c r="U30" s="2">
        <v>6497</v>
      </c>
      <c r="V30" s="2">
        <v>9090.9500000000007</v>
      </c>
      <c r="W30" s="2">
        <v>15105.89</v>
      </c>
      <c r="X30" s="2">
        <v>42252.29</v>
      </c>
      <c r="Y30" s="2">
        <v>29646.52</v>
      </c>
      <c r="Z30" s="2">
        <v>22951.91</v>
      </c>
      <c r="AA30" s="2">
        <v>21453.62</v>
      </c>
      <c r="AB30" s="2">
        <v>5240.12</v>
      </c>
      <c r="AC30" s="2">
        <v>2379.42</v>
      </c>
      <c r="AD30" s="2">
        <v>19276.419999999998</v>
      </c>
      <c r="AE30" s="2">
        <v>3750.89</v>
      </c>
      <c r="AF30" s="2">
        <v>4012.87</v>
      </c>
      <c r="AG30" s="2">
        <v>11584.02</v>
      </c>
      <c r="AH30" s="2">
        <v>8497.2099999999991</v>
      </c>
      <c r="AI30" s="2">
        <v>6125.5</v>
      </c>
      <c r="AJ30" s="2">
        <v>4908.5</v>
      </c>
      <c r="AK30" s="2">
        <v>1570.08</v>
      </c>
      <c r="AL30" s="2">
        <v>1090.23</v>
      </c>
      <c r="AM30" s="2">
        <v>1345.19</v>
      </c>
      <c r="AN30" s="2">
        <v>5366.78</v>
      </c>
      <c r="AO30" s="2">
        <v>4155.07</v>
      </c>
      <c r="AP30" s="2">
        <v>1416.98</v>
      </c>
      <c r="AQ30" s="2">
        <v>2854.79</v>
      </c>
      <c r="AR30" s="2">
        <v>1937.19</v>
      </c>
      <c r="AS30" s="2">
        <v>2003.28</v>
      </c>
      <c r="AT30" s="2">
        <v>4722.12</v>
      </c>
      <c r="AU30" s="2">
        <v>9559.64</v>
      </c>
      <c r="AV30" s="2">
        <v>5736.63</v>
      </c>
      <c r="AW30" s="2">
        <v>795.94</v>
      </c>
      <c r="AX30" s="2">
        <v>2218.4699999999998</v>
      </c>
      <c r="AY30" s="2">
        <v>2854.3</v>
      </c>
      <c r="AZ30" s="2">
        <v>2375.3200000000002</v>
      </c>
      <c r="BA30" s="2">
        <v>1689.21</v>
      </c>
      <c r="BB30" s="2">
        <v>1442.42</v>
      </c>
      <c r="BC30" s="2">
        <v>4763.5</v>
      </c>
      <c r="BD30" s="2">
        <v>1357.68</v>
      </c>
      <c r="BE30" s="2">
        <v>3735.87</v>
      </c>
      <c r="BF30" s="2">
        <v>1752.55</v>
      </c>
      <c r="BG30" s="2">
        <v>897.7</v>
      </c>
      <c r="BH30" s="2">
        <v>2287.9899999999998</v>
      </c>
      <c r="BI30" s="2">
        <v>839.62</v>
      </c>
    </row>
    <row r="31" spans="1:61">
      <c r="A31" s="1">
        <v>28</v>
      </c>
      <c r="B31" s="2">
        <v>2817.22</v>
      </c>
      <c r="C31" s="2">
        <v>2634.64</v>
      </c>
      <c r="D31" s="2">
        <v>2536.0300000000002</v>
      </c>
      <c r="E31" s="2">
        <v>2647.49</v>
      </c>
      <c r="F31" s="2">
        <v>2561.5700000000002</v>
      </c>
      <c r="G31" s="2">
        <v>4453.76</v>
      </c>
      <c r="H31" s="2">
        <v>16122.72</v>
      </c>
      <c r="I31" s="2">
        <v>17695.95</v>
      </c>
      <c r="J31" s="2">
        <v>7009.65</v>
      </c>
      <c r="K31" s="2">
        <v>11916.59</v>
      </c>
      <c r="L31" s="2">
        <v>1335.14</v>
      </c>
      <c r="M31" s="2">
        <v>1670.31</v>
      </c>
      <c r="N31" s="2">
        <v>4352.16</v>
      </c>
      <c r="O31" s="2">
        <v>6906.97</v>
      </c>
      <c r="P31" s="2">
        <v>7876.01</v>
      </c>
      <c r="Q31" s="2">
        <v>2870.08</v>
      </c>
      <c r="R31" s="2">
        <v>4461.05</v>
      </c>
      <c r="S31" s="2">
        <v>4316.0200000000004</v>
      </c>
      <c r="T31" s="2">
        <v>2730.58</v>
      </c>
      <c r="U31" s="2">
        <v>7102.17</v>
      </c>
      <c r="V31" s="2">
        <v>7912.87</v>
      </c>
      <c r="W31" s="2">
        <v>22333.98</v>
      </c>
      <c r="X31" s="2">
        <v>41273</v>
      </c>
      <c r="Y31" s="2">
        <v>29402.79</v>
      </c>
      <c r="Z31" s="2">
        <v>26025.69</v>
      </c>
      <c r="AA31" s="2">
        <v>23312.28</v>
      </c>
      <c r="AB31" s="2">
        <v>4820.7</v>
      </c>
      <c r="AC31" s="2">
        <v>2768.66</v>
      </c>
      <c r="AD31" s="2">
        <v>24435.57</v>
      </c>
      <c r="AE31" s="2">
        <v>4791.76</v>
      </c>
      <c r="AF31" s="2">
        <v>4105.8999999999996</v>
      </c>
      <c r="AG31" s="2">
        <v>12733.09</v>
      </c>
      <c r="AH31" s="2">
        <v>10449.06</v>
      </c>
      <c r="AI31" s="2">
        <v>6772.61</v>
      </c>
      <c r="AJ31" s="2">
        <v>5912.38</v>
      </c>
      <c r="AK31" s="2">
        <v>2233.5</v>
      </c>
      <c r="AL31" s="2">
        <v>1592.16</v>
      </c>
      <c r="AM31" s="2">
        <v>1719.55</v>
      </c>
      <c r="AN31" s="2">
        <v>5507.04</v>
      </c>
      <c r="AO31" s="2">
        <v>4075.76</v>
      </c>
      <c r="AP31" s="2">
        <v>1868.01</v>
      </c>
      <c r="AQ31" s="2">
        <v>3227.3</v>
      </c>
      <c r="AR31" s="2">
        <v>2376.09</v>
      </c>
      <c r="AS31" s="2">
        <v>1928.15</v>
      </c>
      <c r="AT31" s="2">
        <v>4742.58</v>
      </c>
      <c r="AU31" s="2">
        <v>11660.95</v>
      </c>
      <c r="AV31" s="2">
        <v>6105.27</v>
      </c>
      <c r="AW31" s="2">
        <v>982.57</v>
      </c>
      <c r="AX31" s="2">
        <v>3276.08</v>
      </c>
      <c r="AY31" s="2">
        <v>2938.58</v>
      </c>
      <c r="AZ31" s="2">
        <v>1786.26</v>
      </c>
      <c r="BA31" s="2">
        <v>1547.17</v>
      </c>
      <c r="BB31" s="2">
        <v>1712.48</v>
      </c>
      <c r="BC31" s="2">
        <v>6572.93</v>
      </c>
      <c r="BD31" s="2">
        <v>1414.39</v>
      </c>
      <c r="BE31" s="2">
        <v>4071</v>
      </c>
      <c r="BF31" s="2">
        <v>2166.19</v>
      </c>
      <c r="BG31" s="2">
        <v>1337.92</v>
      </c>
      <c r="BH31" s="2">
        <v>2278.14</v>
      </c>
      <c r="BI31" s="2">
        <v>930.72</v>
      </c>
    </row>
    <row r="32" spans="1:61">
      <c r="A32" s="1">
        <v>29</v>
      </c>
      <c r="B32" s="2">
        <v>4192.42</v>
      </c>
      <c r="C32" s="2">
        <v>2412.7600000000002</v>
      </c>
      <c r="D32" s="2">
        <v>2609.5100000000002</v>
      </c>
      <c r="E32" s="2">
        <v>2501.5</v>
      </c>
      <c r="F32" s="2">
        <v>3878.76</v>
      </c>
      <c r="G32" s="2">
        <v>4794.9799999999996</v>
      </c>
      <c r="H32" s="2">
        <v>20715.04</v>
      </c>
      <c r="I32" s="2">
        <v>26723.02</v>
      </c>
      <c r="J32" s="2">
        <v>9432.2900000000009</v>
      </c>
      <c r="K32" s="2">
        <v>20011.759999999998</v>
      </c>
      <c r="L32" s="2">
        <v>1732.31</v>
      </c>
      <c r="M32" s="2">
        <v>2467.12</v>
      </c>
      <c r="N32" s="2">
        <v>5714.17</v>
      </c>
      <c r="O32" s="2">
        <v>9922.81</v>
      </c>
      <c r="P32" s="2">
        <v>11047.39</v>
      </c>
      <c r="Q32" s="2">
        <v>4303.8</v>
      </c>
      <c r="R32" s="2">
        <v>5346.79</v>
      </c>
      <c r="S32" s="2">
        <v>5002.55</v>
      </c>
      <c r="T32" s="2">
        <v>4502.38</v>
      </c>
      <c r="U32" s="2">
        <v>8388.32</v>
      </c>
      <c r="V32" s="2">
        <v>12272.08</v>
      </c>
      <c r="W32" s="2">
        <v>30307.91</v>
      </c>
      <c r="X32" s="2">
        <v>53110.94</v>
      </c>
      <c r="Y32" s="2">
        <v>39799.11</v>
      </c>
      <c r="Z32" s="2">
        <v>27962.07</v>
      </c>
      <c r="AA32" s="2">
        <v>28735.48</v>
      </c>
      <c r="AB32" s="2">
        <v>7411.48</v>
      </c>
      <c r="AC32" s="2">
        <v>3510.94</v>
      </c>
      <c r="AD32" s="2">
        <v>27819.55</v>
      </c>
      <c r="AE32" s="2">
        <v>5474.49</v>
      </c>
      <c r="AF32" s="2">
        <v>5080.41</v>
      </c>
      <c r="AG32" s="2">
        <v>18675.27</v>
      </c>
      <c r="AH32" s="2">
        <v>12455.81</v>
      </c>
      <c r="AI32" s="2">
        <v>7622.29</v>
      </c>
      <c r="AJ32" s="2">
        <v>7979.55</v>
      </c>
      <c r="AK32" s="2">
        <v>3241.61</v>
      </c>
      <c r="AL32" s="2">
        <v>1810.39</v>
      </c>
      <c r="AM32" s="2">
        <v>1786.85</v>
      </c>
      <c r="AN32" s="2">
        <v>6552.78</v>
      </c>
      <c r="AO32" s="2">
        <v>5332.09</v>
      </c>
      <c r="AP32" s="2">
        <v>2406.14</v>
      </c>
      <c r="AQ32" s="2">
        <v>3869.03</v>
      </c>
      <c r="AR32" s="2">
        <v>3616.3</v>
      </c>
      <c r="AS32" s="2">
        <v>2591.73</v>
      </c>
      <c r="AT32" s="2">
        <v>5803.05</v>
      </c>
      <c r="AU32" s="2">
        <v>15879.92</v>
      </c>
      <c r="AV32" s="2">
        <v>8845.5</v>
      </c>
      <c r="AW32" s="2">
        <v>1504.56</v>
      </c>
      <c r="AX32" s="2">
        <v>3530.57</v>
      </c>
      <c r="AY32" s="2">
        <v>2996.81</v>
      </c>
      <c r="AZ32" s="2">
        <v>2904.98</v>
      </c>
      <c r="BA32" s="2">
        <v>2524.61</v>
      </c>
      <c r="BB32" s="2">
        <v>1959.57</v>
      </c>
      <c r="BC32" s="2">
        <v>8460.0300000000007</v>
      </c>
      <c r="BD32" s="2">
        <v>1694.58</v>
      </c>
      <c r="BE32" s="2">
        <v>5044.6000000000004</v>
      </c>
      <c r="BF32" s="2">
        <v>2629.01</v>
      </c>
      <c r="BG32" s="2">
        <v>1606.1</v>
      </c>
      <c r="BH32" s="2">
        <v>2715.22</v>
      </c>
      <c r="BI32" s="2">
        <v>1098.68</v>
      </c>
    </row>
    <row r="33" spans="1:61">
      <c r="A33" s="1">
        <v>30</v>
      </c>
      <c r="B33" s="2">
        <v>4483.76</v>
      </c>
      <c r="C33" s="2">
        <v>4008.73</v>
      </c>
      <c r="D33" s="2">
        <v>2822.52</v>
      </c>
      <c r="E33" s="2">
        <v>3507.16</v>
      </c>
      <c r="F33" s="2">
        <v>4245.26</v>
      </c>
      <c r="G33" s="2">
        <v>7062.23</v>
      </c>
      <c r="H33" s="2">
        <v>22510.06</v>
      </c>
      <c r="I33" s="2">
        <v>30218.59</v>
      </c>
      <c r="J33" s="2">
        <v>11072.7</v>
      </c>
      <c r="K33" s="2">
        <v>21002.92</v>
      </c>
      <c r="L33" s="2">
        <v>1896.29</v>
      </c>
      <c r="M33" s="2">
        <v>2438.23</v>
      </c>
      <c r="N33" s="2">
        <v>6289.46</v>
      </c>
      <c r="O33" s="2">
        <v>11617.2</v>
      </c>
      <c r="P33" s="2">
        <v>12598.46</v>
      </c>
      <c r="Q33" s="2">
        <v>4735.8500000000004</v>
      </c>
      <c r="R33" s="2">
        <v>7308.17</v>
      </c>
      <c r="S33" s="2">
        <v>7297</v>
      </c>
      <c r="T33" s="2">
        <v>4951.8999999999996</v>
      </c>
      <c r="U33" s="2">
        <v>11107.29</v>
      </c>
      <c r="V33" s="2">
        <v>15348.7</v>
      </c>
      <c r="W33" s="2">
        <v>38172.019999999997</v>
      </c>
      <c r="X33" s="2">
        <v>65949.53</v>
      </c>
      <c r="Y33" s="2">
        <v>41535.47</v>
      </c>
      <c r="Z33" s="2">
        <v>37106.620000000003</v>
      </c>
      <c r="AA33" s="2">
        <v>41754.870000000003</v>
      </c>
      <c r="AB33" s="2">
        <v>8449.41</v>
      </c>
      <c r="AC33" s="2">
        <v>3823.78</v>
      </c>
      <c r="AD33" s="2">
        <v>34845.550000000003</v>
      </c>
      <c r="AE33" s="2">
        <v>8192.84</v>
      </c>
      <c r="AF33" s="2">
        <v>5682.66</v>
      </c>
      <c r="AG33" s="2">
        <v>22798.639999999999</v>
      </c>
      <c r="AH33" s="2">
        <v>15414.77</v>
      </c>
      <c r="AI33" s="2">
        <v>12903.48</v>
      </c>
      <c r="AJ33" s="2">
        <v>9991.73</v>
      </c>
      <c r="AK33" s="2">
        <v>3337</v>
      </c>
      <c r="AL33" s="2">
        <v>2324.42</v>
      </c>
      <c r="AM33" s="2">
        <v>2509.7600000000002</v>
      </c>
      <c r="AN33" s="2">
        <v>6990.56</v>
      </c>
      <c r="AO33" s="2">
        <v>7092.24</v>
      </c>
      <c r="AP33" s="2">
        <v>2775.36</v>
      </c>
      <c r="AQ33" s="2">
        <v>4810.47</v>
      </c>
      <c r="AR33" s="2">
        <v>4436.62</v>
      </c>
      <c r="AS33" s="2">
        <v>2800.56</v>
      </c>
      <c r="AT33" s="2">
        <v>7265.72</v>
      </c>
      <c r="AU33" s="2">
        <v>18854.39</v>
      </c>
      <c r="AV33" s="2">
        <v>9575.7900000000009</v>
      </c>
      <c r="AW33" s="2">
        <v>1700.36</v>
      </c>
      <c r="AX33" s="2">
        <v>5060.32</v>
      </c>
      <c r="AY33" s="2">
        <v>3864.08</v>
      </c>
      <c r="AZ33" s="2">
        <v>3053.21</v>
      </c>
      <c r="BA33" s="2">
        <v>2707.35</v>
      </c>
      <c r="BB33" s="2">
        <v>2315.6999999999998</v>
      </c>
      <c r="BC33" s="2">
        <v>9057.17</v>
      </c>
      <c r="BD33" s="2">
        <v>2133.42</v>
      </c>
      <c r="BE33" s="2">
        <v>6219.56</v>
      </c>
      <c r="BF33" s="2">
        <v>3019.12</v>
      </c>
      <c r="BG33" s="2">
        <v>2060.73</v>
      </c>
      <c r="BH33" s="2">
        <v>3215.23</v>
      </c>
      <c r="BI33" s="2">
        <v>1468.98</v>
      </c>
    </row>
    <row r="34" spans="1:61">
      <c r="A34" s="1">
        <v>31</v>
      </c>
      <c r="B34" s="2">
        <v>3636.6</v>
      </c>
      <c r="C34" s="2">
        <v>3133.44</v>
      </c>
      <c r="D34" s="2">
        <v>2611.1</v>
      </c>
      <c r="E34" s="2">
        <v>2923.91</v>
      </c>
      <c r="F34" s="2">
        <v>3244.11</v>
      </c>
      <c r="G34" s="2">
        <v>5718.03</v>
      </c>
      <c r="H34" s="2">
        <v>19660.41</v>
      </c>
      <c r="I34" s="2">
        <v>23847.13</v>
      </c>
      <c r="J34" s="2">
        <v>7445.33</v>
      </c>
      <c r="K34" s="2">
        <v>16964.05</v>
      </c>
      <c r="L34" s="2">
        <v>1649.75</v>
      </c>
      <c r="M34" s="2">
        <v>1914.22</v>
      </c>
      <c r="N34" s="2">
        <v>5365.27</v>
      </c>
      <c r="O34" s="2">
        <v>8282.18</v>
      </c>
      <c r="P34" s="2">
        <v>9119.83</v>
      </c>
      <c r="Q34" s="2">
        <v>3070.41</v>
      </c>
      <c r="R34" s="2">
        <v>4513.6899999999996</v>
      </c>
      <c r="S34" s="2">
        <v>5518.4</v>
      </c>
      <c r="T34" s="2">
        <v>3382.92</v>
      </c>
      <c r="U34" s="2">
        <v>8136.18</v>
      </c>
      <c r="V34" s="2">
        <v>10914.05</v>
      </c>
      <c r="W34" s="2">
        <v>33126.81</v>
      </c>
      <c r="X34" s="2">
        <v>38180.79</v>
      </c>
      <c r="Y34" s="2">
        <v>37248.620000000003</v>
      </c>
      <c r="Z34" s="2">
        <v>29703.14</v>
      </c>
      <c r="AA34" s="2">
        <v>29363.85</v>
      </c>
      <c r="AB34" s="2">
        <v>6420.9</v>
      </c>
      <c r="AC34" s="2">
        <v>3058.08</v>
      </c>
      <c r="AD34" s="2">
        <v>25180.41</v>
      </c>
      <c r="AE34" s="2">
        <v>5896.78</v>
      </c>
      <c r="AF34" s="2">
        <v>4195.7</v>
      </c>
      <c r="AG34" s="2">
        <v>17572.919999999998</v>
      </c>
      <c r="AH34" s="2">
        <v>10208.15</v>
      </c>
      <c r="AI34" s="2">
        <v>10110.31</v>
      </c>
      <c r="AJ34" s="2">
        <v>7136.53</v>
      </c>
      <c r="AK34" s="2">
        <v>2435.88</v>
      </c>
      <c r="AL34" s="2">
        <v>1673.19</v>
      </c>
      <c r="AM34" s="2">
        <v>1747.33</v>
      </c>
      <c r="AN34" s="2">
        <v>6055.85</v>
      </c>
      <c r="AO34" s="2">
        <v>4355.7700000000004</v>
      </c>
      <c r="AP34" s="2">
        <v>1983.71</v>
      </c>
      <c r="AQ34" s="2">
        <v>3880.46</v>
      </c>
      <c r="AR34" s="2">
        <v>3287.87</v>
      </c>
      <c r="AS34" s="2">
        <v>2642.16</v>
      </c>
      <c r="AT34" s="2">
        <v>5418.19</v>
      </c>
      <c r="AU34" s="2">
        <v>11925.49</v>
      </c>
      <c r="AV34" s="2">
        <v>5677.93</v>
      </c>
      <c r="AW34" s="2">
        <v>1330.16</v>
      </c>
      <c r="AX34" s="2">
        <v>3835.02</v>
      </c>
      <c r="AY34" s="2">
        <v>2532.73</v>
      </c>
      <c r="AZ34" s="2">
        <v>2751.85</v>
      </c>
      <c r="BA34" s="2">
        <v>2383.29</v>
      </c>
      <c r="BB34" s="2">
        <v>1816.35</v>
      </c>
      <c r="BC34" s="2">
        <v>7160.98</v>
      </c>
      <c r="BD34" s="2">
        <v>1807.98</v>
      </c>
      <c r="BE34" s="2">
        <v>3346.86</v>
      </c>
      <c r="BF34" s="2">
        <v>2370.7800000000002</v>
      </c>
      <c r="BG34" s="2">
        <v>1590.62</v>
      </c>
      <c r="BH34" s="2">
        <v>2372.7199999999998</v>
      </c>
      <c r="BI34" s="2">
        <v>1260.08</v>
      </c>
    </row>
    <row r="35" spans="1:61">
      <c r="A35" s="1">
        <v>32</v>
      </c>
      <c r="B35" s="2">
        <v>2870.77</v>
      </c>
      <c r="C35" s="2">
        <v>2358.9699999999998</v>
      </c>
      <c r="D35" s="2">
        <v>1906.25</v>
      </c>
      <c r="E35" s="2">
        <v>2341.75</v>
      </c>
      <c r="F35" s="2">
        <v>2707.13</v>
      </c>
      <c r="G35" s="2">
        <v>3791.86</v>
      </c>
      <c r="H35" s="2">
        <v>12648.28</v>
      </c>
      <c r="I35" s="2">
        <v>17571.490000000002</v>
      </c>
      <c r="J35" s="2">
        <v>6499.57</v>
      </c>
      <c r="K35" s="2">
        <v>11897.55</v>
      </c>
      <c r="L35" s="2">
        <v>1282.69</v>
      </c>
      <c r="M35" s="2">
        <v>1608.93</v>
      </c>
      <c r="N35" s="2">
        <v>3032.15</v>
      </c>
      <c r="O35" s="2">
        <v>7750.18</v>
      </c>
      <c r="P35" s="2">
        <v>7751.49</v>
      </c>
      <c r="Q35" s="2">
        <v>3349.08</v>
      </c>
      <c r="R35" s="2">
        <v>4101.95</v>
      </c>
      <c r="S35" s="2">
        <v>3785.13</v>
      </c>
      <c r="T35" s="2">
        <v>3465.47</v>
      </c>
      <c r="U35" s="2">
        <v>5850.48</v>
      </c>
      <c r="V35" s="2">
        <v>9695.99</v>
      </c>
      <c r="W35" s="2">
        <v>23067.48</v>
      </c>
      <c r="X35" s="2">
        <v>34180.17</v>
      </c>
      <c r="Y35" s="2">
        <v>29927.61</v>
      </c>
      <c r="Z35" s="2">
        <v>16352.5</v>
      </c>
      <c r="AA35" s="2">
        <v>23741.93</v>
      </c>
      <c r="AB35" s="2">
        <v>5099.88</v>
      </c>
      <c r="AC35" s="2">
        <v>2132.65</v>
      </c>
      <c r="AD35" s="2">
        <v>23088.35</v>
      </c>
      <c r="AE35" s="2">
        <v>4451.5</v>
      </c>
      <c r="AF35" s="2">
        <v>3276.8</v>
      </c>
      <c r="AG35" s="2">
        <v>14044.06</v>
      </c>
      <c r="AH35" s="2">
        <v>10317.68</v>
      </c>
      <c r="AI35" s="2">
        <v>8792.33</v>
      </c>
      <c r="AJ35" s="2">
        <v>6211.89</v>
      </c>
      <c r="AK35" s="2">
        <v>1853.91</v>
      </c>
      <c r="AL35" s="2">
        <v>1304.83</v>
      </c>
      <c r="AM35" s="2">
        <v>1553.24</v>
      </c>
      <c r="AN35" s="2">
        <v>6415.01</v>
      </c>
      <c r="AO35" s="2">
        <v>4688.05</v>
      </c>
      <c r="AP35" s="2">
        <v>1753.63</v>
      </c>
      <c r="AQ35" s="2">
        <v>3285.22</v>
      </c>
      <c r="AR35" s="2">
        <v>2919.63</v>
      </c>
      <c r="AS35" s="2">
        <v>2215.9899999999998</v>
      </c>
      <c r="AT35" s="2">
        <v>4320.8999999999996</v>
      </c>
      <c r="AU35" s="2">
        <v>10095.16</v>
      </c>
      <c r="AV35" s="2">
        <v>6443.91</v>
      </c>
      <c r="AW35" s="2">
        <v>1072.18</v>
      </c>
      <c r="AX35" s="2">
        <v>3313.84</v>
      </c>
      <c r="AY35" s="2">
        <v>2773.45</v>
      </c>
      <c r="AZ35" s="2">
        <v>2050.36</v>
      </c>
      <c r="BA35" s="2">
        <v>1900.64</v>
      </c>
      <c r="BB35" s="2">
        <v>1627.26</v>
      </c>
      <c r="BC35" s="2">
        <v>6099.29</v>
      </c>
      <c r="BD35" s="2">
        <v>1502.12</v>
      </c>
      <c r="BE35" s="2">
        <v>3948.89</v>
      </c>
      <c r="BF35" s="2">
        <v>2033.17</v>
      </c>
      <c r="BG35" s="2">
        <v>1296.79</v>
      </c>
      <c r="BH35" s="2">
        <v>2086.79</v>
      </c>
      <c r="BI35" s="2">
        <v>963.69</v>
      </c>
    </row>
    <row r="36" spans="1:61">
      <c r="A36" s="1">
        <v>33</v>
      </c>
      <c r="B36" s="2">
        <v>2256.94</v>
      </c>
      <c r="C36" s="2">
        <v>2317.35</v>
      </c>
      <c r="D36" s="2">
        <v>1982.99</v>
      </c>
      <c r="E36" s="2">
        <v>2232.6799999999998</v>
      </c>
      <c r="F36" s="2">
        <v>2326.8000000000002</v>
      </c>
      <c r="G36" s="2">
        <v>4599.1400000000003</v>
      </c>
      <c r="H36" s="2">
        <v>12497.42</v>
      </c>
      <c r="I36" s="2">
        <v>15611.83</v>
      </c>
      <c r="J36" s="2">
        <v>7248.19</v>
      </c>
      <c r="K36" s="2">
        <v>12203.5</v>
      </c>
      <c r="L36" s="2">
        <v>1243.76</v>
      </c>
      <c r="M36" s="2">
        <v>1737.89</v>
      </c>
      <c r="N36" s="2">
        <v>4278.53</v>
      </c>
      <c r="O36" s="2">
        <v>7140.15</v>
      </c>
      <c r="P36" s="2">
        <v>7883.54</v>
      </c>
      <c r="Q36" s="2">
        <v>2759.64</v>
      </c>
      <c r="R36" s="2">
        <v>4691.6400000000003</v>
      </c>
      <c r="S36" s="2">
        <v>4294.5</v>
      </c>
      <c r="T36" s="2">
        <v>3386.76</v>
      </c>
      <c r="U36" s="2">
        <v>6244.77</v>
      </c>
      <c r="V36" s="2">
        <v>8689.2199999999993</v>
      </c>
      <c r="W36" s="2">
        <v>23382.95</v>
      </c>
      <c r="X36" s="2">
        <v>32271.9</v>
      </c>
      <c r="Y36" s="2">
        <v>28219.23</v>
      </c>
      <c r="Z36" s="2">
        <v>18014.7</v>
      </c>
      <c r="AA36" s="2">
        <v>20518.939999999999</v>
      </c>
      <c r="AB36" s="2">
        <v>5729.33</v>
      </c>
      <c r="AC36" s="2">
        <v>2899.1</v>
      </c>
      <c r="AD36" s="2">
        <v>22683.15</v>
      </c>
      <c r="AE36" s="2">
        <v>4892.54</v>
      </c>
      <c r="AF36" s="2">
        <v>3664.71</v>
      </c>
      <c r="AG36" s="2">
        <v>13409.06</v>
      </c>
      <c r="AH36" s="2">
        <v>6902.85</v>
      </c>
      <c r="AI36" s="2">
        <v>8907.83</v>
      </c>
      <c r="AJ36" s="2">
        <v>4652.93</v>
      </c>
      <c r="AK36" s="2">
        <v>2272.3200000000002</v>
      </c>
      <c r="AL36" s="2">
        <v>1566.55</v>
      </c>
      <c r="AM36" s="2">
        <v>1214.8699999999999</v>
      </c>
      <c r="AN36" s="2">
        <v>4673.49</v>
      </c>
      <c r="AO36" s="2">
        <v>4311.18</v>
      </c>
      <c r="AP36" s="2">
        <v>1677.08</v>
      </c>
      <c r="AQ36" s="2">
        <v>3124.24</v>
      </c>
      <c r="AR36" s="2">
        <v>2505.84</v>
      </c>
      <c r="AS36" s="2">
        <v>2276.2800000000002</v>
      </c>
      <c r="AT36" s="2">
        <v>4742.09</v>
      </c>
      <c r="AU36" s="2">
        <v>10934.17</v>
      </c>
      <c r="AV36" s="2">
        <v>5688.12</v>
      </c>
      <c r="AW36" s="2">
        <v>1058.72</v>
      </c>
      <c r="AX36" s="2">
        <v>2787.36</v>
      </c>
      <c r="AY36" s="2">
        <v>2324.25</v>
      </c>
      <c r="AZ36" s="2">
        <v>2117.46</v>
      </c>
      <c r="BA36" s="2">
        <v>1927.66</v>
      </c>
      <c r="BB36" s="2">
        <v>1306.3499999999999</v>
      </c>
      <c r="BC36" s="2">
        <v>6943.36</v>
      </c>
      <c r="BD36" s="2">
        <v>1475.52</v>
      </c>
      <c r="BE36" s="2">
        <v>3969.4</v>
      </c>
      <c r="BF36" s="2">
        <v>1831.72</v>
      </c>
      <c r="BG36" s="2">
        <v>1077.8599999999999</v>
      </c>
      <c r="BH36" s="2">
        <v>2307.4699999999998</v>
      </c>
      <c r="BI36" s="2">
        <v>927.09</v>
      </c>
    </row>
    <row r="37" spans="1:61">
      <c r="A37" s="1">
        <v>34</v>
      </c>
      <c r="B37" s="2">
        <v>2335.35</v>
      </c>
      <c r="C37" s="2">
        <v>2311.4699999999998</v>
      </c>
      <c r="D37" s="2">
        <v>2033.45</v>
      </c>
      <c r="E37" s="2">
        <v>2029.25</v>
      </c>
      <c r="F37" s="2">
        <v>2850.17</v>
      </c>
      <c r="G37" s="2">
        <v>5237.01</v>
      </c>
      <c r="H37" s="2">
        <v>15284.78</v>
      </c>
      <c r="I37" s="2">
        <v>17427.740000000002</v>
      </c>
      <c r="J37" s="2">
        <v>6418.24</v>
      </c>
      <c r="K37" s="2">
        <v>12235.83</v>
      </c>
      <c r="L37" s="2">
        <v>1451.01</v>
      </c>
      <c r="M37" s="2">
        <v>1621.7</v>
      </c>
      <c r="N37" s="2">
        <v>4133.99</v>
      </c>
      <c r="O37" s="2">
        <v>5140.57</v>
      </c>
      <c r="P37" s="2">
        <v>6523.02</v>
      </c>
      <c r="Q37" s="2">
        <v>2842.88</v>
      </c>
      <c r="R37" s="2">
        <v>3987.4</v>
      </c>
      <c r="S37" s="2">
        <v>3767.6</v>
      </c>
      <c r="T37" s="2">
        <v>3503.11</v>
      </c>
      <c r="U37" s="2">
        <v>5082.16</v>
      </c>
      <c r="V37" s="2">
        <v>9634.51</v>
      </c>
      <c r="W37" s="2">
        <v>24540.11</v>
      </c>
      <c r="X37" s="2">
        <v>43535.4</v>
      </c>
      <c r="Y37" s="2">
        <v>27215.56</v>
      </c>
      <c r="Z37" s="2">
        <v>24437.14</v>
      </c>
      <c r="AA37" s="2">
        <v>27708.37</v>
      </c>
      <c r="AB37" s="2">
        <v>5743.07</v>
      </c>
      <c r="AC37" s="2">
        <v>2585.36</v>
      </c>
      <c r="AD37" s="2">
        <v>18283.14</v>
      </c>
      <c r="AE37" s="2">
        <v>4581.8100000000004</v>
      </c>
      <c r="AF37" s="2">
        <v>4053.53</v>
      </c>
      <c r="AG37" s="2">
        <v>14810.22</v>
      </c>
      <c r="AH37" s="2">
        <v>9001.11</v>
      </c>
      <c r="AI37" s="2">
        <v>8369.06</v>
      </c>
      <c r="AJ37" s="2">
        <v>6058.38</v>
      </c>
      <c r="AK37" s="2">
        <v>2422.67</v>
      </c>
      <c r="AL37" s="2">
        <v>1658.12</v>
      </c>
      <c r="AM37" s="2">
        <v>1683.08</v>
      </c>
      <c r="AN37" s="2">
        <v>3969.83</v>
      </c>
      <c r="AO37" s="2">
        <v>4150.68</v>
      </c>
      <c r="AP37" s="2">
        <v>1844.64</v>
      </c>
      <c r="AQ37" s="2">
        <v>2934.27</v>
      </c>
      <c r="AR37" s="2">
        <v>2721.47</v>
      </c>
      <c r="AS37" s="2">
        <v>2349.5</v>
      </c>
      <c r="AT37" s="2">
        <v>4883.82</v>
      </c>
      <c r="AU37" s="2">
        <v>11839.26</v>
      </c>
      <c r="AV37" s="2">
        <v>7548.72</v>
      </c>
      <c r="AW37" s="2">
        <v>983.67</v>
      </c>
      <c r="AX37" s="2">
        <v>2880.01</v>
      </c>
      <c r="AY37" s="2">
        <v>2573.48</v>
      </c>
      <c r="AZ37" s="2">
        <v>2081.1799999999998</v>
      </c>
      <c r="BA37" s="2">
        <v>1585.58</v>
      </c>
      <c r="BB37" s="2">
        <v>1476.38</v>
      </c>
      <c r="BC37" s="2">
        <v>7053.82</v>
      </c>
      <c r="BD37" s="2">
        <v>1387.02</v>
      </c>
      <c r="BE37" s="2">
        <v>4430.3999999999996</v>
      </c>
      <c r="BF37" s="2">
        <v>1976.83</v>
      </c>
      <c r="BG37" s="2">
        <v>1226.81</v>
      </c>
      <c r="BH37" s="2">
        <v>2096.92</v>
      </c>
      <c r="BI37" s="2">
        <v>1098.79</v>
      </c>
    </row>
    <row r="38" spans="1:61">
      <c r="A38" s="1">
        <v>35</v>
      </c>
      <c r="B38" s="2">
        <v>2962.2</v>
      </c>
      <c r="C38" s="2">
        <v>2541.13</v>
      </c>
      <c r="D38" s="2">
        <v>2565.6999999999998</v>
      </c>
      <c r="E38" s="2">
        <v>2478.69</v>
      </c>
      <c r="F38" s="2">
        <v>2855.84</v>
      </c>
      <c r="G38" s="2">
        <v>5927.13</v>
      </c>
      <c r="H38" s="2">
        <v>17552.34</v>
      </c>
      <c r="I38" s="2">
        <v>17792.38</v>
      </c>
      <c r="J38" s="2">
        <v>7000.7</v>
      </c>
      <c r="K38" s="2">
        <v>17535.32</v>
      </c>
      <c r="L38" s="2">
        <v>1559.05</v>
      </c>
      <c r="M38" s="2">
        <v>2216.14</v>
      </c>
      <c r="N38" s="2">
        <v>4556.32</v>
      </c>
      <c r="O38" s="2">
        <v>9977.65</v>
      </c>
      <c r="P38" s="2">
        <v>9608.2800000000007</v>
      </c>
      <c r="Q38" s="2">
        <v>3795.79</v>
      </c>
      <c r="R38" s="2">
        <v>4012.25</v>
      </c>
      <c r="S38" s="2">
        <v>5187.6400000000003</v>
      </c>
      <c r="T38" s="2">
        <v>3105.25</v>
      </c>
      <c r="U38" s="2">
        <v>7981.42</v>
      </c>
      <c r="V38" s="2">
        <v>11330.46</v>
      </c>
      <c r="W38" s="2">
        <v>27350.5</v>
      </c>
      <c r="X38" s="2">
        <v>48624.76</v>
      </c>
      <c r="Y38" s="2">
        <v>29711.95</v>
      </c>
      <c r="Z38" s="2">
        <v>26450.77</v>
      </c>
      <c r="AA38" s="2">
        <v>26024.09</v>
      </c>
      <c r="AB38" s="2">
        <v>6187.94</v>
      </c>
      <c r="AC38" s="2">
        <v>3063.7</v>
      </c>
      <c r="AD38" s="2">
        <v>25114.65</v>
      </c>
      <c r="AE38" s="2">
        <v>5823.1</v>
      </c>
      <c r="AF38" s="2">
        <v>4384.21</v>
      </c>
      <c r="AG38" s="2">
        <v>17463.060000000001</v>
      </c>
      <c r="AH38" s="2">
        <v>8679.84</v>
      </c>
      <c r="AI38" s="2">
        <v>8716.52</v>
      </c>
      <c r="AJ38" s="2">
        <v>6981.6</v>
      </c>
      <c r="AK38" s="2">
        <v>2265.5700000000002</v>
      </c>
      <c r="AL38" s="2">
        <v>1649.11</v>
      </c>
      <c r="AM38" s="2">
        <v>1459.76</v>
      </c>
      <c r="AN38" s="2">
        <v>5280.23</v>
      </c>
      <c r="AO38" s="2">
        <v>4198.54</v>
      </c>
      <c r="AP38" s="2">
        <v>1828.35</v>
      </c>
      <c r="AQ38" s="2">
        <v>3754.75</v>
      </c>
      <c r="AR38" s="2">
        <v>3782.41</v>
      </c>
      <c r="AS38" s="2">
        <v>2330.4499999999998</v>
      </c>
      <c r="AT38" s="2">
        <v>5183.6499999999996</v>
      </c>
      <c r="AU38" s="2">
        <v>12985.39</v>
      </c>
      <c r="AV38" s="2">
        <v>6675.32</v>
      </c>
      <c r="AW38" s="2">
        <v>1162.31</v>
      </c>
      <c r="AX38" s="2">
        <v>3472.27</v>
      </c>
      <c r="AY38" s="2">
        <v>2565.59</v>
      </c>
      <c r="AZ38" s="2">
        <v>2204.63</v>
      </c>
      <c r="BA38" s="2">
        <v>1853.75</v>
      </c>
      <c r="BB38" s="2">
        <v>1622.94</v>
      </c>
      <c r="BC38" s="2">
        <v>6288.11</v>
      </c>
      <c r="BD38" s="2">
        <v>1631.45</v>
      </c>
      <c r="BE38" s="2">
        <v>3842.92</v>
      </c>
      <c r="BF38" s="2">
        <v>2295.27</v>
      </c>
      <c r="BG38" s="2">
        <v>1547.23</v>
      </c>
      <c r="BH38" s="2">
        <v>2161.3200000000002</v>
      </c>
      <c r="BI38" s="2">
        <v>1050.67</v>
      </c>
    </row>
    <row r="39" spans="1:61">
      <c r="A39" s="1">
        <v>36</v>
      </c>
      <c r="B39" s="2">
        <v>3580.27</v>
      </c>
      <c r="C39" s="2">
        <v>3079.65</v>
      </c>
      <c r="D39" s="2">
        <v>2513.9699999999998</v>
      </c>
      <c r="E39" s="2">
        <v>2661.75</v>
      </c>
      <c r="F39" s="2">
        <v>3782.87</v>
      </c>
      <c r="G39" s="2">
        <v>5971.45</v>
      </c>
      <c r="H39" s="2">
        <v>22012</v>
      </c>
      <c r="I39" s="2">
        <v>24308.42</v>
      </c>
      <c r="J39" s="2">
        <v>9524.48</v>
      </c>
      <c r="K39" s="2">
        <v>19285.439999999999</v>
      </c>
      <c r="L39" s="2">
        <v>1962.03</v>
      </c>
      <c r="M39" s="2">
        <v>2354.7399999999998</v>
      </c>
      <c r="N39" s="2">
        <v>5967.57</v>
      </c>
      <c r="O39" s="2">
        <v>10450.379999999999</v>
      </c>
      <c r="P39" s="2">
        <v>10856.04</v>
      </c>
      <c r="Q39" s="2">
        <v>4348.79</v>
      </c>
      <c r="R39" s="2">
        <v>6374.34</v>
      </c>
      <c r="S39" s="2">
        <v>5975.95</v>
      </c>
      <c r="T39" s="2">
        <v>3786.52</v>
      </c>
      <c r="U39" s="2">
        <v>9420.67</v>
      </c>
      <c r="V39" s="2">
        <v>12383.63</v>
      </c>
      <c r="W39" s="2">
        <v>37770.33</v>
      </c>
      <c r="X39" s="2">
        <v>50736.18</v>
      </c>
      <c r="Y39" s="2">
        <v>44837.13</v>
      </c>
      <c r="Z39" s="2">
        <v>36491.730000000003</v>
      </c>
      <c r="AA39" s="2">
        <v>36938.22</v>
      </c>
      <c r="AB39" s="2">
        <v>8089.87</v>
      </c>
      <c r="AC39" s="2">
        <v>3439.18</v>
      </c>
      <c r="AD39" s="2">
        <v>27820.37</v>
      </c>
      <c r="AE39" s="2">
        <v>7233.27</v>
      </c>
      <c r="AF39" s="2">
        <v>5545.06</v>
      </c>
      <c r="AG39" s="2">
        <v>18918.55</v>
      </c>
      <c r="AH39" s="2">
        <v>12848.38</v>
      </c>
      <c r="AI39" s="2">
        <v>10457.08</v>
      </c>
      <c r="AJ39" s="2">
        <v>8353.3799999999992</v>
      </c>
      <c r="AK39" s="2">
        <v>3123.26</v>
      </c>
      <c r="AL39" s="2">
        <v>2162.33</v>
      </c>
      <c r="AM39" s="2">
        <v>2143.52</v>
      </c>
      <c r="AN39" s="2">
        <v>6881.84</v>
      </c>
      <c r="AO39" s="2">
        <v>6243.11</v>
      </c>
      <c r="AP39" s="2">
        <v>2479.6999999999998</v>
      </c>
      <c r="AQ39" s="2">
        <v>4416.88</v>
      </c>
      <c r="AR39" s="2">
        <v>3866.78</v>
      </c>
      <c r="AS39" s="2">
        <v>3063.63</v>
      </c>
      <c r="AT39" s="2">
        <v>6138.76</v>
      </c>
      <c r="AU39" s="2">
        <v>16198.77</v>
      </c>
      <c r="AV39" s="2">
        <v>9007.41</v>
      </c>
      <c r="AW39" s="2">
        <v>1408.22</v>
      </c>
      <c r="AX39" s="2">
        <v>4811.57</v>
      </c>
      <c r="AY39" s="2">
        <v>3762.59</v>
      </c>
      <c r="AZ39" s="2">
        <v>2808.72</v>
      </c>
      <c r="BA39" s="2">
        <v>2489.4699999999998</v>
      </c>
      <c r="BB39" s="2">
        <v>2358.7399999999998</v>
      </c>
      <c r="BC39" s="2">
        <v>7164.41</v>
      </c>
      <c r="BD39" s="2">
        <v>2038.02</v>
      </c>
      <c r="BE39" s="2">
        <v>5191.3</v>
      </c>
      <c r="BF39" s="2">
        <v>2512.77</v>
      </c>
      <c r="BG39" s="2">
        <v>1960.65</v>
      </c>
      <c r="BH39" s="2">
        <v>3311.46</v>
      </c>
      <c r="BI39" s="2">
        <v>1238.57</v>
      </c>
    </row>
    <row r="40" spans="1:61">
      <c r="A40" s="1">
        <v>37</v>
      </c>
      <c r="B40" s="2">
        <v>4077.09</v>
      </c>
      <c r="C40" s="2">
        <v>3593.11</v>
      </c>
      <c r="D40" s="2">
        <v>3851.09</v>
      </c>
      <c r="E40" s="2">
        <v>3401.49</v>
      </c>
      <c r="F40" s="2">
        <v>4250.79</v>
      </c>
      <c r="G40" s="2">
        <v>7985.33</v>
      </c>
      <c r="H40" s="2">
        <v>23278.78</v>
      </c>
      <c r="I40" s="2">
        <v>31583.66</v>
      </c>
      <c r="J40" s="2">
        <v>11324.25</v>
      </c>
      <c r="K40" s="2">
        <v>21814.75</v>
      </c>
      <c r="L40" s="2">
        <v>2100.66</v>
      </c>
      <c r="M40" s="2">
        <v>2494.61</v>
      </c>
      <c r="N40" s="2">
        <v>6503.61</v>
      </c>
      <c r="O40" s="2">
        <v>14207.04</v>
      </c>
      <c r="P40" s="2">
        <v>14512.33</v>
      </c>
      <c r="Q40" s="2">
        <v>4875.93</v>
      </c>
      <c r="R40" s="2">
        <v>8022.79</v>
      </c>
      <c r="S40" s="2">
        <v>7287.99</v>
      </c>
      <c r="T40" s="2">
        <v>4809.2299999999996</v>
      </c>
      <c r="U40" s="2">
        <v>10161.780000000001</v>
      </c>
      <c r="V40" s="2">
        <v>16007.72</v>
      </c>
      <c r="W40" s="2">
        <v>39346.9</v>
      </c>
      <c r="X40" s="2">
        <v>70026.009999999995</v>
      </c>
      <c r="Y40" s="2">
        <v>43522.64</v>
      </c>
      <c r="Z40" s="2">
        <v>38753.71</v>
      </c>
      <c r="AA40" s="2">
        <v>41221.56</v>
      </c>
      <c r="AB40" s="2">
        <v>10028.36</v>
      </c>
      <c r="AC40" s="2">
        <v>4379.62</v>
      </c>
      <c r="AD40" s="2">
        <v>34506.17</v>
      </c>
      <c r="AE40" s="2">
        <v>7534.92</v>
      </c>
      <c r="AF40" s="2">
        <v>6110.83</v>
      </c>
      <c r="AG40" s="2">
        <v>24635.72</v>
      </c>
      <c r="AH40" s="2">
        <v>17547.12</v>
      </c>
      <c r="AI40" s="2">
        <v>14772.47</v>
      </c>
      <c r="AJ40" s="2">
        <v>9995.4699999999993</v>
      </c>
      <c r="AK40" s="2">
        <v>3664</v>
      </c>
      <c r="AL40" s="2">
        <v>2427.39</v>
      </c>
      <c r="AM40" s="2">
        <v>2636.15</v>
      </c>
      <c r="AN40" s="2">
        <v>8045.76</v>
      </c>
      <c r="AO40" s="2">
        <v>6877.22</v>
      </c>
      <c r="AP40" s="2">
        <v>2785.67</v>
      </c>
      <c r="AQ40" s="2">
        <v>5265.91</v>
      </c>
      <c r="AR40" s="2">
        <v>4198.53</v>
      </c>
      <c r="AS40" s="2">
        <v>3498.1</v>
      </c>
      <c r="AT40" s="2">
        <v>6754.3</v>
      </c>
      <c r="AU40" s="2">
        <v>21090.53</v>
      </c>
      <c r="AV40" s="2">
        <v>11170.49</v>
      </c>
      <c r="AW40" s="2">
        <v>1801.64</v>
      </c>
      <c r="AX40" s="2">
        <v>5457.42</v>
      </c>
      <c r="AY40" s="2">
        <v>4247.01</v>
      </c>
      <c r="AZ40" s="2">
        <v>3458.64</v>
      </c>
      <c r="BA40" s="2">
        <v>2721.07</v>
      </c>
      <c r="BB40" s="2">
        <v>2466.41</v>
      </c>
      <c r="BC40" s="2">
        <v>11070.32</v>
      </c>
      <c r="BD40" s="2">
        <v>2439.83</v>
      </c>
      <c r="BE40" s="2">
        <v>5875.74</v>
      </c>
      <c r="BF40" s="2">
        <v>3285.54</v>
      </c>
      <c r="BG40" s="2">
        <v>1833.73</v>
      </c>
      <c r="BH40" s="2">
        <v>3559.08</v>
      </c>
      <c r="BI40" s="2">
        <v>1395.05</v>
      </c>
    </row>
    <row r="41" spans="1:61">
      <c r="A41" s="1">
        <v>38</v>
      </c>
      <c r="B41" s="2">
        <v>3808.08</v>
      </c>
      <c r="C41" s="2">
        <v>2479.04</v>
      </c>
      <c r="D41" s="2">
        <v>2504.9699999999998</v>
      </c>
      <c r="E41" s="2">
        <v>3265.26</v>
      </c>
      <c r="F41" s="2">
        <v>3278.32</v>
      </c>
      <c r="G41" s="2">
        <v>5300.68</v>
      </c>
      <c r="H41" s="2">
        <v>20885.23</v>
      </c>
      <c r="I41" s="2">
        <v>25888.98</v>
      </c>
      <c r="J41" s="2">
        <v>8081.99</v>
      </c>
      <c r="K41" s="2">
        <v>16249.54</v>
      </c>
      <c r="L41" s="2">
        <v>1715.12</v>
      </c>
      <c r="M41" s="2">
        <v>2354.25</v>
      </c>
      <c r="N41" s="2">
        <v>4593.47</v>
      </c>
      <c r="O41" s="2">
        <v>9464.39</v>
      </c>
      <c r="P41" s="2">
        <v>10658.41</v>
      </c>
      <c r="Q41" s="2">
        <v>3779.98</v>
      </c>
      <c r="R41" s="2">
        <v>5050.6400000000003</v>
      </c>
      <c r="S41" s="2">
        <v>5424.55</v>
      </c>
      <c r="T41" s="2">
        <v>3973.9</v>
      </c>
      <c r="U41" s="2">
        <v>7154.42</v>
      </c>
      <c r="V41" s="2">
        <v>12210.97</v>
      </c>
      <c r="W41" s="2">
        <v>34707.19</v>
      </c>
      <c r="X41" s="2">
        <v>53270.11</v>
      </c>
      <c r="Y41" s="2">
        <v>31800.14</v>
      </c>
      <c r="Z41" s="2">
        <v>36321.410000000003</v>
      </c>
      <c r="AA41" s="2">
        <v>30755.53</v>
      </c>
      <c r="AB41" s="2">
        <v>7214.17</v>
      </c>
      <c r="AC41" s="2">
        <v>2895.18</v>
      </c>
      <c r="AD41" s="2">
        <v>24524.11</v>
      </c>
      <c r="AE41" s="2">
        <v>6156.24</v>
      </c>
      <c r="AF41" s="2">
        <v>4848.12</v>
      </c>
      <c r="AG41" s="2">
        <v>15657.1</v>
      </c>
      <c r="AH41" s="2">
        <v>12270.48</v>
      </c>
      <c r="AI41" s="2">
        <v>9924.39</v>
      </c>
      <c r="AJ41" s="2">
        <v>9367.3700000000008</v>
      </c>
      <c r="AK41" s="2">
        <v>2611.54</v>
      </c>
      <c r="AL41" s="2">
        <v>2059.2600000000002</v>
      </c>
      <c r="AM41" s="2">
        <v>1656.79</v>
      </c>
      <c r="AN41" s="2">
        <v>6533.88</v>
      </c>
      <c r="AO41" s="2">
        <v>4921.6000000000004</v>
      </c>
      <c r="AP41" s="2">
        <v>2534.2199999999998</v>
      </c>
      <c r="AQ41" s="2">
        <v>4256.3500000000004</v>
      </c>
      <c r="AR41" s="2">
        <v>3642.84</v>
      </c>
      <c r="AS41" s="2">
        <v>2573.52</v>
      </c>
      <c r="AT41" s="2">
        <v>5751.16</v>
      </c>
      <c r="AU41" s="2">
        <v>15327.14</v>
      </c>
      <c r="AV41" s="2">
        <v>8450.7900000000009</v>
      </c>
      <c r="AW41" s="2">
        <v>1277.55</v>
      </c>
      <c r="AX41" s="2">
        <v>4513.24</v>
      </c>
      <c r="AY41" s="2">
        <v>3145.52</v>
      </c>
      <c r="AZ41" s="2">
        <v>2580.02</v>
      </c>
      <c r="BA41" s="2">
        <v>2202.0500000000002</v>
      </c>
      <c r="BB41" s="2">
        <v>1927.09</v>
      </c>
      <c r="BC41" s="2">
        <v>7564.84</v>
      </c>
      <c r="BD41" s="2">
        <v>1966.12</v>
      </c>
      <c r="BE41" s="2">
        <v>4856.1899999999996</v>
      </c>
      <c r="BF41" s="2">
        <v>2628.02</v>
      </c>
      <c r="BG41" s="2">
        <v>1559.58</v>
      </c>
      <c r="BH41" s="2">
        <v>2929.2</v>
      </c>
      <c r="BI41" s="2">
        <v>1240.06</v>
      </c>
    </row>
    <row r="42" spans="1:61">
      <c r="A42" s="1">
        <v>39</v>
      </c>
      <c r="B42" s="2">
        <v>2788.92</v>
      </c>
      <c r="C42" s="2">
        <v>2597.19</v>
      </c>
      <c r="D42" s="2">
        <v>2448.09</v>
      </c>
      <c r="E42" s="2">
        <v>2012.36</v>
      </c>
      <c r="F42" s="2">
        <v>2688.75</v>
      </c>
      <c r="G42" s="2">
        <v>5087.59</v>
      </c>
      <c r="H42" s="2">
        <v>14128.97</v>
      </c>
      <c r="I42" s="2">
        <v>14709.13</v>
      </c>
      <c r="J42" s="2">
        <v>6489.11</v>
      </c>
      <c r="K42" s="2">
        <v>12807.8</v>
      </c>
      <c r="L42" s="2">
        <v>1065.82</v>
      </c>
      <c r="M42" s="2">
        <v>1843.58</v>
      </c>
      <c r="N42" s="2">
        <v>3723.61</v>
      </c>
      <c r="O42" s="2">
        <v>7411.11</v>
      </c>
      <c r="P42" s="2">
        <v>8915.2000000000007</v>
      </c>
      <c r="Q42" s="2">
        <v>3293.84</v>
      </c>
      <c r="R42" s="2">
        <v>4664.6899999999996</v>
      </c>
      <c r="S42" s="2">
        <v>4214.67</v>
      </c>
      <c r="T42" s="2">
        <v>4266.1899999999996</v>
      </c>
      <c r="U42" s="2">
        <v>6403.11</v>
      </c>
      <c r="V42" s="2">
        <v>10590.71</v>
      </c>
      <c r="W42" s="2">
        <v>20885.580000000002</v>
      </c>
      <c r="X42" s="2">
        <v>38015.57</v>
      </c>
      <c r="Y42" s="2">
        <v>35276.01</v>
      </c>
      <c r="Z42" s="2">
        <v>27959.05</v>
      </c>
      <c r="AA42" s="2">
        <v>27028.05</v>
      </c>
      <c r="AB42" s="2">
        <v>5943.26</v>
      </c>
      <c r="AC42" s="2">
        <v>2486.2199999999998</v>
      </c>
      <c r="AD42" s="2">
        <v>23884.45</v>
      </c>
      <c r="AE42" s="2">
        <v>4691.8500000000004</v>
      </c>
      <c r="AF42" s="2">
        <v>3946.04</v>
      </c>
      <c r="AG42" s="2">
        <v>12783.6</v>
      </c>
      <c r="AH42" s="2">
        <v>10987.64</v>
      </c>
      <c r="AI42" s="2">
        <v>6772.08</v>
      </c>
      <c r="AJ42" s="2">
        <v>7434.3</v>
      </c>
      <c r="AK42" s="2">
        <v>1750.16</v>
      </c>
      <c r="AL42" s="2">
        <v>1640.15</v>
      </c>
      <c r="AM42" s="2">
        <v>1575.53</v>
      </c>
      <c r="AN42" s="2">
        <v>5247.49</v>
      </c>
      <c r="AO42" s="2">
        <v>4585.6400000000003</v>
      </c>
      <c r="AP42" s="2">
        <v>1752.74</v>
      </c>
      <c r="AQ42" s="2">
        <v>3455.29</v>
      </c>
      <c r="AR42" s="2">
        <v>2723.05</v>
      </c>
      <c r="AS42" s="2">
        <v>2472.56</v>
      </c>
      <c r="AT42" s="2">
        <v>5110.16</v>
      </c>
      <c r="AU42" s="2">
        <v>14220.19</v>
      </c>
      <c r="AV42" s="2">
        <v>7153</v>
      </c>
      <c r="AW42" s="2">
        <v>997.55</v>
      </c>
      <c r="AX42" s="2">
        <v>3170.7</v>
      </c>
      <c r="AY42" s="2">
        <v>2503.67</v>
      </c>
      <c r="AZ42" s="2">
        <v>2128.9699999999998</v>
      </c>
      <c r="BA42" s="2">
        <v>1835.47</v>
      </c>
      <c r="BB42" s="2">
        <v>1679.11</v>
      </c>
      <c r="BC42" s="2">
        <v>7545.12</v>
      </c>
      <c r="BD42" s="2">
        <v>1584.01</v>
      </c>
      <c r="BE42" s="2">
        <v>4313.47</v>
      </c>
      <c r="BF42" s="2">
        <v>2198.9299999999998</v>
      </c>
      <c r="BG42" s="2">
        <v>1540.01</v>
      </c>
      <c r="BH42" s="2">
        <v>2231.98</v>
      </c>
      <c r="BI42" s="2">
        <v>897.1</v>
      </c>
    </row>
    <row r="43" spans="1:61">
      <c r="A43" s="1">
        <v>40</v>
      </c>
      <c r="B43" s="2">
        <v>2557.6</v>
      </c>
      <c r="C43" s="2">
        <v>2676.01</v>
      </c>
      <c r="D43" s="2">
        <v>2101.9</v>
      </c>
      <c r="E43" s="2">
        <v>2363.88</v>
      </c>
      <c r="F43" s="2">
        <v>2536.88</v>
      </c>
      <c r="G43" s="2">
        <v>4307.87</v>
      </c>
      <c r="H43" s="2">
        <v>15355.71</v>
      </c>
      <c r="I43" s="2">
        <v>16465.310000000001</v>
      </c>
      <c r="J43" s="2">
        <v>7045.67</v>
      </c>
      <c r="K43" s="2">
        <v>15743.56</v>
      </c>
      <c r="L43" s="2">
        <v>1495.99</v>
      </c>
      <c r="M43" s="2">
        <v>1673.02</v>
      </c>
      <c r="N43" s="2">
        <v>5012.5600000000004</v>
      </c>
      <c r="O43" s="2">
        <v>6047.71</v>
      </c>
      <c r="P43" s="2">
        <v>8507.9500000000007</v>
      </c>
      <c r="Q43" s="2">
        <v>2865.96</v>
      </c>
      <c r="R43" s="2">
        <v>4542.74</v>
      </c>
      <c r="S43" s="2">
        <v>4307.28</v>
      </c>
      <c r="T43" s="2">
        <v>2823.76</v>
      </c>
      <c r="U43" s="2">
        <v>6764.96</v>
      </c>
      <c r="V43" s="2">
        <v>9141.82</v>
      </c>
      <c r="W43" s="2">
        <v>24525.27</v>
      </c>
      <c r="X43" s="2">
        <v>41601.42</v>
      </c>
      <c r="Y43" s="2">
        <v>33257.46</v>
      </c>
      <c r="Z43" s="2">
        <v>25746.02</v>
      </c>
      <c r="AA43" s="2">
        <v>22158.35</v>
      </c>
      <c r="AB43" s="2">
        <v>6065.7</v>
      </c>
      <c r="AC43" s="2">
        <v>2154.7199999999998</v>
      </c>
      <c r="AD43" s="2">
        <v>21642.35</v>
      </c>
      <c r="AE43" s="2">
        <v>4478.2299999999996</v>
      </c>
      <c r="AF43" s="2">
        <v>3442.62</v>
      </c>
      <c r="AG43" s="2">
        <v>16587.62</v>
      </c>
      <c r="AH43" s="2">
        <v>9423.35</v>
      </c>
      <c r="AI43" s="2">
        <v>6860.64</v>
      </c>
      <c r="AJ43" s="2">
        <v>6599.52</v>
      </c>
      <c r="AK43" s="2">
        <v>2118.23</v>
      </c>
      <c r="AL43" s="2">
        <v>1763.3</v>
      </c>
      <c r="AM43" s="2">
        <v>1544.21</v>
      </c>
      <c r="AN43" s="2">
        <v>5677.15</v>
      </c>
      <c r="AO43" s="2">
        <v>4820.4399999999996</v>
      </c>
      <c r="AP43" s="2">
        <v>1647.23</v>
      </c>
      <c r="AQ43" s="2">
        <v>3273.8</v>
      </c>
      <c r="AR43" s="2">
        <v>2353.3000000000002</v>
      </c>
      <c r="AS43" s="2">
        <v>2162.0100000000002</v>
      </c>
      <c r="AT43" s="2">
        <v>5207.59</v>
      </c>
      <c r="AU43" s="2">
        <v>12480.65</v>
      </c>
      <c r="AV43" s="2">
        <v>6626.11</v>
      </c>
      <c r="AW43" s="2">
        <v>1174.8499999999999</v>
      </c>
      <c r="AX43" s="2">
        <v>3323.76</v>
      </c>
      <c r="AY43" s="2">
        <v>2826.97</v>
      </c>
      <c r="AZ43" s="2">
        <v>1754.74</v>
      </c>
      <c r="BA43" s="2">
        <v>2022.09</v>
      </c>
      <c r="BB43" s="2">
        <v>1767.45</v>
      </c>
      <c r="BC43" s="2">
        <v>6459.79</v>
      </c>
      <c r="BD43" s="2">
        <v>1527.97</v>
      </c>
      <c r="BE43" s="2">
        <v>4388.4799999999996</v>
      </c>
      <c r="BF43" s="2">
        <v>1969.42</v>
      </c>
      <c r="BG43" s="2">
        <v>1298.9100000000001</v>
      </c>
      <c r="BH43" s="2">
        <v>2524.52</v>
      </c>
      <c r="BI43" s="2">
        <v>961.69</v>
      </c>
    </row>
    <row r="44" spans="1:61">
      <c r="A44" s="1">
        <v>41</v>
      </c>
      <c r="B44" s="2">
        <v>3041.08</v>
      </c>
      <c r="C44" s="2">
        <v>2512.35</v>
      </c>
      <c r="D44" s="2">
        <v>2225.52</v>
      </c>
      <c r="E44" s="2">
        <v>2182.34</v>
      </c>
      <c r="F44" s="2">
        <v>3051.85</v>
      </c>
      <c r="G44" s="2">
        <v>4977.4399999999996</v>
      </c>
      <c r="H44" s="2">
        <v>15864.84</v>
      </c>
      <c r="I44" s="2">
        <v>18919.36</v>
      </c>
      <c r="J44" s="2">
        <v>7893.35</v>
      </c>
      <c r="K44" s="2">
        <v>14273.19</v>
      </c>
      <c r="L44" s="2">
        <v>1309.06</v>
      </c>
      <c r="M44" s="2">
        <v>1891.08</v>
      </c>
      <c r="N44" s="2">
        <v>4592.6899999999996</v>
      </c>
      <c r="O44" s="2">
        <v>7403</v>
      </c>
      <c r="P44" s="2">
        <v>7114.79</v>
      </c>
      <c r="Q44" s="2">
        <v>3492.98</v>
      </c>
      <c r="R44" s="2">
        <v>4779.82</v>
      </c>
      <c r="S44" s="2">
        <v>4092.86</v>
      </c>
      <c r="T44" s="2">
        <v>3180.64</v>
      </c>
      <c r="U44" s="2">
        <v>7109</v>
      </c>
      <c r="V44" s="2">
        <v>10814.27</v>
      </c>
      <c r="W44" s="2">
        <v>22049.06</v>
      </c>
      <c r="X44" s="2">
        <v>35875.879999999997</v>
      </c>
      <c r="Y44" s="2">
        <v>33024.980000000003</v>
      </c>
      <c r="Z44" s="2">
        <v>24239.360000000001</v>
      </c>
      <c r="AA44" s="2">
        <v>30726.83</v>
      </c>
      <c r="AB44" s="2">
        <v>5680.1</v>
      </c>
      <c r="AC44" s="2">
        <v>2804.46</v>
      </c>
      <c r="AD44" s="2">
        <v>20788.61</v>
      </c>
      <c r="AE44" s="2">
        <v>5405.48</v>
      </c>
      <c r="AF44" s="2">
        <v>4628.91</v>
      </c>
      <c r="AG44" s="2">
        <v>14488.35</v>
      </c>
      <c r="AH44" s="2">
        <v>10167.56</v>
      </c>
      <c r="AI44" s="2">
        <v>8004.08</v>
      </c>
      <c r="AJ44" s="2">
        <v>6021.19</v>
      </c>
      <c r="AK44" s="2">
        <v>2450.87</v>
      </c>
      <c r="AL44" s="2">
        <v>1730.32</v>
      </c>
      <c r="AM44" s="2">
        <v>1438.3</v>
      </c>
      <c r="AN44" s="2">
        <v>4907.3500000000004</v>
      </c>
      <c r="AO44" s="2">
        <v>4617.4799999999996</v>
      </c>
      <c r="AP44" s="2">
        <v>1810.34</v>
      </c>
      <c r="AQ44" s="2">
        <v>3489.78</v>
      </c>
      <c r="AR44" s="2">
        <v>2679.96</v>
      </c>
      <c r="AS44" s="2">
        <v>2315.19</v>
      </c>
      <c r="AT44" s="2">
        <v>5369.93</v>
      </c>
      <c r="AU44" s="2">
        <v>13893.24</v>
      </c>
      <c r="AV44" s="2">
        <v>7108.66</v>
      </c>
      <c r="AW44" s="2">
        <v>1140.94</v>
      </c>
      <c r="AX44" s="2">
        <v>3005.83</v>
      </c>
      <c r="AY44" s="2">
        <v>2289.02</v>
      </c>
      <c r="AZ44" s="2">
        <v>1814.73</v>
      </c>
      <c r="BA44" s="2">
        <v>2041.97</v>
      </c>
      <c r="BB44" s="2">
        <v>1642.51</v>
      </c>
      <c r="BC44" s="2">
        <v>7627.07</v>
      </c>
      <c r="BD44" s="2">
        <v>1688.51</v>
      </c>
      <c r="BE44" s="2">
        <v>3616.56</v>
      </c>
      <c r="BF44" s="2">
        <v>2247.9699999999998</v>
      </c>
      <c r="BG44" s="2">
        <v>1361.29</v>
      </c>
      <c r="BH44" s="2">
        <v>2062.77</v>
      </c>
      <c r="BI44" s="2">
        <v>988.24</v>
      </c>
    </row>
    <row r="45" spans="1:61">
      <c r="A45" s="1">
        <v>42</v>
      </c>
      <c r="B45" s="2">
        <v>3692.58</v>
      </c>
      <c r="C45" s="2">
        <v>2510.27</v>
      </c>
      <c r="D45" s="2">
        <v>2542.71</v>
      </c>
      <c r="E45" s="2">
        <v>2659.4</v>
      </c>
      <c r="F45" s="2">
        <v>3048.3</v>
      </c>
      <c r="G45" s="2">
        <v>3843.79</v>
      </c>
      <c r="H45" s="2">
        <v>16848.88</v>
      </c>
      <c r="I45" s="2">
        <v>19578.310000000001</v>
      </c>
      <c r="J45" s="2">
        <v>8540.39</v>
      </c>
      <c r="K45" s="2">
        <v>17340.39</v>
      </c>
      <c r="L45" s="2">
        <v>1646.57</v>
      </c>
      <c r="M45" s="2">
        <v>2123.31</v>
      </c>
      <c r="N45" s="2">
        <v>4306.8100000000004</v>
      </c>
      <c r="O45" s="2">
        <v>7455.02</v>
      </c>
      <c r="P45" s="2">
        <v>10294.74</v>
      </c>
      <c r="Q45" s="2">
        <v>3504.27</v>
      </c>
      <c r="R45" s="2">
        <v>5491.49</v>
      </c>
      <c r="S45" s="2">
        <v>5176.42</v>
      </c>
      <c r="T45" s="2">
        <v>4348.0200000000004</v>
      </c>
      <c r="U45" s="2">
        <v>8114.93</v>
      </c>
      <c r="V45" s="2">
        <v>10605.26</v>
      </c>
      <c r="W45" s="2">
        <v>30524.07</v>
      </c>
      <c r="X45" s="2">
        <v>44934.1</v>
      </c>
      <c r="Y45" s="2">
        <v>34277.129999999997</v>
      </c>
      <c r="Z45" s="2">
        <v>29053.97</v>
      </c>
      <c r="AA45" s="2">
        <v>24010.65</v>
      </c>
      <c r="AB45" s="2">
        <v>6175.69</v>
      </c>
      <c r="AC45" s="2">
        <v>2462.9499999999998</v>
      </c>
      <c r="AD45" s="2">
        <v>27171</v>
      </c>
      <c r="AE45" s="2">
        <v>5802.19</v>
      </c>
      <c r="AF45" s="2">
        <v>4087.25</v>
      </c>
      <c r="AG45" s="2">
        <v>16102.35</v>
      </c>
      <c r="AH45" s="2">
        <v>11434.06</v>
      </c>
      <c r="AI45" s="2">
        <v>8326.8700000000008</v>
      </c>
      <c r="AJ45" s="2">
        <v>7222.09</v>
      </c>
      <c r="AK45" s="2">
        <v>2423.31</v>
      </c>
      <c r="AL45" s="2">
        <v>1573.76</v>
      </c>
      <c r="AM45" s="2">
        <v>1896.88</v>
      </c>
      <c r="AN45" s="2">
        <v>5661.42</v>
      </c>
      <c r="AO45" s="2">
        <v>5297.88</v>
      </c>
      <c r="AP45" s="2">
        <v>1979.36</v>
      </c>
      <c r="AQ45" s="2">
        <v>3970.33</v>
      </c>
      <c r="AR45" s="2">
        <v>3192.94</v>
      </c>
      <c r="AS45" s="2">
        <v>2662.53</v>
      </c>
      <c r="AT45" s="2">
        <v>5839.65</v>
      </c>
      <c r="AU45" s="2">
        <v>13374.74</v>
      </c>
      <c r="AV45" s="2">
        <v>6558.86</v>
      </c>
      <c r="AW45" s="2">
        <v>1138.9100000000001</v>
      </c>
      <c r="AX45" s="2">
        <v>3301.16</v>
      </c>
      <c r="AY45" s="2">
        <v>2932.85</v>
      </c>
      <c r="AZ45" s="2">
        <v>2606.94</v>
      </c>
      <c r="BA45" s="2">
        <v>2180.3000000000002</v>
      </c>
      <c r="BB45" s="2">
        <v>1769.46</v>
      </c>
      <c r="BC45" s="2">
        <v>6692.72</v>
      </c>
      <c r="BD45" s="2">
        <v>1736.9</v>
      </c>
      <c r="BE45" s="2">
        <v>4126.22</v>
      </c>
      <c r="BF45" s="2">
        <v>2162.33</v>
      </c>
      <c r="BG45" s="2">
        <v>1334.04</v>
      </c>
      <c r="BH45" s="2">
        <v>2484.35</v>
      </c>
      <c r="BI45" s="2">
        <v>1088.6400000000001</v>
      </c>
    </row>
    <row r="46" spans="1:61">
      <c r="A46" s="1">
        <v>43</v>
      </c>
      <c r="B46" s="2">
        <v>3736.47</v>
      </c>
      <c r="C46" s="2">
        <v>3478.21</v>
      </c>
      <c r="D46" s="2">
        <v>3138.95</v>
      </c>
      <c r="E46" s="2">
        <v>3334.31</v>
      </c>
      <c r="F46" s="2">
        <v>3664.44</v>
      </c>
      <c r="G46" s="2">
        <v>6530.34</v>
      </c>
      <c r="H46" s="2">
        <v>22707.85</v>
      </c>
      <c r="I46" s="2">
        <v>28743.63</v>
      </c>
      <c r="J46" s="2">
        <v>10356.67</v>
      </c>
      <c r="K46" s="2">
        <v>20418.59</v>
      </c>
      <c r="L46" s="2">
        <v>2222.37</v>
      </c>
      <c r="M46" s="2">
        <v>2660.83</v>
      </c>
      <c r="N46" s="2">
        <v>5718.78</v>
      </c>
      <c r="O46" s="2">
        <v>11134.6</v>
      </c>
      <c r="P46" s="2">
        <v>11142.73</v>
      </c>
      <c r="Q46" s="2">
        <v>4913.5600000000004</v>
      </c>
      <c r="R46" s="2">
        <v>6712.09</v>
      </c>
      <c r="S46" s="2">
        <v>6603.38</v>
      </c>
      <c r="T46" s="2">
        <v>4394.24</v>
      </c>
      <c r="U46" s="2">
        <v>10287.08</v>
      </c>
      <c r="V46" s="2">
        <v>13695.52</v>
      </c>
      <c r="W46" s="2">
        <v>39143.39</v>
      </c>
      <c r="X46" s="2">
        <v>55933.72</v>
      </c>
      <c r="Y46" s="2">
        <v>44836.86</v>
      </c>
      <c r="Z46" s="2">
        <v>36442.800000000003</v>
      </c>
      <c r="AA46" s="2">
        <v>34754.720000000001</v>
      </c>
      <c r="AB46" s="2">
        <v>7936.18</v>
      </c>
      <c r="AC46" s="2">
        <v>3124.9</v>
      </c>
      <c r="AD46" s="2">
        <v>33280.35</v>
      </c>
      <c r="AE46" s="2">
        <v>7683.47</v>
      </c>
      <c r="AF46" s="2">
        <v>4961.3999999999996</v>
      </c>
      <c r="AG46" s="2">
        <v>20834.62</v>
      </c>
      <c r="AH46" s="2">
        <v>14112.95</v>
      </c>
      <c r="AI46" s="2">
        <v>11063.13</v>
      </c>
      <c r="AJ46" s="2">
        <v>8791.82</v>
      </c>
      <c r="AK46" s="2">
        <v>3513.73</v>
      </c>
      <c r="AL46" s="2">
        <v>2327.75</v>
      </c>
      <c r="AM46" s="2">
        <v>2299.19</v>
      </c>
      <c r="AN46" s="2">
        <v>8001.84</v>
      </c>
      <c r="AO46" s="2">
        <v>5539.2</v>
      </c>
      <c r="AP46" s="2">
        <v>2619.31</v>
      </c>
      <c r="AQ46" s="2">
        <v>4858.78</v>
      </c>
      <c r="AR46" s="2">
        <v>4336.96</v>
      </c>
      <c r="AS46" s="2">
        <v>3195.75</v>
      </c>
      <c r="AT46" s="2">
        <v>7376.57</v>
      </c>
      <c r="AU46" s="2">
        <v>18422.21</v>
      </c>
      <c r="AV46" s="2">
        <v>9302.7999999999993</v>
      </c>
      <c r="AW46" s="2">
        <v>1426.4</v>
      </c>
      <c r="AX46" s="2">
        <v>4781.5600000000004</v>
      </c>
      <c r="AY46" s="2">
        <v>4313.92</v>
      </c>
      <c r="AZ46" s="2">
        <v>2846.87</v>
      </c>
      <c r="BA46" s="2">
        <v>2423.44</v>
      </c>
      <c r="BB46" s="2">
        <v>2370.59</v>
      </c>
      <c r="BC46" s="2">
        <v>9111.93</v>
      </c>
      <c r="BD46" s="2">
        <v>2200.31</v>
      </c>
      <c r="BE46" s="2">
        <v>5706.41</v>
      </c>
      <c r="BF46" s="2">
        <v>2890.82</v>
      </c>
      <c r="BG46" s="2">
        <v>1796.35</v>
      </c>
      <c r="BH46" s="2">
        <v>3084.57</v>
      </c>
      <c r="BI46" s="2">
        <v>1323.71</v>
      </c>
    </row>
    <row r="47" spans="1:61">
      <c r="A47" s="1">
        <v>44</v>
      </c>
      <c r="B47" s="2">
        <v>5010.79</v>
      </c>
      <c r="C47" s="2">
        <v>3814.64</v>
      </c>
      <c r="D47" s="2">
        <v>3696.37</v>
      </c>
      <c r="E47" s="2">
        <v>3835.93</v>
      </c>
      <c r="F47" s="2">
        <v>4475.18</v>
      </c>
      <c r="G47" s="2">
        <v>7930.26</v>
      </c>
      <c r="H47" s="2">
        <v>25265.78</v>
      </c>
      <c r="I47" s="2">
        <v>33972.51</v>
      </c>
      <c r="J47" s="2">
        <v>12682.92</v>
      </c>
      <c r="K47" s="2">
        <v>22512.240000000002</v>
      </c>
      <c r="L47" s="2">
        <v>2216.11</v>
      </c>
      <c r="M47" s="2">
        <v>3126.96</v>
      </c>
      <c r="N47" s="2">
        <v>7477.84</v>
      </c>
      <c r="O47" s="2">
        <v>12817.59</v>
      </c>
      <c r="P47" s="2">
        <v>14073.01</v>
      </c>
      <c r="Q47" s="2">
        <v>5767.37</v>
      </c>
      <c r="R47" s="2">
        <v>7636.37</v>
      </c>
      <c r="S47" s="2">
        <v>7567.42</v>
      </c>
      <c r="T47" s="2">
        <v>5545.9</v>
      </c>
      <c r="U47" s="2">
        <v>10958.76</v>
      </c>
      <c r="V47" s="2">
        <v>15067.31</v>
      </c>
      <c r="W47" s="2">
        <v>41686.58</v>
      </c>
      <c r="X47" s="2">
        <v>64236.37</v>
      </c>
      <c r="Y47" s="2">
        <v>52172.05</v>
      </c>
      <c r="Z47" s="2">
        <v>44248.47</v>
      </c>
      <c r="AA47" s="2">
        <v>40956</v>
      </c>
      <c r="AB47" s="2">
        <v>9546.66</v>
      </c>
      <c r="AC47" s="2">
        <v>4023.49</v>
      </c>
      <c r="AD47" s="2">
        <v>37997.43</v>
      </c>
      <c r="AE47" s="2">
        <v>8150.22</v>
      </c>
      <c r="AF47" s="2">
        <v>6888.8</v>
      </c>
      <c r="AG47" s="2">
        <v>24257.5</v>
      </c>
      <c r="AH47" s="2">
        <v>16337.87</v>
      </c>
      <c r="AI47" s="2">
        <v>14518.11</v>
      </c>
      <c r="AJ47" s="2">
        <v>12392.55</v>
      </c>
      <c r="AK47" s="2">
        <v>3839.99</v>
      </c>
      <c r="AL47" s="2">
        <v>2646.52</v>
      </c>
      <c r="AM47" s="2">
        <v>2590.25</v>
      </c>
      <c r="AN47" s="2">
        <v>9731.5300000000007</v>
      </c>
      <c r="AO47" s="2">
        <v>7645.47</v>
      </c>
      <c r="AP47" s="2">
        <v>2518.23</v>
      </c>
      <c r="AQ47" s="2">
        <v>5732.04</v>
      </c>
      <c r="AR47" s="2">
        <v>5081</v>
      </c>
      <c r="AS47" s="2">
        <v>3822.11</v>
      </c>
      <c r="AT47" s="2">
        <v>7963.5</v>
      </c>
      <c r="AU47" s="2">
        <v>20654.310000000001</v>
      </c>
      <c r="AV47" s="2">
        <v>10585.5</v>
      </c>
      <c r="AW47" s="2">
        <v>1759.42</v>
      </c>
      <c r="AX47" s="2">
        <v>5155.6400000000003</v>
      </c>
      <c r="AY47" s="2">
        <v>4207.01</v>
      </c>
      <c r="AZ47" s="2">
        <v>3142.97</v>
      </c>
      <c r="BA47" s="2">
        <v>2990.02</v>
      </c>
      <c r="BB47" s="2">
        <v>2300.69</v>
      </c>
      <c r="BC47" s="2">
        <v>10646.84</v>
      </c>
      <c r="BD47" s="2">
        <v>2242.42</v>
      </c>
      <c r="BE47" s="2">
        <v>6590.23</v>
      </c>
      <c r="BF47" s="2">
        <v>3818.75</v>
      </c>
      <c r="BG47" s="2">
        <v>2363.62</v>
      </c>
      <c r="BH47" s="2">
        <v>3649.12</v>
      </c>
      <c r="BI47" s="2">
        <v>1607.48</v>
      </c>
    </row>
    <row r="48" spans="1:61">
      <c r="A48" s="1">
        <v>45</v>
      </c>
      <c r="B48" s="2">
        <v>3764.52</v>
      </c>
      <c r="C48" s="2">
        <v>3169.78</v>
      </c>
      <c r="D48" s="2">
        <v>2447.86</v>
      </c>
      <c r="E48" s="2">
        <v>2754.81</v>
      </c>
      <c r="F48" s="2">
        <v>3446.91</v>
      </c>
      <c r="G48" s="2">
        <v>6418.37</v>
      </c>
      <c r="H48" s="2">
        <v>16364.54</v>
      </c>
      <c r="I48" s="2">
        <v>25269.34</v>
      </c>
      <c r="J48" s="2">
        <v>7986.75</v>
      </c>
      <c r="K48" s="2">
        <v>19213.240000000002</v>
      </c>
      <c r="L48" s="2">
        <v>1976.33</v>
      </c>
      <c r="M48" s="2">
        <v>2560.41</v>
      </c>
      <c r="N48" s="2">
        <v>5258.47</v>
      </c>
      <c r="O48" s="2">
        <v>10151.879999999999</v>
      </c>
      <c r="P48" s="2">
        <v>10790.8</v>
      </c>
      <c r="Q48" s="2">
        <v>4138.55</v>
      </c>
      <c r="R48" s="2">
        <v>6067.91</v>
      </c>
      <c r="S48" s="2">
        <v>6578.08</v>
      </c>
      <c r="T48" s="2">
        <v>4144.05</v>
      </c>
      <c r="U48" s="2">
        <v>8062.34</v>
      </c>
      <c r="V48" s="2">
        <v>14311.46</v>
      </c>
      <c r="W48" s="2">
        <v>33338.300000000003</v>
      </c>
      <c r="X48" s="2">
        <v>50758.63</v>
      </c>
      <c r="Y48" s="2">
        <v>31454.59</v>
      </c>
      <c r="Z48" s="2">
        <v>36039.440000000002</v>
      </c>
      <c r="AA48" s="2">
        <v>30793.82</v>
      </c>
      <c r="AB48" s="2">
        <v>8015.71</v>
      </c>
      <c r="AC48" s="2">
        <v>3185.41</v>
      </c>
      <c r="AD48" s="2">
        <v>29333.64</v>
      </c>
      <c r="AE48" s="2">
        <v>7261.26</v>
      </c>
      <c r="AF48" s="2">
        <v>4548.04</v>
      </c>
      <c r="AG48" s="2">
        <v>19532.72</v>
      </c>
      <c r="AH48" s="2">
        <v>13539.51</v>
      </c>
      <c r="AI48" s="2">
        <v>10286.39</v>
      </c>
      <c r="AJ48" s="2">
        <v>9013.41</v>
      </c>
      <c r="AK48" s="2">
        <v>2933.82</v>
      </c>
      <c r="AL48" s="2">
        <v>1981.86</v>
      </c>
      <c r="AM48" s="2">
        <v>2183.91</v>
      </c>
      <c r="AN48" s="2">
        <v>7079.56</v>
      </c>
      <c r="AO48" s="2">
        <v>5594.69</v>
      </c>
      <c r="AP48" s="2">
        <v>2529.65</v>
      </c>
      <c r="AQ48" s="2">
        <v>4829</v>
      </c>
      <c r="AR48" s="2">
        <v>3898.77</v>
      </c>
      <c r="AS48" s="2">
        <v>3189.92</v>
      </c>
      <c r="AT48" s="2">
        <v>6268.69</v>
      </c>
      <c r="AU48" s="2">
        <v>15050.02</v>
      </c>
      <c r="AV48" s="2">
        <v>8866.18</v>
      </c>
      <c r="AW48" s="2">
        <v>1398.99</v>
      </c>
      <c r="AX48" s="2">
        <v>5238.24</v>
      </c>
      <c r="AY48" s="2">
        <v>3683.01</v>
      </c>
      <c r="AZ48" s="2">
        <v>2434.37</v>
      </c>
      <c r="BA48" s="2">
        <v>2247.98</v>
      </c>
      <c r="BB48" s="2">
        <v>2105.6999999999998</v>
      </c>
      <c r="BC48" s="2">
        <v>8309.09</v>
      </c>
      <c r="BD48" s="2">
        <v>1848.16</v>
      </c>
      <c r="BE48" s="2">
        <v>5005.1499999999996</v>
      </c>
      <c r="BF48" s="2">
        <v>3083.37</v>
      </c>
      <c r="BG48" s="2">
        <v>1640.05</v>
      </c>
      <c r="BH48" s="2">
        <v>3086.48</v>
      </c>
      <c r="BI48" s="2">
        <v>1284.23</v>
      </c>
    </row>
    <row r="49" spans="1:61">
      <c r="A49" s="1">
        <v>46</v>
      </c>
      <c r="B49" s="2">
        <v>3543.16</v>
      </c>
      <c r="C49" s="2">
        <v>2693.17</v>
      </c>
      <c r="D49" s="2">
        <v>2396.98</v>
      </c>
      <c r="E49" s="2">
        <v>2828.88</v>
      </c>
      <c r="F49" s="2">
        <v>2817.29</v>
      </c>
      <c r="G49" s="2">
        <v>4882.0200000000004</v>
      </c>
      <c r="H49" s="2">
        <v>17055.93</v>
      </c>
      <c r="I49" s="2">
        <v>22223.67</v>
      </c>
      <c r="J49" s="2">
        <v>7429.16</v>
      </c>
      <c r="K49" s="2">
        <v>11767.77</v>
      </c>
      <c r="L49" s="2">
        <v>1626.42</v>
      </c>
      <c r="M49" s="2">
        <v>1848.89</v>
      </c>
      <c r="N49" s="2">
        <v>4006.06</v>
      </c>
      <c r="O49" s="2">
        <v>8677.0499999999993</v>
      </c>
      <c r="P49" s="2">
        <v>9498.5499999999993</v>
      </c>
      <c r="Q49" s="2">
        <v>4045.05</v>
      </c>
      <c r="R49" s="2">
        <v>4286.05</v>
      </c>
      <c r="S49" s="2">
        <v>4915.12</v>
      </c>
      <c r="T49" s="2">
        <v>3224.76</v>
      </c>
      <c r="U49" s="2">
        <v>6017</v>
      </c>
      <c r="V49" s="2">
        <v>10253.61</v>
      </c>
      <c r="W49" s="2">
        <v>23996.55</v>
      </c>
      <c r="X49" s="2">
        <v>54395.83</v>
      </c>
      <c r="Y49" s="2">
        <v>34579.1</v>
      </c>
      <c r="Z49" s="2">
        <v>30161.119999999999</v>
      </c>
      <c r="AA49" s="2">
        <v>28945.93</v>
      </c>
      <c r="AB49" s="2">
        <v>4558.74</v>
      </c>
      <c r="AC49" s="2">
        <v>3101.22</v>
      </c>
      <c r="AD49" s="2">
        <v>26022.66</v>
      </c>
      <c r="AE49" s="2">
        <v>5219.01</v>
      </c>
      <c r="AF49" s="2">
        <v>3932.37</v>
      </c>
      <c r="AG49" s="2">
        <v>14006.59</v>
      </c>
      <c r="AH49" s="2">
        <v>11462.84</v>
      </c>
      <c r="AI49" s="2">
        <v>9196.5499999999993</v>
      </c>
      <c r="AJ49" s="2">
        <v>6400.25</v>
      </c>
      <c r="AK49" s="2">
        <v>2153.44</v>
      </c>
      <c r="AL49" s="2">
        <v>1513.53</v>
      </c>
      <c r="AM49" s="2">
        <v>1544.03</v>
      </c>
      <c r="AN49" s="2">
        <v>5433.85</v>
      </c>
      <c r="AO49" s="2">
        <v>4628.2299999999996</v>
      </c>
      <c r="AP49" s="2">
        <v>1854.09</v>
      </c>
      <c r="AQ49" s="2">
        <v>3438.48</v>
      </c>
      <c r="AR49" s="2">
        <v>2922.47</v>
      </c>
      <c r="AS49" s="2">
        <v>2294.89</v>
      </c>
      <c r="AT49" s="2">
        <v>4920.29</v>
      </c>
      <c r="AU49" s="2">
        <v>11415.82</v>
      </c>
      <c r="AV49" s="2">
        <v>6625.81</v>
      </c>
      <c r="AW49" s="2">
        <v>1066.51</v>
      </c>
      <c r="AX49" s="2">
        <v>3543.3</v>
      </c>
      <c r="AY49" s="2">
        <v>3038.17</v>
      </c>
      <c r="AZ49" s="2">
        <v>2155.41</v>
      </c>
      <c r="BA49" s="2">
        <v>1900.04</v>
      </c>
      <c r="BB49" s="2">
        <v>1888.97</v>
      </c>
      <c r="BC49" s="2">
        <v>6251.72</v>
      </c>
      <c r="BD49" s="2">
        <v>1541.8</v>
      </c>
      <c r="BE49" s="2">
        <v>4544.66</v>
      </c>
      <c r="BF49" s="2">
        <v>1859.45</v>
      </c>
      <c r="BG49" s="2">
        <v>1566.4</v>
      </c>
      <c r="BH49" s="2">
        <v>2656.32</v>
      </c>
      <c r="BI49" s="2">
        <v>983.05</v>
      </c>
    </row>
    <row r="50" spans="1:61">
      <c r="A50" s="1">
        <v>47</v>
      </c>
      <c r="B50" s="2">
        <v>3317.05</v>
      </c>
      <c r="C50" s="2">
        <v>2933.23</v>
      </c>
      <c r="D50" s="2">
        <v>2109.0300000000002</v>
      </c>
      <c r="E50" s="2">
        <v>2233.89</v>
      </c>
      <c r="F50" s="2">
        <v>3038.82</v>
      </c>
      <c r="G50" s="2">
        <v>5334.71</v>
      </c>
      <c r="H50" s="2">
        <v>18615.189999999999</v>
      </c>
      <c r="I50" s="2">
        <v>20548.509999999998</v>
      </c>
      <c r="J50" s="2">
        <v>8144.96</v>
      </c>
      <c r="K50" s="2">
        <v>15063.78</v>
      </c>
      <c r="L50" s="2">
        <v>1612.19</v>
      </c>
      <c r="M50" s="2">
        <v>1863.66</v>
      </c>
      <c r="N50" s="2">
        <v>4901.25</v>
      </c>
      <c r="O50" s="2">
        <v>8017.85</v>
      </c>
      <c r="P50" s="2">
        <v>9117.33</v>
      </c>
      <c r="Q50" s="2">
        <v>3278.91</v>
      </c>
      <c r="R50" s="2">
        <v>4574.38</v>
      </c>
      <c r="S50" s="2">
        <v>4457.3900000000003</v>
      </c>
      <c r="T50" s="2">
        <v>3443.89</v>
      </c>
      <c r="U50" s="2">
        <v>6057.71</v>
      </c>
      <c r="V50" s="2">
        <v>10438.16</v>
      </c>
      <c r="W50" s="2">
        <v>22681.15</v>
      </c>
      <c r="X50" s="2">
        <v>34703.050000000003</v>
      </c>
      <c r="Y50" s="2">
        <v>23324.35</v>
      </c>
      <c r="Z50" s="2">
        <v>27268.82</v>
      </c>
      <c r="AA50" s="2">
        <v>28551.26</v>
      </c>
      <c r="AB50" s="2">
        <v>6472.4</v>
      </c>
      <c r="AC50" s="2">
        <v>2776.81</v>
      </c>
      <c r="AD50" s="2">
        <v>21227.54</v>
      </c>
      <c r="AE50" s="2">
        <v>4872</v>
      </c>
      <c r="AF50" s="2">
        <v>4146.2700000000004</v>
      </c>
      <c r="AG50" s="2">
        <v>14608.36</v>
      </c>
      <c r="AH50" s="2">
        <v>12012.9</v>
      </c>
      <c r="AI50" s="2">
        <v>8746.2099999999991</v>
      </c>
      <c r="AJ50" s="2">
        <v>6643.46</v>
      </c>
      <c r="AK50" s="2">
        <v>2088.9699999999998</v>
      </c>
      <c r="AL50" s="2">
        <v>1611.33</v>
      </c>
      <c r="AM50" s="2">
        <v>1802.56</v>
      </c>
      <c r="AN50" s="2">
        <v>5357.87</v>
      </c>
      <c r="AO50" s="2">
        <v>4643.8900000000003</v>
      </c>
      <c r="AP50" s="2">
        <v>1956.38</v>
      </c>
      <c r="AQ50" s="2">
        <v>2853.71</v>
      </c>
      <c r="AR50" s="2">
        <v>2900.67</v>
      </c>
      <c r="AS50" s="2">
        <v>2223.3000000000002</v>
      </c>
      <c r="AT50" s="2">
        <v>4695.46</v>
      </c>
      <c r="AU50" s="2">
        <v>12403.09</v>
      </c>
      <c r="AV50" s="2">
        <v>7095.39</v>
      </c>
      <c r="AW50" s="2">
        <v>1174.53</v>
      </c>
      <c r="AX50" s="2">
        <v>3138.48</v>
      </c>
      <c r="AY50" s="2">
        <v>2305.6799999999998</v>
      </c>
      <c r="AZ50" s="2">
        <v>2281.42</v>
      </c>
      <c r="BA50" s="2">
        <v>2217.4699999999998</v>
      </c>
      <c r="BB50" s="2">
        <v>1611.61</v>
      </c>
      <c r="BC50" s="2">
        <v>7051.57</v>
      </c>
      <c r="BD50" s="2">
        <v>1625.19</v>
      </c>
      <c r="BE50" s="2">
        <v>4301.57</v>
      </c>
      <c r="BF50" s="2">
        <v>1969.44</v>
      </c>
      <c r="BG50" s="2">
        <v>1361.67</v>
      </c>
      <c r="BH50" s="2">
        <v>2245.5500000000002</v>
      </c>
      <c r="BI50" s="2">
        <v>1107.55</v>
      </c>
    </row>
    <row r="51" spans="1:61">
      <c r="A51" s="1">
        <v>48</v>
      </c>
      <c r="B51" s="2">
        <v>2897.12</v>
      </c>
      <c r="C51" s="2">
        <v>2456.5300000000002</v>
      </c>
      <c r="D51" s="2">
        <v>2762.41</v>
      </c>
      <c r="E51" s="2">
        <v>2202.29</v>
      </c>
      <c r="F51" s="2">
        <v>2825.45</v>
      </c>
      <c r="G51" s="2">
        <v>4549.7700000000004</v>
      </c>
      <c r="H51" s="2">
        <v>17945.560000000001</v>
      </c>
      <c r="I51" s="2">
        <v>21852.17</v>
      </c>
      <c r="J51" s="2">
        <v>7449.32</v>
      </c>
      <c r="K51" s="2">
        <v>13423.7</v>
      </c>
      <c r="L51" s="2">
        <v>1829.58</v>
      </c>
      <c r="M51" s="2">
        <v>1873.79</v>
      </c>
      <c r="N51" s="2">
        <v>5012.66</v>
      </c>
      <c r="O51" s="2">
        <v>7498.97</v>
      </c>
      <c r="P51" s="2">
        <v>8719.6</v>
      </c>
      <c r="Q51" s="2">
        <v>3956.83</v>
      </c>
      <c r="R51" s="2">
        <v>4936.3999999999996</v>
      </c>
      <c r="S51" s="2">
        <v>4526.05</v>
      </c>
      <c r="T51" s="2">
        <v>3901.72</v>
      </c>
      <c r="U51" s="2">
        <v>6169.13</v>
      </c>
      <c r="V51" s="2">
        <v>11216.9</v>
      </c>
      <c r="W51" s="2">
        <v>29433.75</v>
      </c>
      <c r="X51" s="2">
        <v>39256.620000000003</v>
      </c>
      <c r="Y51" s="2">
        <v>29782.01</v>
      </c>
      <c r="Z51" s="2">
        <v>23722.37</v>
      </c>
      <c r="AA51" s="2">
        <v>28654.82</v>
      </c>
      <c r="AB51" s="2">
        <v>5831.52</v>
      </c>
      <c r="AC51" s="2">
        <v>2845.38</v>
      </c>
      <c r="AD51" s="2">
        <v>25795.41</v>
      </c>
      <c r="AE51" s="2">
        <v>5390.06</v>
      </c>
      <c r="AF51" s="2">
        <v>4023.67</v>
      </c>
      <c r="AG51" s="2">
        <v>15714.24</v>
      </c>
      <c r="AH51" s="2">
        <v>11456.1</v>
      </c>
      <c r="AI51" s="2">
        <v>8326.3799999999992</v>
      </c>
      <c r="AJ51" s="2">
        <v>7307.08</v>
      </c>
      <c r="AK51" s="2">
        <v>2238.84</v>
      </c>
      <c r="AL51" s="2">
        <v>1652.87</v>
      </c>
      <c r="AM51" s="2">
        <v>1683.15</v>
      </c>
      <c r="AN51" s="2">
        <v>6371.53</v>
      </c>
      <c r="AO51" s="2">
        <v>4908.8900000000003</v>
      </c>
      <c r="AP51" s="2">
        <v>2239.8200000000002</v>
      </c>
      <c r="AQ51" s="2">
        <v>3567.97</v>
      </c>
      <c r="AR51" s="2">
        <v>3694.6</v>
      </c>
      <c r="AS51" s="2">
        <v>2530.58</v>
      </c>
      <c r="AT51" s="2">
        <v>4543.25</v>
      </c>
      <c r="AU51" s="2">
        <v>13860.65</v>
      </c>
      <c r="AV51" s="2">
        <v>6891.96</v>
      </c>
      <c r="AW51" s="2">
        <v>1190.1199999999999</v>
      </c>
      <c r="AX51" s="2">
        <v>3557.72</v>
      </c>
      <c r="AY51" s="2">
        <v>3054.83</v>
      </c>
      <c r="AZ51" s="2">
        <v>2233.52</v>
      </c>
      <c r="BA51" s="2">
        <v>2010.36</v>
      </c>
      <c r="BB51" s="2">
        <v>1643.42</v>
      </c>
      <c r="BC51" s="2">
        <v>6414.27</v>
      </c>
      <c r="BD51" s="2">
        <v>1801.17</v>
      </c>
      <c r="BE51" s="2">
        <v>3578.41</v>
      </c>
      <c r="BF51" s="2">
        <v>2512.8200000000002</v>
      </c>
      <c r="BG51" s="2">
        <v>1425.72</v>
      </c>
      <c r="BH51" s="2">
        <v>2718.49</v>
      </c>
      <c r="BI51" s="2">
        <v>1086.44</v>
      </c>
    </row>
    <row r="52" spans="1:61">
      <c r="A52" s="1">
        <v>49</v>
      </c>
      <c r="B52" s="2">
        <v>3295.74</v>
      </c>
      <c r="C52" s="2">
        <v>3012.58</v>
      </c>
      <c r="D52" s="2">
        <v>2471.13</v>
      </c>
      <c r="E52" s="2">
        <v>2455.71</v>
      </c>
      <c r="F52" s="2">
        <v>3225.85</v>
      </c>
      <c r="G52" s="2">
        <v>6314.75</v>
      </c>
      <c r="H52" s="2">
        <v>16118.92</v>
      </c>
      <c r="I52" s="2">
        <v>22625.58</v>
      </c>
      <c r="J52" s="2">
        <v>7951.68</v>
      </c>
      <c r="K52" s="2">
        <v>16542.63</v>
      </c>
      <c r="L52" s="2">
        <v>1453.33</v>
      </c>
      <c r="M52" s="2">
        <v>2333.2600000000002</v>
      </c>
      <c r="N52" s="2">
        <v>5471.71</v>
      </c>
      <c r="O52" s="2">
        <v>8963.51</v>
      </c>
      <c r="P52" s="2">
        <v>9449.65</v>
      </c>
      <c r="Q52" s="2">
        <v>3670.1</v>
      </c>
      <c r="R52" s="2">
        <v>5421.11</v>
      </c>
      <c r="S52" s="2">
        <v>5109.54</v>
      </c>
      <c r="T52" s="2">
        <v>3617.02</v>
      </c>
      <c r="U52" s="2">
        <v>6950.28</v>
      </c>
      <c r="V52" s="2">
        <v>10741.05</v>
      </c>
      <c r="W52" s="2">
        <v>36071.81</v>
      </c>
      <c r="X52" s="2">
        <v>47456.26</v>
      </c>
      <c r="Y52" s="2">
        <v>33619</v>
      </c>
      <c r="Z52" s="2">
        <v>28356.45</v>
      </c>
      <c r="AA52" s="2">
        <v>32866.660000000003</v>
      </c>
      <c r="AB52" s="2">
        <v>7055.76</v>
      </c>
      <c r="AC52" s="2">
        <v>3037.01</v>
      </c>
      <c r="AD52" s="2">
        <v>27778.66</v>
      </c>
      <c r="AE52" s="2">
        <v>5670.64</v>
      </c>
      <c r="AF52" s="2">
        <v>4807.32</v>
      </c>
      <c r="AG52" s="2">
        <v>19384.919999999998</v>
      </c>
      <c r="AH52" s="2">
        <v>11982.76</v>
      </c>
      <c r="AI52" s="2">
        <v>9301.34</v>
      </c>
      <c r="AJ52" s="2">
        <v>7728.32</v>
      </c>
      <c r="AK52" s="2">
        <v>2728.56</v>
      </c>
      <c r="AL52" s="2">
        <v>1945.53</v>
      </c>
      <c r="AM52" s="2">
        <v>1933.06</v>
      </c>
      <c r="AN52" s="2">
        <v>6654.44</v>
      </c>
      <c r="AO52" s="2">
        <v>5304.83</v>
      </c>
      <c r="AP52" s="2">
        <v>2263.14</v>
      </c>
      <c r="AQ52" s="2">
        <v>3959.7</v>
      </c>
      <c r="AR52" s="2">
        <v>3032.98</v>
      </c>
      <c r="AS52" s="2">
        <v>2439.13</v>
      </c>
      <c r="AT52" s="2">
        <v>5508.07</v>
      </c>
      <c r="AU52" s="2">
        <v>15305.08</v>
      </c>
      <c r="AV52" s="2">
        <v>6418.27</v>
      </c>
      <c r="AW52" s="2">
        <v>1291.4100000000001</v>
      </c>
      <c r="AX52" s="2">
        <v>4272.8999999999996</v>
      </c>
      <c r="AY52" s="2">
        <v>2825.39</v>
      </c>
      <c r="AZ52" s="2">
        <v>2489.9699999999998</v>
      </c>
      <c r="BA52" s="2">
        <v>2107.1799999999998</v>
      </c>
      <c r="BB52" s="2">
        <v>1774.03</v>
      </c>
      <c r="BC52" s="2">
        <v>7382.1</v>
      </c>
      <c r="BD52" s="2">
        <v>1746.21</v>
      </c>
      <c r="BE52" s="2">
        <v>4888.08</v>
      </c>
      <c r="BF52" s="2">
        <v>2588.61</v>
      </c>
      <c r="BG52" s="2">
        <v>1644.47</v>
      </c>
      <c r="BH52" s="2">
        <v>2664.24</v>
      </c>
      <c r="BI52" s="2">
        <v>1079.79</v>
      </c>
    </row>
    <row r="53" spans="1:61">
      <c r="A53" s="1">
        <v>50</v>
      </c>
      <c r="B53" s="2">
        <v>4307.6899999999996</v>
      </c>
      <c r="C53" s="2">
        <v>3562.64</v>
      </c>
      <c r="D53" s="2">
        <v>3390.69</v>
      </c>
      <c r="E53" s="2">
        <v>3221.66</v>
      </c>
      <c r="F53" s="2">
        <v>3847.1</v>
      </c>
      <c r="G53" s="2">
        <v>6597.9</v>
      </c>
      <c r="H53" s="2">
        <v>22312.29</v>
      </c>
      <c r="I53" s="2">
        <v>26046.62</v>
      </c>
      <c r="J53" s="2">
        <v>11155.14</v>
      </c>
      <c r="K53" s="2">
        <v>20507.150000000001</v>
      </c>
      <c r="L53" s="2">
        <v>1975.28</v>
      </c>
      <c r="M53" s="2">
        <v>2602.9</v>
      </c>
      <c r="N53" s="2">
        <v>6133.88</v>
      </c>
      <c r="O53" s="2">
        <v>11623.01</v>
      </c>
      <c r="P53" s="2">
        <v>13619.14</v>
      </c>
      <c r="Q53" s="2">
        <v>4217.6400000000003</v>
      </c>
      <c r="R53" s="2">
        <v>6786.57</v>
      </c>
      <c r="S53" s="2">
        <v>6971.04</v>
      </c>
      <c r="T53" s="2">
        <v>5146.38</v>
      </c>
      <c r="U53" s="2">
        <v>10049.41</v>
      </c>
      <c r="V53" s="2">
        <v>15431.86</v>
      </c>
      <c r="W53" s="2">
        <v>36858.870000000003</v>
      </c>
      <c r="X53" s="2">
        <v>50743.97</v>
      </c>
      <c r="Y53" s="2">
        <v>42253.37</v>
      </c>
      <c r="Z53" s="2">
        <v>40945.449999999997</v>
      </c>
      <c r="AA53" s="2">
        <v>44021.440000000002</v>
      </c>
      <c r="AB53" s="2">
        <v>8312.42</v>
      </c>
      <c r="AC53" s="2">
        <v>3789.96</v>
      </c>
      <c r="AD53" s="2">
        <v>33395.35</v>
      </c>
      <c r="AE53" s="2">
        <v>7674.46</v>
      </c>
      <c r="AF53" s="2">
        <v>5440.7</v>
      </c>
      <c r="AG53" s="2">
        <v>22084.9</v>
      </c>
      <c r="AH53" s="2">
        <v>16243.37</v>
      </c>
      <c r="AI53" s="2">
        <v>11667.11</v>
      </c>
      <c r="AJ53" s="2">
        <v>10283.34</v>
      </c>
      <c r="AK53" s="2">
        <v>3626.29</v>
      </c>
      <c r="AL53" s="2">
        <v>2068.33</v>
      </c>
      <c r="AM53" s="2">
        <v>2376.89</v>
      </c>
      <c r="AN53" s="2">
        <v>8020.78</v>
      </c>
      <c r="AO53" s="2">
        <v>6404.5</v>
      </c>
      <c r="AP53" s="2">
        <v>2699.61</v>
      </c>
      <c r="AQ53" s="2">
        <v>4603.8100000000004</v>
      </c>
      <c r="AR53" s="2">
        <v>4050.54</v>
      </c>
      <c r="AS53" s="2">
        <v>3319.93</v>
      </c>
      <c r="AT53" s="2">
        <v>6191.32</v>
      </c>
      <c r="AU53" s="2">
        <v>16810.2</v>
      </c>
      <c r="AV53" s="2">
        <v>9675.49</v>
      </c>
      <c r="AW53" s="2">
        <v>1350.38</v>
      </c>
      <c r="AX53" s="2">
        <v>4735.5</v>
      </c>
      <c r="AY53" s="2">
        <v>3622.2</v>
      </c>
      <c r="AZ53" s="2">
        <v>3259.41</v>
      </c>
      <c r="BA53" s="2">
        <v>2954.43</v>
      </c>
      <c r="BB53" s="2">
        <v>2119.37</v>
      </c>
      <c r="BC53" s="2">
        <v>9880.5400000000009</v>
      </c>
      <c r="BD53" s="2">
        <v>2005.34</v>
      </c>
      <c r="BE53" s="2">
        <v>6532.85</v>
      </c>
      <c r="BF53" s="2">
        <v>3149.59</v>
      </c>
      <c r="BG53" s="2">
        <v>2094.3000000000002</v>
      </c>
      <c r="BH53" s="2">
        <v>3241.54</v>
      </c>
      <c r="BI53" s="2">
        <v>1464.64</v>
      </c>
    </row>
    <row r="54" spans="1:61">
      <c r="A54" s="1">
        <v>51</v>
      </c>
      <c r="B54" s="2">
        <v>5013.12</v>
      </c>
      <c r="C54" s="2">
        <v>3921.68</v>
      </c>
      <c r="D54" s="2">
        <v>3522.4</v>
      </c>
      <c r="E54" s="2">
        <v>3861.59</v>
      </c>
      <c r="F54" s="2">
        <v>4711.54</v>
      </c>
      <c r="G54" s="2">
        <v>8461.7999999999993</v>
      </c>
      <c r="H54" s="2">
        <v>25533.3</v>
      </c>
      <c r="I54" s="2">
        <v>31935.22</v>
      </c>
      <c r="J54" s="2">
        <v>13163.36</v>
      </c>
      <c r="K54" s="2">
        <v>20801.310000000001</v>
      </c>
      <c r="L54" s="2">
        <v>2714.5</v>
      </c>
      <c r="M54" s="2">
        <v>3266.18</v>
      </c>
      <c r="N54" s="2">
        <v>7121.68</v>
      </c>
      <c r="O54" s="2">
        <v>12354</v>
      </c>
      <c r="P54" s="2">
        <v>14668.16</v>
      </c>
      <c r="Q54" s="2">
        <v>5793.75</v>
      </c>
      <c r="R54" s="2">
        <v>7207.72</v>
      </c>
      <c r="S54" s="2">
        <v>8045.02</v>
      </c>
      <c r="T54" s="2">
        <v>5987.54</v>
      </c>
      <c r="U54" s="2">
        <v>11805.3</v>
      </c>
      <c r="V54" s="2">
        <v>16819.55</v>
      </c>
      <c r="W54" s="2">
        <v>43909.73</v>
      </c>
      <c r="X54" s="2">
        <v>72611.89</v>
      </c>
      <c r="Y54" s="2">
        <v>48272.69</v>
      </c>
      <c r="Z54" s="2">
        <v>45133.21</v>
      </c>
      <c r="AA54" s="2">
        <v>46466.87</v>
      </c>
      <c r="AB54" s="2">
        <v>9716.1200000000008</v>
      </c>
      <c r="AC54" s="2">
        <v>4658.68</v>
      </c>
      <c r="AD54" s="2">
        <v>41369.89</v>
      </c>
      <c r="AE54" s="2">
        <v>8230.51</v>
      </c>
      <c r="AF54" s="2">
        <v>6276.77</v>
      </c>
      <c r="AG54" s="2">
        <v>28018.19</v>
      </c>
      <c r="AH54" s="2">
        <v>17006.87</v>
      </c>
      <c r="AI54" s="2">
        <v>13991.44</v>
      </c>
      <c r="AJ54" s="2">
        <v>11124.21</v>
      </c>
      <c r="AK54" s="2">
        <v>4260.22</v>
      </c>
      <c r="AL54" s="2">
        <v>2465.9499999999998</v>
      </c>
      <c r="AM54" s="2">
        <v>2535.92</v>
      </c>
      <c r="AN54" s="2">
        <v>8594.75</v>
      </c>
      <c r="AO54" s="2">
        <v>6788.52</v>
      </c>
      <c r="AP54" s="2">
        <v>2818.09</v>
      </c>
      <c r="AQ54" s="2">
        <v>4817.62</v>
      </c>
      <c r="AR54" s="2">
        <v>4510.93</v>
      </c>
      <c r="AS54" s="2">
        <v>3881</v>
      </c>
      <c r="AT54" s="2">
        <v>8179.29</v>
      </c>
      <c r="AU54" s="2">
        <v>18215.419999999998</v>
      </c>
      <c r="AV54" s="2">
        <v>11898.14</v>
      </c>
      <c r="AW54" s="2">
        <v>1795.44</v>
      </c>
      <c r="AX54" s="2">
        <v>5854.02</v>
      </c>
      <c r="AY54" s="2">
        <v>4317.7299999999996</v>
      </c>
      <c r="AZ54" s="2">
        <v>3774.44</v>
      </c>
      <c r="BA54" s="2">
        <v>2710.92</v>
      </c>
      <c r="BB54" s="2">
        <v>2624.65</v>
      </c>
      <c r="BC54" s="2">
        <v>10593.05</v>
      </c>
      <c r="BD54" s="2">
        <v>2785.47</v>
      </c>
      <c r="BE54" s="2">
        <v>6878.59</v>
      </c>
      <c r="BF54" s="2">
        <v>3258.53</v>
      </c>
      <c r="BG54" s="2">
        <v>2237.34</v>
      </c>
      <c r="BH54" s="2">
        <v>3728.5</v>
      </c>
      <c r="BI54" s="2">
        <v>1608.38</v>
      </c>
    </row>
    <row r="55" spans="1:61">
      <c r="A55" s="1">
        <v>52</v>
      </c>
      <c r="B55" s="2">
        <v>3950.11</v>
      </c>
      <c r="C55" s="2">
        <v>3482.44</v>
      </c>
      <c r="D55" s="2">
        <v>2797.45</v>
      </c>
      <c r="E55" s="2">
        <v>2902.93</v>
      </c>
      <c r="F55" s="2">
        <v>3438.52</v>
      </c>
      <c r="G55" s="2">
        <v>6677.55</v>
      </c>
      <c r="H55" s="2">
        <v>22054.87</v>
      </c>
      <c r="I55" s="2">
        <v>26094.23</v>
      </c>
      <c r="J55" s="2">
        <v>9116.26</v>
      </c>
      <c r="K55" s="2">
        <v>18492.23</v>
      </c>
      <c r="L55" s="2">
        <v>1874.02</v>
      </c>
      <c r="M55" s="2">
        <v>2516.9699999999998</v>
      </c>
      <c r="N55" s="2">
        <v>5736.3</v>
      </c>
      <c r="O55" s="2">
        <v>9351.44</v>
      </c>
      <c r="P55" s="2">
        <v>11436.78</v>
      </c>
      <c r="Q55" s="2">
        <v>4534.1400000000003</v>
      </c>
      <c r="R55" s="2">
        <v>5431.47</v>
      </c>
      <c r="S55" s="2">
        <v>5420.28</v>
      </c>
      <c r="T55" s="2">
        <v>4843.2299999999996</v>
      </c>
      <c r="U55" s="2">
        <v>9194.56</v>
      </c>
      <c r="V55" s="2">
        <v>14522.67</v>
      </c>
      <c r="W55" s="2">
        <v>34587.82</v>
      </c>
      <c r="X55" s="2">
        <v>53254.37</v>
      </c>
      <c r="Y55" s="2">
        <v>38859.620000000003</v>
      </c>
      <c r="Z55" s="2">
        <v>29791.14</v>
      </c>
      <c r="AA55" s="2">
        <v>32448.7</v>
      </c>
      <c r="AB55" s="2">
        <v>8651.31</v>
      </c>
      <c r="AC55" s="2">
        <v>3679.38</v>
      </c>
      <c r="AD55" s="2">
        <v>27934.94</v>
      </c>
      <c r="AE55" s="2">
        <v>6319.95</v>
      </c>
      <c r="AF55" s="2">
        <v>4941.75</v>
      </c>
      <c r="AG55" s="2">
        <v>21139.61</v>
      </c>
      <c r="AH55" s="2">
        <v>14350.68</v>
      </c>
      <c r="AI55" s="2">
        <v>12176.17</v>
      </c>
      <c r="AJ55" s="2">
        <v>9558.06</v>
      </c>
      <c r="AK55" s="2">
        <v>3086.81</v>
      </c>
      <c r="AL55" s="2">
        <v>1925.26</v>
      </c>
      <c r="AM55" s="2">
        <v>2226.46</v>
      </c>
      <c r="AN55" s="2">
        <v>7117.95</v>
      </c>
      <c r="AO55" s="2">
        <v>6024.74</v>
      </c>
      <c r="AP55" s="2">
        <v>2410.52</v>
      </c>
      <c r="AQ55" s="2">
        <v>4425.71</v>
      </c>
      <c r="AR55" s="2">
        <v>3452.11</v>
      </c>
      <c r="AS55" s="2">
        <v>2828.39</v>
      </c>
      <c r="AT55" s="2">
        <v>6476.05</v>
      </c>
      <c r="AU55" s="2">
        <v>15440.76</v>
      </c>
      <c r="AV55" s="2">
        <v>8968.9500000000007</v>
      </c>
      <c r="AW55" s="2">
        <v>1461.64</v>
      </c>
      <c r="AX55" s="2">
        <v>4786.9399999999996</v>
      </c>
      <c r="AY55" s="2">
        <v>3832.68</v>
      </c>
      <c r="AZ55" s="2">
        <v>2950.65</v>
      </c>
      <c r="BA55" s="2">
        <v>2397.8200000000002</v>
      </c>
      <c r="BB55" s="2">
        <v>2417</v>
      </c>
      <c r="BC55" s="2">
        <v>8862.7000000000007</v>
      </c>
      <c r="BD55" s="2">
        <v>2111.56</v>
      </c>
      <c r="BE55" s="2">
        <v>4544.5</v>
      </c>
      <c r="BF55" s="2">
        <v>2851.38</v>
      </c>
      <c r="BG55" s="2">
        <v>1973.54</v>
      </c>
      <c r="BH55" s="2">
        <v>2804.65</v>
      </c>
      <c r="BI55" s="2">
        <v>1230.8399999999999</v>
      </c>
    </row>
    <row r="56" spans="1:61">
      <c r="A56" s="1">
        <v>53</v>
      </c>
      <c r="B56" s="2">
        <v>3224.37</v>
      </c>
      <c r="C56" s="2">
        <v>2652.62</v>
      </c>
      <c r="D56" s="2">
        <v>2812.74</v>
      </c>
      <c r="E56" s="2">
        <v>2622.89</v>
      </c>
      <c r="F56" s="2">
        <v>3025.71</v>
      </c>
      <c r="G56" s="2">
        <v>4954.96</v>
      </c>
      <c r="H56" s="2">
        <v>14204.23</v>
      </c>
      <c r="I56" s="2">
        <v>19145.43</v>
      </c>
      <c r="J56" s="2">
        <v>7627.27</v>
      </c>
      <c r="K56" s="2">
        <v>14017.15</v>
      </c>
      <c r="L56" s="2">
        <v>1544.46</v>
      </c>
      <c r="M56" s="2">
        <v>1850.2</v>
      </c>
      <c r="N56" s="2">
        <v>4002.49</v>
      </c>
      <c r="O56" s="2">
        <v>8752.7800000000007</v>
      </c>
      <c r="P56" s="2">
        <v>8711.17</v>
      </c>
      <c r="Q56" s="2">
        <v>3105.11</v>
      </c>
      <c r="R56" s="2">
        <v>5678.37</v>
      </c>
      <c r="S56" s="2">
        <v>5123.43</v>
      </c>
      <c r="T56" s="2">
        <v>3708.82</v>
      </c>
      <c r="U56" s="2">
        <v>6484.22</v>
      </c>
      <c r="V56" s="2">
        <v>10056.32</v>
      </c>
      <c r="W56" s="2">
        <v>29231.98</v>
      </c>
      <c r="X56" s="2">
        <v>46768.59</v>
      </c>
      <c r="Y56" s="2">
        <v>32465.86</v>
      </c>
      <c r="Z56" s="2">
        <v>31995.46</v>
      </c>
      <c r="AA56" s="2">
        <v>25604.12</v>
      </c>
      <c r="AB56" s="2">
        <v>5602.35</v>
      </c>
      <c r="AC56" s="2">
        <v>2960.34</v>
      </c>
      <c r="AD56" s="2">
        <v>23409</v>
      </c>
      <c r="AE56" s="2">
        <v>4612.37</v>
      </c>
      <c r="AF56" s="2">
        <v>4219.83</v>
      </c>
      <c r="AG56" s="2">
        <v>17561.04</v>
      </c>
      <c r="AH56" s="2">
        <v>11563.89</v>
      </c>
      <c r="AI56" s="2">
        <v>9933.51</v>
      </c>
      <c r="AJ56" s="2">
        <v>6832.53</v>
      </c>
      <c r="AK56" s="2">
        <v>2521.71</v>
      </c>
      <c r="AL56" s="2">
        <v>1593.57</v>
      </c>
      <c r="AM56" s="2">
        <v>1650.61</v>
      </c>
      <c r="AN56" s="2">
        <v>6404.52</v>
      </c>
      <c r="AO56" s="2">
        <v>4091.19</v>
      </c>
      <c r="AP56" s="2">
        <v>2173.7600000000002</v>
      </c>
      <c r="AQ56" s="2">
        <v>3643.25</v>
      </c>
      <c r="AR56" s="2">
        <v>3273.29</v>
      </c>
      <c r="AS56" s="2">
        <v>2691.86</v>
      </c>
      <c r="AT56" s="2">
        <v>5826.84</v>
      </c>
      <c r="AU56" s="2">
        <v>10435.31</v>
      </c>
      <c r="AV56" s="2">
        <v>6904.56</v>
      </c>
      <c r="AW56" s="2">
        <v>1034.8399999999999</v>
      </c>
      <c r="AX56" s="2">
        <v>3469.63</v>
      </c>
      <c r="AY56" s="2">
        <v>2726.6</v>
      </c>
      <c r="AZ56" s="2">
        <v>2445.54</v>
      </c>
      <c r="BA56" s="2">
        <v>1865.67</v>
      </c>
      <c r="BB56" s="2">
        <v>1388.2</v>
      </c>
      <c r="BC56" s="2">
        <v>6939.24</v>
      </c>
      <c r="BD56" s="2">
        <v>1542.53</v>
      </c>
      <c r="BE56" s="2">
        <v>4141.32</v>
      </c>
      <c r="BF56" s="2">
        <v>1787.56</v>
      </c>
      <c r="BG56" s="2">
        <v>1365.66</v>
      </c>
      <c r="BH56" s="2">
        <v>2191.7800000000002</v>
      </c>
      <c r="BI56" s="2">
        <v>1006.35</v>
      </c>
    </row>
    <row r="57" spans="1:61">
      <c r="A57" s="1">
        <v>54</v>
      </c>
      <c r="B57" s="2">
        <v>2648.58</v>
      </c>
      <c r="C57" s="2">
        <v>2610.2399999999998</v>
      </c>
      <c r="D57" s="2">
        <v>2475.44</v>
      </c>
      <c r="E57" s="2">
        <v>2522.48</v>
      </c>
      <c r="F57" s="2">
        <v>3431.51</v>
      </c>
      <c r="G57" s="2">
        <v>4349.74</v>
      </c>
      <c r="H57" s="2">
        <v>19689.419999999998</v>
      </c>
      <c r="I57" s="2">
        <v>19514.09</v>
      </c>
      <c r="J57" s="2">
        <v>8043.87</v>
      </c>
      <c r="K57" s="2">
        <v>14674.13</v>
      </c>
      <c r="L57" s="2">
        <v>1451.04</v>
      </c>
      <c r="M57" s="2">
        <v>2140.09</v>
      </c>
      <c r="N57" s="2">
        <v>4712.3500000000004</v>
      </c>
      <c r="O57" s="2">
        <v>8230.57</v>
      </c>
      <c r="P57" s="2">
        <v>9081.26</v>
      </c>
      <c r="Q57" s="2">
        <v>3223.77</v>
      </c>
      <c r="R57" s="2">
        <v>4916.76</v>
      </c>
      <c r="S57" s="2">
        <v>4480.6000000000004</v>
      </c>
      <c r="T57" s="2">
        <v>3409.39</v>
      </c>
      <c r="U57" s="2">
        <v>7019.22</v>
      </c>
      <c r="V57" s="2">
        <v>10749.31</v>
      </c>
      <c r="W57" s="2">
        <v>24610.15</v>
      </c>
      <c r="X57" s="2">
        <v>45423.33</v>
      </c>
      <c r="Y57" s="2">
        <v>30064.19</v>
      </c>
      <c r="Z57" s="2">
        <v>28318.69</v>
      </c>
      <c r="AA57" s="2">
        <v>23407.14</v>
      </c>
      <c r="AB57" s="2">
        <v>5948.9</v>
      </c>
      <c r="AC57" s="2">
        <v>3091.19</v>
      </c>
      <c r="AD57" s="2">
        <v>24251.66</v>
      </c>
      <c r="AE57" s="2">
        <v>5179.45</v>
      </c>
      <c r="AF57" s="2">
        <v>4521.8999999999996</v>
      </c>
      <c r="AG57" s="2">
        <v>18787.349999999999</v>
      </c>
      <c r="AH57" s="2">
        <v>9379.14</v>
      </c>
      <c r="AI57" s="2">
        <v>9299.52</v>
      </c>
      <c r="AJ57" s="2">
        <v>7737.83</v>
      </c>
      <c r="AK57" s="2">
        <v>1903.02</v>
      </c>
      <c r="AL57" s="2">
        <v>1800.67</v>
      </c>
      <c r="AM57" s="2">
        <v>1703.93</v>
      </c>
      <c r="AN57" s="2">
        <v>5765.93</v>
      </c>
      <c r="AO57" s="2">
        <v>4119.88</v>
      </c>
      <c r="AP57" s="2">
        <v>2110.37</v>
      </c>
      <c r="AQ57" s="2">
        <v>3498.94</v>
      </c>
      <c r="AR57" s="2">
        <v>3067.31</v>
      </c>
      <c r="AS57" s="2">
        <v>2774.14</v>
      </c>
      <c r="AT57" s="2">
        <v>5624.21</v>
      </c>
      <c r="AU57" s="2">
        <v>10586.51</v>
      </c>
      <c r="AV57" s="2">
        <v>6393.77</v>
      </c>
      <c r="AW57" s="2">
        <v>1090.31</v>
      </c>
      <c r="AX57" s="2">
        <v>3635.88</v>
      </c>
      <c r="AY57" s="2">
        <v>2950.35</v>
      </c>
      <c r="AZ57" s="2">
        <v>2191.23</v>
      </c>
      <c r="BA57" s="2">
        <v>2058.61</v>
      </c>
      <c r="BB57" s="2">
        <v>1641.21</v>
      </c>
      <c r="BC57" s="2">
        <v>6793.33</v>
      </c>
      <c r="BD57" s="2">
        <v>1604.96</v>
      </c>
      <c r="BE57" s="2">
        <v>4576.92</v>
      </c>
      <c r="BF57" s="2">
        <v>2547.6</v>
      </c>
      <c r="BG57" s="2">
        <v>1360.87</v>
      </c>
      <c r="BH57" s="2">
        <v>2412.25</v>
      </c>
      <c r="BI57" s="2">
        <v>1049.97</v>
      </c>
    </row>
    <row r="58" spans="1:61">
      <c r="A58" s="1">
        <v>55</v>
      </c>
      <c r="B58" s="2">
        <v>2875.76</v>
      </c>
      <c r="C58" s="2">
        <v>2534.16</v>
      </c>
      <c r="D58" s="2">
        <v>2482.6</v>
      </c>
      <c r="E58" s="2">
        <v>2706.94</v>
      </c>
      <c r="F58" s="2">
        <v>3031.73</v>
      </c>
      <c r="G58" s="2">
        <v>4911.2299999999996</v>
      </c>
      <c r="H58" s="2">
        <v>13769.2</v>
      </c>
      <c r="I58" s="2">
        <v>19356.39</v>
      </c>
      <c r="J58" s="2">
        <v>7921.17</v>
      </c>
      <c r="K58" s="2">
        <v>13694.86</v>
      </c>
      <c r="L58" s="2">
        <v>1537.88</v>
      </c>
      <c r="M58" s="2">
        <v>1857.03</v>
      </c>
      <c r="N58" s="2">
        <v>4788.68</v>
      </c>
      <c r="O58" s="2">
        <v>7289.58</v>
      </c>
      <c r="P58" s="2">
        <v>10257.959999999999</v>
      </c>
      <c r="Q58" s="2">
        <v>3914.73</v>
      </c>
      <c r="R58" s="2">
        <v>5477.31</v>
      </c>
      <c r="S58" s="2">
        <v>5044.8900000000003</v>
      </c>
      <c r="T58" s="2">
        <v>3487.8</v>
      </c>
      <c r="U58" s="2">
        <v>6869.37</v>
      </c>
      <c r="V58" s="2">
        <v>11680.23</v>
      </c>
      <c r="W58" s="2">
        <v>26316.79</v>
      </c>
      <c r="X58" s="2">
        <v>41445.75</v>
      </c>
      <c r="Y58" s="2">
        <v>31866.79</v>
      </c>
      <c r="Z58" s="2">
        <v>21866.46</v>
      </c>
      <c r="AA58" s="2">
        <v>26736.69</v>
      </c>
      <c r="AB58" s="2">
        <v>7581.81</v>
      </c>
      <c r="AC58" s="2">
        <v>2683.48</v>
      </c>
      <c r="AD58" s="2">
        <v>21482.94</v>
      </c>
      <c r="AE58" s="2">
        <v>4943.05</v>
      </c>
      <c r="AF58" s="2">
        <v>4723.91</v>
      </c>
      <c r="AG58" s="2">
        <v>17440.66</v>
      </c>
      <c r="AH58" s="2">
        <v>13731.75</v>
      </c>
      <c r="AI58" s="2">
        <v>8673.08</v>
      </c>
      <c r="AJ58" s="2">
        <v>8939.19</v>
      </c>
      <c r="AK58" s="2">
        <v>2424.38</v>
      </c>
      <c r="AL58" s="2">
        <v>1530.58</v>
      </c>
      <c r="AM58" s="2">
        <v>1953.54</v>
      </c>
      <c r="AN58" s="2">
        <v>5488.58</v>
      </c>
      <c r="AO58" s="2">
        <v>5044.6499999999996</v>
      </c>
      <c r="AP58" s="2">
        <v>2001.68</v>
      </c>
      <c r="AQ58" s="2">
        <v>3068.49</v>
      </c>
      <c r="AR58" s="2">
        <v>3378.51</v>
      </c>
      <c r="AS58" s="2">
        <v>2179.34</v>
      </c>
      <c r="AT58" s="2">
        <v>5527.87</v>
      </c>
      <c r="AU58" s="2">
        <v>11715.87</v>
      </c>
      <c r="AV58" s="2">
        <v>7160.52</v>
      </c>
      <c r="AW58" s="2">
        <v>1230.32</v>
      </c>
      <c r="AX58" s="2">
        <v>3483.12</v>
      </c>
      <c r="AY58" s="2">
        <v>2715.01</v>
      </c>
      <c r="AZ58" s="2">
        <v>2170.35</v>
      </c>
      <c r="BA58" s="2">
        <v>2151.06</v>
      </c>
      <c r="BB58" s="2">
        <v>1726.34</v>
      </c>
      <c r="BC58" s="2">
        <v>7403.61</v>
      </c>
      <c r="BD58" s="2">
        <v>1384.52</v>
      </c>
      <c r="BE58" s="2">
        <v>3978.9</v>
      </c>
      <c r="BF58" s="2">
        <v>2255.11</v>
      </c>
      <c r="BG58" s="2">
        <v>1476.15</v>
      </c>
      <c r="BH58" s="2">
        <v>2650.29</v>
      </c>
      <c r="BI58" s="2">
        <v>1112.43</v>
      </c>
    </row>
    <row r="59" spans="1:61">
      <c r="A59" s="1">
        <v>56</v>
      </c>
      <c r="B59" s="2">
        <v>3714.47</v>
      </c>
      <c r="C59" s="2">
        <v>3336.45</v>
      </c>
      <c r="D59" s="2">
        <v>2766.36</v>
      </c>
      <c r="E59" s="2">
        <v>2744.63</v>
      </c>
      <c r="F59" s="2">
        <v>3124.87</v>
      </c>
      <c r="G59" s="2">
        <v>7130.64</v>
      </c>
      <c r="H59" s="2">
        <v>16979.349999999999</v>
      </c>
      <c r="I59" s="2">
        <v>22945.49</v>
      </c>
      <c r="J59" s="2">
        <v>7682.32</v>
      </c>
      <c r="K59" s="2">
        <v>15620.59</v>
      </c>
      <c r="L59" s="2">
        <v>1633.12</v>
      </c>
      <c r="M59" s="2">
        <v>2204.7399999999998</v>
      </c>
      <c r="N59" s="2">
        <v>4902.42</v>
      </c>
      <c r="O59" s="2">
        <v>9853.4500000000007</v>
      </c>
      <c r="P59" s="2">
        <v>9516.2199999999993</v>
      </c>
      <c r="Q59" s="2">
        <v>3881.47</v>
      </c>
      <c r="R59" s="2">
        <v>5507.93</v>
      </c>
      <c r="S59" s="2">
        <v>5238.3599999999997</v>
      </c>
      <c r="T59" s="2">
        <v>3554.67</v>
      </c>
      <c r="U59" s="2">
        <v>7778.46</v>
      </c>
      <c r="V59" s="2">
        <v>12759.05</v>
      </c>
      <c r="W59" s="2">
        <v>28453.05</v>
      </c>
      <c r="X59" s="2">
        <v>50256.46</v>
      </c>
      <c r="Y59" s="2">
        <v>32673.09</v>
      </c>
      <c r="Z59" s="2">
        <v>29313.31</v>
      </c>
      <c r="AA59" s="2">
        <v>27517.06</v>
      </c>
      <c r="AB59" s="2">
        <v>5842.31</v>
      </c>
      <c r="AC59" s="2">
        <v>2894.19</v>
      </c>
      <c r="AD59" s="2">
        <v>29552.78</v>
      </c>
      <c r="AE59" s="2">
        <v>7295.01</v>
      </c>
      <c r="AF59" s="2">
        <v>4708.6000000000004</v>
      </c>
      <c r="AG59" s="2">
        <v>17905.78</v>
      </c>
      <c r="AH59" s="2">
        <v>12874.46</v>
      </c>
      <c r="AI59" s="2">
        <v>9314.64</v>
      </c>
      <c r="AJ59" s="2">
        <v>7945.13</v>
      </c>
      <c r="AK59" s="2">
        <v>2609.23</v>
      </c>
      <c r="AL59" s="2">
        <v>1784.01</v>
      </c>
      <c r="AM59" s="2">
        <v>2087.08</v>
      </c>
      <c r="AN59" s="2">
        <v>6896.1</v>
      </c>
      <c r="AO59" s="2">
        <v>4422.93</v>
      </c>
      <c r="AP59" s="2">
        <v>2234.91</v>
      </c>
      <c r="AQ59" s="2">
        <v>3760.84</v>
      </c>
      <c r="AR59" s="2">
        <v>3425.65</v>
      </c>
      <c r="AS59" s="2">
        <v>2354.65</v>
      </c>
      <c r="AT59" s="2">
        <v>5628.63</v>
      </c>
      <c r="AU59" s="2">
        <v>16816.439999999999</v>
      </c>
      <c r="AV59" s="2">
        <v>7424.83</v>
      </c>
      <c r="AW59" s="2">
        <v>1264.73</v>
      </c>
      <c r="AX59" s="2">
        <v>3835.09</v>
      </c>
      <c r="AY59" s="2">
        <v>3199.05</v>
      </c>
      <c r="AZ59" s="2">
        <v>2587.77</v>
      </c>
      <c r="BA59" s="2">
        <v>2301.66</v>
      </c>
      <c r="BB59" s="2">
        <v>1745.08</v>
      </c>
      <c r="BC59" s="2">
        <v>7779.91</v>
      </c>
      <c r="BD59" s="2">
        <v>1919.72</v>
      </c>
      <c r="BE59" s="2">
        <v>4689.16</v>
      </c>
      <c r="BF59" s="2">
        <v>2053.87</v>
      </c>
      <c r="BG59" s="2">
        <v>1662.62</v>
      </c>
      <c r="BH59" s="2">
        <v>2714.18</v>
      </c>
      <c r="BI59" s="2">
        <v>1264.9100000000001</v>
      </c>
    </row>
    <row r="60" spans="1:61">
      <c r="A60" s="1">
        <v>57</v>
      </c>
      <c r="B60" s="2">
        <v>4318.71</v>
      </c>
      <c r="C60" s="2">
        <v>3679.25</v>
      </c>
      <c r="D60" s="2">
        <v>3126.3</v>
      </c>
      <c r="E60" s="2">
        <v>3988.41</v>
      </c>
      <c r="F60" s="2">
        <v>4641.99</v>
      </c>
      <c r="G60" s="2">
        <v>6432.72</v>
      </c>
      <c r="H60" s="2">
        <v>21964.18</v>
      </c>
      <c r="I60" s="2">
        <v>27486.01</v>
      </c>
      <c r="J60" s="2">
        <v>10580.02</v>
      </c>
      <c r="K60" s="2">
        <v>21786.58</v>
      </c>
      <c r="L60" s="2">
        <v>1994.38</v>
      </c>
      <c r="M60" s="2">
        <v>2829.76</v>
      </c>
      <c r="N60" s="2">
        <v>6012.88</v>
      </c>
      <c r="O60" s="2">
        <v>10898.74</v>
      </c>
      <c r="P60" s="2">
        <v>13042.95</v>
      </c>
      <c r="Q60" s="2">
        <v>5215.12</v>
      </c>
      <c r="R60" s="2">
        <v>6223.87</v>
      </c>
      <c r="S60" s="2">
        <v>6916.28</v>
      </c>
      <c r="T60" s="2">
        <v>5486.79</v>
      </c>
      <c r="U60" s="2">
        <v>10113.59</v>
      </c>
      <c r="V60" s="2">
        <v>16198.2</v>
      </c>
      <c r="W60" s="2">
        <v>37237.25</v>
      </c>
      <c r="X60" s="2">
        <v>63746.54</v>
      </c>
      <c r="Y60" s="2">
        <v>47918.31</v>
      </c>
      <c r="Z60" s="2">
        <v>36304.120000000003</v>
      </c>
      <c r="AA60" s="2">
        <v>40404.93</v>
      </c>
      <c r="AB60" s="2">
        <v>8661.44</v>
      </c>
      <c r="AC60" s="2">
        <v>3956.69</v>
      </c>
      <c r="AD60" s="2">
        <v>35328.68</v>
      </c>
      <c r="AE60" s="2">
        <v>7610.16</v>
      </c>
      <c r="AF60" s="2">
        <v>5732.89</v>
      </c>
      <c r="AG60" s="2">
        <v>19663.560000000001</v>
      </c>
      <c r="AH60" s="2">
        <v>13511.92</v>
      </c>
      <c r="AI60" s="2">
        <v>12059.65</v>
      </c>
      <c r="AJ60" s="2">
        <v>8904.86</v>
      </c>
      <c r="AK60" s="2">
        <v>3406</v>
      </c>
      <c r="AL60" s="2">
        <v>2379.11</v>
      </c>
      <c r="AM60" s="2">
        <v>2387</v>
      </c>
      <c r="AN60" s="2">
        <v>7937.85</v>
      </c>
      <c r="AO60" s="2">
        <v>6674.04</v>
      </c>
      <c r="AP60" s="2">
        <v>2630.39</v>
      </c>
      <c r="AQ60" s="2">
        <v>4527.43</v>
      </c>
      <c r="AR60" s="2">
        <v>4686.04</v>
      </c>
      <c r="AS60" s="2">
        <v>3769.43</v>
      </c>
      <c r="AT60" s="2">
        <v>6754.47</v>
      </c>
      <c r="AU60" s="2">
        <v>16263.12</v>
      </c>
      <c r="AV60" s="2">
        <v>10202.32</v>
      </c>
      <c r="AW60" s="2">
        <v>1749.19</v>
      </c>
      <c r="AX60" s="2">
        <v>4655.13</v>
      </c>
      <c r="AY60" s="2">
        <v>3903.35</v>
      </c>
      <c r="AZ60" s="2">
        <v>3556.27</v>
      </c>
      <c r="BA60" s="2">
        <v>2519.5500000000002</v>
      </c>
      <c r="BB60" s="2">
        <v>1774.96</v>
      </c>
      <c r="BC60" s="2">
        <v>9241.57</v>
      </c>
      <c r="BD60" s="2">
        <v>2401.9299999999998</v>
      </c>
      <c r="BE60" s="2">
        <v>5618.16</v>
      </c>
      <c r="BF60" s="2">
        <v>2529.59</v>
      </c>
      <c r="BG60" s="2">
        <v>2026.66</v>
      </c>
      <c r="BH60" s="2">
        <v>3403.53</v>
      </c>
      <c r="BI60" s="2">
        <v>1369.03</v>
      </c>
    </row>
    <row r="61" spans="1:61">
      <c r="A61" s="1">
        <v>58</v>
      </c>
      <c r="B61" s="2">
        <v>5216.1899999999996</v>
      </c>
      <c r="C61" s="2">
        <v>4468.78</v>
      </c>
      <c r="D61" s="2">
        <v>3565.05</v>
      </c>
      <c r="E61" s="2">
        <v>3542.55</v>
      </c>
      <c r="F61" s="2">
        <v>4653.37</v>
      </c>
      <c r="G61" s="2">
        <v>7198.59</v>
      </c>
      <c r="H61" s="2">
        <v>25912.98</v>
      </c>
      <c r="I61" s="2">
        <v>31109.29</v>
      </c>
      <c r="J61" s="2">
        <v>12569.34</v>
      </c>
      <c r="K61" s="2">
        <v>27301.67</v>
      </c>
      <c r="L61" s="2">
        <v>2186.08</v>
      </c>
      <c r="M61" s="2">
        <v>3220.85</v>
      </c>
      <c r="N61" s="2">
        <v>6772.13</v>
      </c>
      <c r="O61" s="2">
        <v>12564.97</v>
      </c>
      <c r="P61" s="2">
        <v>14805.53</v>
      </c>
      <c r="Q61" s="2">
        <v>5980.05</v>
      </c>
      <c r="R61" s="2">
        <v>8804.99</v>
      </c>
      <c r="S61" s="2">
        <v>8280.0499999999993</v>
      </c>
      <c r="T61" s="2">
        <v>5956.24</v>
      </c>
      <c r="U61" s="2">
        <v>11406.52</v>
      </c>
      <c r="V61" s="2">
        <v>17338.39</v>
      </c>
      <c r="W61" s="2">
        <v>39175.019999999997</v>
      </c>
      <c r="X61" s="2">
        <v>69014.789999999994</v>
      </c>
      <c r="Y61" s="2">
        <v>53142.1</v>
      </c>
      <c r="Z61" s="2">
        <v>41606.78</v>
      </c>
      <c r="AA61" s="2">
        <v>39776.53</v>
      </c>
      <c r="AB61" s="2">
        <v>10061.049999999999</v>
      </c>
      <c r="AC61" s="2">
        <v>4148.01</v>
      </c>
      <c r="AD61" s="2">
        <v>39590.730000000003</v>
      </c>
      <c r="AE61" s="2">
        <v>9630.7199999999993</v>
      </c>
      <c r="AF61" s="2">
        <v>6733.06</v>
      </c>
      <c r="AG61" s="2">
        <v>24771.68</v>
      </c>
      <c r="AH61" s="2">
        <v>17186.349999999999</v>
      </c>
      <c r="AI61" s="2">
        <v>12666.96</v>
      </c>
      <c r="AJ61" s="2">
        <v>11580.32</v>
      </c>
      <c r="AK61" s="2">
        <v>3587.72</v>
      </c>
      <c r="AL61" s="2">
        <v>2672.13</v>
      </c>
      <c r="AM61" s="2">
        <v>2748.49</v>
      </c>
      <c r="AN61" s="2">
        <v>8238.8700000000008</v>
      </c>
      <c r="AO61" s="2">
        <v>6451.19</v>
      </c>
      <c r="AP61" s="2">
        <v>2950.43</v>
      </c>
      <c r="AQ61" s="2">
        <v>5454.06</v>
      </c>
      <c r="AR61" s="2">
        <v>4817.6400000000003</v>
      </c>
      <c r="AS61" s="2">
        <v>3771.13</v>
      </c>
      <c r="AT61" s="2">
        <v>8049.35</v>
      </c>
      <c r="AU61" s="2">
        <v>20126.919999999998</v>
      </c>
      <c r="AV61" s="2">
        <v>11431.29</v>
      </c>
      <c r="AW61" s="2">
        <v>1810.36</v>
      </c>
      <c r="AX61" s="2">
        <v>5375.73</v>
      </c>
      <c r="AY61" s="2">
        <v>4526.88</v>
      </c>
      <c r="AZ61" s="2">
        <v>4217.55</v>
      </c>
      <c r="BA61" s="2">
        <v>3403.22</v>
      </c>
      <c r="BB61" s="2">
        <v>2562.0500000000002</v>
      </c>
      <c r="BC61" s="2">
        <v>11427.33</v>
      </c>
      <c r="BD61" s="2">
        <v>2665.37</v>
      </c>
      <c r="BE61" s="2">
        <v>6645.85</v>
      </c>
      <c r="BF61" s="2">
        <v>3445.7</v>
      </c>
      <c r="BG61" s="2">
        <v>2452.4</v>
      </c>
      <c r="BH61" s="2">
        <v>3597.41</v>
      </c>
      <c r="BI61" s="2">
        <v>1625.16</v>
      </c>
    </row>
    <row r="62" spans="1:61">
      <c r="A62" s="1">
        <v>59</v>
      </c>
      <c r="B62" s="2">
        <v>3401.71</v>
      </c>
      <c r="C62" s="2">
        <v>3196.22</v>
      </c>
      <c r="D62" s="2">
        <v>2628.93</v>
      </c>
      <c r="E62" s="2">
        <v>2749.05</v>
      </c>
      <c r="F62" s="2">
        <v>2893.85</v>
      </c>
      <c r="G62" s="2">
        <v>5988.4</v>
      </c>
      <c r="H62" s="2">
        <v>21514.76</v>
      </c>
      <c r="I62" s="2">
        <v>27373.96</v>
      </c>
      <c r="J62" s="2">
        <v>9262.2199999999993</v>
      </c>
      <c r="K62" s="2">
        <v>20670.849999999999</v>
      </c>
      <c r="L62" s="2">
        <v>1969.68</v>
      </c>
      <c r="M62" s="2">
        <v>2481.75</v>
      </c>
      <c r="N62" s="2">
        <v>6090.42</v>
      </c>
      <c r="O62" s="2">
        <v>11499.17</v>
      </c>
      <c r="P62" s="2">
        <v>11755.44</v>
      </c>
      <c r="Q62" s="2">
        <v>4722.18</v>
      </c>
      <c r="R62" s="2">
        <v>5324.89</v>
      </c>
      <c r="S62" s="2">
        <v>6478.88</v>
      </c>
      <c r="T62" s="2">
        <v>4484.75</v>
      </c>
      <c r="U62" s="2">
        <v>7925.61</v>
      </c>
      <c r="V62" s="2">
        <v>13240.48</v>
      </c>
      <c r="W62" s="2">
        <v>30571.63</v>
      </c>
      <c r="X62" s="2">
        <v>55402.73</v>
      </c>
      <c r="Y62" s="2">
        <v>40047.410000000003</v>
      </c>
      <c r="Z62" s="2">
        <v>32477.35</v>
      </c>
      <c r="AA62" s="2">
        <v>34268.07</v>
      </c>
      <c r="AB62" s="2">
        <v>7406.33</v>
      </c>
      <c r="AC62" s="2">
        <v>3724.96</v>
      </c>
      <c r="AD62" s="2">
        <v>34607.760000000002</v>
      </c>
      <c r="AE62" s="2">
        <v>6304.94</v>
      </c>
      <c r="AF62" s="2">
        <v>5187.54</v>
      </c>
      <c r="AG62" s="2">
        <v>17611.53</v>
      </c>
      <c r="AH62" s="2">
        <v>14659.06</v>
      </c>
      <c r="AI62" s="2">
        <v>11129.47</v>
      </c>
      <c r="AJ62" s="2">
        <v>9071.26</v>
      </c>
      <c r="AK62" s="2">
        <v>3019.01</v>
      </c>
      <c r="AL62" s="2">
        <v>2026.27</v>
      </c>
      <c r="AM62" s="2">
        <v>2186.0300000000002</v>
      </c>
      <c r="AN62" s="2">
        <v>6993.37</v>
      </c>
      <c r="AO62" s="2">
        <v>4700.3</v>
      </c>
      <c r="AP62" s="2">
        <v>2454.88</v>
      </c>
      <c r="AQ62" s="2">
        <v>4565.59</v>
      </c>
      <c r="AR62" s="2">
        <v>3874.55</v>
      </c>
      <c r="AS62" s="2">
        <v>2719.21</v>
      </c>
      <c r="AT62" s="2">
        <v>6657.37</v>
      </c>
      <c r="AU62" s="2">
        <v>17488.060000000001</v>
      </c>
      <c r="AV62" s="2">
        <v>9292.1200000000008</v>
      </c>
      <c r="AW62" s="2">
        <v>1505.33</v>
      </c>
      <c r="AX62" s="2">
        <v>4864.0200000000004</v>
      </c>
      <c r="AY62" s="2">
        <v>3595.63</v>
      </c>
      <c r="AZ62" s="2">
        <v>3020.34</v>
      </c>
      <c r="BA62" s="2">
        <v>2411.1</v>
      </c>
      <c r="BB62" s="2">
        <v>2320</v>
      </c>
      <c r="BC62" s="2">
        <v>8603.35</v>
      </c>
      <c r="BD62" s="2">
        <v>2272.41</v>
      </c>
      <c r="BE62" s="2">
        <v>4566.4399999999996</v>
      </c>
      <c r="BF62" s="2">
        <v>3053.77</v>
      </c>
      <c r="BG62" s="2">
        <v>1706.39</v>
      </c>
      <c r="BH62" s="2">
        <v>3188.94</v>
      </c>
      <c r="BI62" s="2">
        <v>1236.33</v>
      </c>
    </row>
    <row r="63" spans="1:61">
      <c r="A63" s="1">
        <v>60</v>
      </c>
      <c r="B63" s="2">
        <v>3819.11</v>
      </c>
      <c r="C63" s="2">
        <v>3090.7</v>
      </c>
      <c r="D63" s="2">
        <v>2613.9899999999998</v>
      </c>
      <c r="E63" s="2">
        <v>2534.2399999999998</v>
      </c>
      <c r="F63" s="2">
        <v>2848.73</v>
      </c>
      <c r="G63" s="2">
        <v>5468.15</v>
      </c>
      <c r="H63" s="2">
        <v>16621.48</v>
      </c>
      <c r="I63" s="2">
        <v>22707.27</v>
      </c>
      <c r="J63" s="2">
        <v>8186.28</v>
      </c>
      <c r="K63" s="2">
        <v>14897.4</v>
      </c>
      <c r="L63" s="2">
        <v>1646.78</v>
      </c>
      <c r="M63" s="2">
        <v>1817.85</v>
      </c>
      <c r="N63" s="2">
        <v>4051.75</v>
      </c>
      <c r="O63" s="2">
        <v>9310.01</v>
      </c>
      <c r="P63" s="2">
        <v>9702.11</v>
      </c>
      <c r="Q63" s="2">
        <v>3102.82</v>
      </c>
      <c r="R63" s="2">
        <v>5204.59</v>
      </c>
      <c r="S63" s="2">
        <v>4294.3900000000003</v>
      </c>
      <c r="T63" s="2">
        <v>4140.13</v>
      </c>
      <c r="U63" s="2">
        <v>6918.38</v>
      </c>
      <c r="V63" s="2">
        <v>9218.07</v>
      </c>
      <c r="W63" s="2">
        <v>28012.59</v>
      </c>
      <c r="X63" s="2">
        <v>46415.19</v>
      </c>
      <c r="Y63" s="2">
        <v>28958.54</v>
      </c>
      <c r="Z63" s="2">
        <v>25891.279999999999</v>
      </c>
      <c r="AA63" s="2">
        <v>25884.79</v>
      </c>
      <c r="AB63" s="2">
        <v>6754.93</v>
      </c>
      <c r="AC63" s="2">
        <v>2324.25</v>
      </c>
      <c r="AD63" s="2">
        <v>23662.32</v>
      </c>
      <c r="AE63" s="2">
        <v>6080.98</v>
      </c>
      <c r="AF63" s="2">
        <v>4474.7700000000004</v>
      </c>
      <c r="AG63" s="2">
        <v>15963.04</v>
      </c>
      <c r="AH63" s="2">
        <v>9216.82</v>
      </c>
      <c r="AI63" s="2">
        <v>8987.81</v>
      </c>
      <c r="AJ63" s="2">
        <v>6959.59</v>
      </c>
      <c r="AK63" s="2">
        <v>2290.13</v>
      </c>
      <c r="AL63" s="2">
        <v>1811.71</v>
      </c>
      <c r="AM63" s="2">
        <v>1660.29</v>
      </c>
      <c r="AN63" s="2">
        <v>5066.37</v>
      </c>
      <c r="AO63" s="2">
        <v>4209.03</v>
      </c>
      <c r="AP63" s="2">
        <v>1943.1</v>
      </c>
      <c r="AQ63" s="2">
        <v>3188.94</v>
      </c>
      <c r="AR63" s="2">
        <v>3341.72</v>
      </c>
      <c r="AS63" s="2">
        <v>2436.42</v>
      </c>
      <c r="AT63" s="2">
        <v>6182.49</v>
      </c>
      <c r="AU63" s="2">
        <v>14281.08</v>
      </c>
      <c r="AV63" s="2">
        <v>7181.9</v>
      </c>
      <c r="AW63" s="2">
        <v>1297.44</v>
      </c>
      <c r="AX63" s="2">
        <v>3196.41</v>
      </c>
      <c r="AY63" s="2">
        <v>2826.75</v>
      </c>
      <c r="AZ63" s="2">
        <v>2576.8200000000002</v>
      </c>
      <c r="BA63" s="2">
        <v>1973.61</v>
      </c>
      <c r="BB63" s="2">
        <v>1600.47</v>
      </c>
      <c r="BC63" s="2">
        <v>6018.2</v>
      </c>
      <c r="BD63" s="2">
        <v>1893.53</v>
      </c>
      <c r="BE63" s="2">
        <v>3829.16</v>
      </c>
      <c r="BF63" s="2">
        <v>2400.7399999999998</v>
      </c>
      <c r="BG63" s="2">
        <v>1391.04</v>
      </c>
      <c r="BH63" s="2">
        <v>2329.59</v>
      </c>
      <c r="BI63" s="2">
        <v>895.54</v>
      </c>
    </row>
    <row r="64" spans="1:61">
      <c r="A64" s="1">
        <v>61</v>
      </c>
      <c r="B64" s="2">
        <v>2733.09</v>
      </c>
      <c r="C64" s="2">
        <v>2407.89</v>
      </c>
      <c r="D64" s="2">
        <v>2507.5</v>
      </c>
      <c r="E64" s="2">
        <v>2245.52</v>
      </c>
      <c r="F64" s="2">
        <v>2138.6799999999998</v>
      </c>
      <c r="G64" s="2">
        <v>4374.22</v>
      </c>
      <c r="H64" s="2">
        <v>17572.39</v>
      </c>
      <c r="I64" s="2">
        <v>22179.439999999999</v>
      </c>
      <c r="J64" s="2">
        <v>9145.73</v>
      </c>
      <c r="K64" s="2">
        <v>15869.25</v>
      </c>
      <c r="L64" s="2">
        <v>1678.48</v>
      </c>
      <c r="M64" s="2">
        <v>2171.1799999999998</v>
      </c>
      <c r="N64" s="2">
        <v>4907.7700000000004</v>
      </c>
      <c r="O64" s="2">
        <v>6853.7</v>
      </c>
      <c r="P64" s="2">
        <v>10059.959999999999</v>
      </c>
      <c r="Q64" s="2">
        <v>3376.48</v>
      </c>
      <c r="R64" s="2">
        <v>4356.95</v>
      </c>
      <c r="S64" s="2">
        <v>5077.1099999999997</v>
      </c>
      <c r="T64" s="2">
        <v>3479.55</v>
      </c>
      <c r="U64" s="2">
        <v>6981.26</v>
      </c>
      <c r="V64" s="2">
        <v>10701.52</v>
      </c>
      <c r="W64" s="2">
        <v>25338.91</v>
      </c>
      <c r="X64" s="2">
        <v>44587.040000000001</v>
      </c>
      <c r="Y64" s="2">
        <v>28051</v>
      </c>
      <c r="Z64" s="2">
        <v>31265.15</v>
      </c>
      <c r="AA64" s="2">
        <v>31219.93</v>
      </c>
      <c r="AB64" s="2">
        <v>5871.92</v>
      </c>
      <c r="AC64" s="2">
        <v>2662.47</v>
      </c>
      <c r="AD64" s="2">
        <v>24553.85</v>
      </c>
      <c r="AE64" s="2">
        <v>5958.78</v>
      </c>
      <c r="AF64" s="2">
        <v>3777.69</v>
      </c>
      <c r="AG64" s="2">
        <v>16566.72</v>
      </c>
      <c r="AH64" s="2">
        <v>12223.1</v>
      </c>
      <c r="AI64" s="2">
        <v>7701.89</v>
      </c>
      <c r="AJ64" s="2">
        <v>7943.78</v>
      </c>
      <c r="AK64" s="2">
        <v>2611.02</v>
      </c>
      <c r="AL64" s="2">
        <v>1542.08</v>
      </c>
      <c r="AM64" s="2">
        <v>1558.79</v>
      </c>
      <c r="AN64" s="2">
        <v>5949.9</v>
      </c>
      <c r="AO64" s="2">
        <v>5065.3900000000003</v>
      </c>
      <c r="AP64" s="2">
        <v>1872.98</v>
      </c>
      <c r="AQ64" s="2">
        <v>3552.66</v>
      </c>
      <c r="AR64" s="2">
        <v>3174.31</v>
      </c>
      <c r="AS64" s="2">
        <v>2371.87</v>
      </c>
      <c r="AT64" s="2">
        <v>4444.3900000000003</v>
      </c>
      <c r="AU64" s="2">
        <v>12639.84</v>
      </c>
      <c r="AV64" s="2">
        <v>6705.24</v>
      </c>
      <c r="AW64" s="2">
        <v>1219.46</v>
      </c>
      <c r="AX64" s="2">
        <v>3493.26</v>
      </c>
      <c r="AY64" s="2">
        <v>2779.45</v>
      </c>
      <c r="AZ64" s="2">
        <v>2470.61</v>
      </c>
      <c r="BA64" s="2">
        <v>2278.5700000000002</v>
      </c>
      <c r="BB64" s="2">
        <v>1604.56</v>
      </c>
      <c r="BC64" s="2">
        <v>7293.73</v>
      </c>
      <c r="BD64" s="2">
        <v>1720.18</v>
      </c>
      <c r="BE64" s="2">
        <v>3613.06</v>
      </c>
      <c r="BF64" s="2">
        <v>2476.13</v>
      </c>
      <c r="BG64" s="2">
        <v>1517.96</v>
      </c>
      <c r="BH64" s="2">
        <v>2449.58</v>
      </c>
      <c r="BI64" s="2">
        <v>1040.5999999999999</v>
      </c>
    </row>
    <row r="65" spans="1:61">
      <c r="A65" s="1">
        <v>62</v>
      </c>
      <c r="B65" s="2">
        <v>3127.89</v>
      </c>
      <c r="C65" s="2">
        <v>2461</v>
      </c>
      <c r="D65" s="2">
        <v>2652.8</v>
      </c>
      <c r="E65" s="2">
        <v>2191.48</v>
      </c>
      <c r="F65" s="2">
        <v>2794.32</v>
      </c>
      <c r="G65" s="2">
        <v>5270.31</v>
      </c>
      <c r="H65" s="2">
        <v>18465.919999999998</v>
      </c>
      <c r="I65" s="2">
        <v>22596.16</v>
      </c>
      <c r="J65" s="2">
        <v>8445.32</v>
      </c>
      <c r="K65" s="2">
        <v>13785.78</v>
      </c>
      <c r="L65" s="2">
        <v>1547.8</v>
      </c>
      <c r="M65" s="2">
        <v>2158.7800000000002</v>
      </c>
      <c r="N65" s="2">
        <v>4523.66</v>
      </c>
      <c r="O65" s="2">
        <v>8226.19</v>
      </c>
      <c r="P65" s="2">
        <v>9511.39</v>
      </c>
      <c r="Q65" s="2">
        <v>3489.72</v>
      </c>
      <c r="R65" s="2">
        <v>5519.42</v>
      </c>
      <c r="S65" s="2">
        <v>4906.43</v>
      </c>
      <c r="T65" s="2">
        <v>3269.32</v>
      </c>
      <c r="U65" s="2">
        <v>8218.5</v>
      </c>
      <c r="V65" s="2">
        <v>11080.11</v>
      </c>
      <c r="W65" s="2">
        <v>30912.3</v>
      </c>
      <c r="X65" s="2">
        <v>42692.23</v>
      </c>
      <c r="Y65" s="2">
        <v>34252.480000000003</v>
      </c>
      <c r="Z65" s="2">
        <v>31906.57</v>
      </c>
      <c r="AA65" s="2">
        <v>23867.78</v>
      </c>
      <c r="AB65" s="2">
        <v>6026.04</v>
      </c>
      <c r="AC65" s="2">
        <v>2915.31</v>
      </c>
      <c r="AD65" s="2">
        <v>23415.9</v>
      </c>
      <c r="AE65" s="2">
        <v>5590.66</v>
      </c>
      <c r="AF65" s="2">
        <v>4674.42</v>
      </c>
      <c r="AG65" s="2">
        <v>18586.8</v>
      </c>
      <c r="AH65" s="2">
        <v>9902.44</v>
      </c>
      <c r="AI65" s="2">
        <v>9444.02</v>
      </c>
      <c r="AJ65" s="2">
        <v>7232.35</v>
      </c>
      <c r="AK65" s="2">
        <v>2342.81</v>
      </c>
      <c r="AL65" s="2">
        <v>1560.73</v>
      </c>
      <c r="AM65" s="2">
        <v>1969.78</v>
      </c>
      <c r="AN65" s="2">
        <v>6060.44</v>
      </c>
      <c r="AO65" s="2">
        <v>4605.8</v>
      </c>
      <c r="AP65" s="2">
        <v>2054.23</v>
      </c>
      <c r="AQ65" s="2">
        <v>3413.59</v>
      </c>
      <c r="AR65" s="2">
        <v>3139.84</v>
      </c>
      <c r="AS65" s="2">
        <v>2468.81</v>
      </c>
      <c r="AT65" s="2">
        <v>5227.22</v>
      </c>
      <c r="AU65" s="2">
        <v>14887.79</v>
      </c>
      <c r="AV65" s="2">
        <v>7331.9</v>
      </c>
      <c r="AW65" s="2">
        <v>1277.69</v>
      </c>
      <c r="AX65" s="2">
        <v>3858.88</v>
      </c>
      <c r="AY65" s="2">
        <v>2527.7600000000002</v>
      </c>
      <c r="AZ65" s="2">
        <v>2339.0500000000002</v>
      </c>
      <c r="BA65" s="2">
        <v>1703.2</v>
      </c>
      <c r="BB65" s="2">
        <v>1682.08</v>
      </c>
      <c r="BC65" s="2">
        <v>6842.91</v>
      </c>
      <c r="BD65" s="2">
        <v>1876.81</v>
      </c>
      <c r="BE65" s="2">
        <v>4172.46</v>
      </c>
      <c r="BF65" s="2">
        <v>1997.52</v>
      </c>
      <c r="BG65" s="2">
        <v>1703.53</v>
      </c>
      <c r="BH65" s="2">
        <v>2489.86</v>
      </c>
      <c r="BI65" s="2">
        <v>992.37</v>
      </c>
    </row>
    <row r="66" spans="1:61">
      <c r="A66" s="1">
        <v>63</v>
      </c>
      <c r="B66" s="2">
        <v>3820.95</v>
      </c>
      <c r="C66" s="2">
        <v>2938.02</v>
      </c>
      <c r="D66" s="2">
        <v>2441.46</v>
      </c>
      <c r="E66" s="2">
        <v>2686.89</v>
      </c>
      <c r="F66" s="2">
        <v>3328.83</v>
      </c>
      <c r="G66" s="2">
        <v>5079.8</v>
      </c>
      <c r="H66" s="2">
        <v>18810.28</v>
      </c>
      <c r="I66" s="2">
        <v>18827.18</v>
      </c>
      <c r="J66" s="2">
        <v>7229.95</v>
      </c>
      <c r="K66" s="2">
        <v>17427.099999999999</v>
      </c>
      <c r="L66" s="2">
        <v>1454.49</v>
      </c>
      <c r="M66" s="2">
        <v>2049.42</v>
      </c>
      <c r="N66" s="2">
        <v>5643.57</v>
      </c>
      <c r="O66" s="2">
        <v>9887.4599999999991</v>
      </c>
      <c r="P66" s="2">
        <v>9406.44</v>
      </c>
      <c r="Q66" s="2">
        <v>3637.96</v>
      </c>
      <c r="R66" s="2">
        <v>5098.3</v>
      </c>
      <c r="S66" s="2">
        <v>5513.05</v>
      </c>
      <c r="T66" s="2">
        <v>3589.98</v>
      </c>
      <c r="U66" s="2">
        <v>8840.49</v>
      </c>
      <c r="V66" s="2">
        <v>10646.54</v>
      </c>
      <c r="W66" s="2">
        <v>30747.09</v>
      </c>
      <c r="X66" s="2">
        <v>49404.92</v>
      </c>
      <c r="Y66" s="2">
        <v>36312.39</v>
      </c>
      <c r="Z66" s="2">
        <v>32460</v>
      </c>
      <c r="AA66" s="2">
        <v>27620.39</v>
      </c>
      <c r="AB66" s="2">
        <v>6845.76</v>
      </c>
      <c r="AC66" s="2">
        <v>2794.98</v>
      </c>
      <c r="AD66" s="2">
        <v>23926.01</v>
      </c>
      <c r="AE66" s="2">
        <v>5417.86</v>
      </c>
      <c r="AF66" s="2">
        <v>4398.5600000000004</v>
      </c>
      <c r="AG66" s="2">
        <v>17935.48</v>
      </c>
      <c r="AH66" s="2">
        <v>10839.48</v>
      </c>
      <c r="AI66" s="2">
        <v>10522.5</v>
      </c>
      <c r="AJ66" s="2">
        <v>7973.43</v>
      </c>
      <c r="AK66" s="2">
        <v>2932.04</v>
      </c>
      <c r="AL66" s="2">
        <v>1813.01</v>
      </c>
      <c r="AM66" s="2">
        <v>1888.42</v>
      </c>
      <c r="AN66" s="2">
        <v>6433</v>
      </c>
      <c r="AO66" s="2">
        <v>5891.38</v>
      </c>
      <c r="AP66" s="2">
        <v>2419.7600000000002</v>
      </c>
      <c r="AQ66" s="2">
        <v>3700.81</v>
      </c>
      <c r="AR66" s="2">
        <v>3606.02</v>
      </c>
      <c r="AS66" s="2">
        <v>2580.56</v>
      </c>
      <c r="AT66" s="2">
        <v>5510.58</v>
      </c>
      <c r="AU66" s="2">
        <v>14340.62</v>
      </c>
      <c r="AV66" s="2">
        <v>8831.1299999999992</v>
      </c>
      <c r="AW66" s="2">
        <v>1480.67</v>
      </c>
      <c r="AX66" s="2">
        <v>3573.55</v>
      </c>
      <c r="AY66" s="2">
        <v>2589.69</v>
      </c>
      <c r="AZ66" s="2">
        <v>2547.5</v>
      </c>
      <c r="BA66" s="2">
        <v>2161.6</v>
      </c>
      <c r="BB66" s="2">
        <v>1829.74</v>
      </c>
      <c r="BC66" s="2">
        <v>7368.22</v>
      </c>
      <c r="BD66" s="2">
        <v>1862.21</v>
      </c>
      <c r="BE66" s="2">
        <v>4892.62</v>
      </c>
      <c r="BF66" s="2">
        <v>2401.81</v>
      </c>
      <c r="BG66" s="2">
        <v>1730.38</v>
      </c>
      <c r="BH66" s="2">
        <v>2250.77</v>
      </c>
      <c r="BI66" s="2">
        <v>1161.78</v>
      </c>
    </row>
    <row r="67" spans="1:61">
      <c r="A67" s="1">
        <v>64</v>
      </c>
      <c r="B67" s="2">
        <v>4312.41</v>
      </c>
      <c r="C67" s="2">
        <v>3757.92</v>
      </c>
      <c r="D67" s="2">
        <v>3080.82</v>
      </c>
      <c r="E67" s="2">
        <v>3059.42</v>
      </c>
      <c r="F67" s="2">
        <v>3587.77</v>
      </c>
      <c r="G67" s="2">
        <v>7232.86</v>
      </c>
      <c r="H67" s="2">
        <v>23573.48</v>
      </c>
      <c r="I67" s="2">
        <v>30130.39</v>
      </c>
      <c r="J67" s="2">
        <v>10466.68</v>
      </c>
      <c r="K67" s="2">
        <v>23135.63</v>
      </c>
      <c r="L67" s="2">
        <v>2137.2199999999998</v>
      </c>
      <c r="M67" s="2">
        <v>2555.98</v>
      </c>
      <c r="N67" s="2">
        <v>6214.31</v>
      </c>
      <c r="O67" s="2">
        <v>11132.14</v>
      </c>
      <c r="P67" s="2">
        <v>12999.31</v>
      </c>
      <c r="Q67" s="2">
        <v>4913.83</v>
      </c>
      <c r="R67" s="2">
        <v>6713.91</v>
      </c>
      <c r="S67" s="2">
        <v>6401.58</v>
      </c>
      <c r="T67" s="2">
        <v>4577.6099999999997</v>
      </c>
      <c r="U67" s="2">
        <v>9842.2999999999993</v>
      </c>
      <c r="V67" s="2">
        <v>13223.26</v>
      </c>
      <c r="W67" s="2">
        <v>38473.449999999997</v>
      </c>
      <c r="X67" s="2">
        <v>58838.59</v>
      </c>
      <c r="Y67" s="2">
        <v>46235.03</v>
      </c>
      <c r="Z67" s="2">
        <v>34811.54</v>
      </c>
      <c r="AA67" s="2">
        <v>39595.47</v>
      </c>
      <c r="AB67" s="2">
        <v>9245.48</v>
      </c>
      <c r="AC67" s="2">
        <v>3513.82</v>
      </c>
      <c r="AD67" s="2">
        <v>31670.09</v>
      </c>
      <c r="AE67" s="2">
        <v>7615.57</v>
      </c>
      <c r="AF67" s="2">
        <v>5396</v>
      </c>
      <c r="AG67" s="2">
        <v>22702.3</v>
      </c>
      <c r="AH67" s="2">
        <v>14312.3</v>
      </c>
      <c r="AI67" s="2">
        <v>12250.14</v>
      </c>
      <c r="AJ67" s="2">
        <v>10155.620000000001</v>
      </c>
      <c r="AK67" s="2">
        <v>3438.41</v>
      </c>
      <c r="AL67" s="2">
        <v>2296.14</v>
      </c>
      <c r="AM67" s="2">
        <v>2280.41</v>
      </c>
      <c r="AN67" s="2">
        <v>7169.11</v>
      </c>
      <c r="AO67" s="2">
        <v>6438.74</v>
      </c>
      <c r="AP67" s="2">
        <v>2709.38</v>
      </c>
      <c r="AQ67" s="2">
        <v>4590.71</v>
      </c>
      <c r="AR67" s="2">
        <v>4121.7</v>
      </c>
      <c r="AS67" s="2">
        <v>3117.01</v>
      </c>
      <c r="AT67" s="2">
        <v>7514.31</v>
      </c>
      <c r="AU67" s="2">
        <v>18353.5</v>
      </c>
      <c r="AV67" s="2">
        <v>9450.94</v>
      </c>
      <c r="AW67" s="2">
        <v>1457.99</v>
      </c>
      <c r="AX67" s="2">
        <v>4944.97</v>
      </c>
      <c r="AY67" s="2">
        <v>3835.19</v>
      </c>
      <c r="AZ67" s="2">
        <v>2925.84</v>
      </c>
      <c r="BA67" s="2">
        <v>2886.48</v>
      </c>
      <c r="BB67" s="2">
        <v>2066.66</v>
      </c>
      <c r="BC67" s="2">
        <v>9244.7000000000007</v>
      </c>
      <c r="BD67" s="2">
        <v>2398.59</v>
      </c>
      <c r="BE67" s="2">
        <v>5301.67</v>
      </c>
      <c r="BF67" s="2">
        <v>2771.45</v>
      </c>
      <c r="BG67" s="2">
        <v>1989.45</v>
      </c>
      <c r="BH67" s="2">
        <v>3079.65</v>
      </c>
      <c r="BI67" s="2">
        <v>1367.82</v>
      </c>
    </row>
    <row r="68" spans="1:61">
      <c r="A68" s="1">
        <v>65</v>
      </c>
      <c r="B68" s="2">
        <v>4607.4399999999996</v>
      </c>
      <c r="C68" s="2">
        <v>4334.79</v>
      </c>
      <c r="D68" s="2">
        <v>4248.84</v>
      </c>
      <c r="E68" s="2">
        <v>3849.36</v>
      </c>
      <c r="F68" s="2">
        <v>3922.8</v>
      </c>
      <c r="G68" s="2">
        <v>8653.5400000000009</v>
      </c>
      <c r="H68" s="2">
        <v>26612.84</v>
      </c>
      <c r="I68" s="2">
        <v>34518.35</v>
      </c>
      <c r="J68" s="2">
        <v>12507.6</v>
      </c>
      <c r="K68" s="2">
        <v>25911.13</v>
      </c>
      <c r="L68" s="2">
        <v>2493.61</v>
      </c>
      <c r="M68" s="2">
        <v>3021.67</v>
      </c>
      <c r="N68" s="2">
        <v>6556.55</v>
      </c>
      <c r="O68" s="2">
        <v>14553.99</v>
      </c>
      <c r="P68" s="2">
        <v>15441.74</v>
      </c>
      <c r="Q68" s="2">
        <v>5545.84</v>
      </c>
      <c r="R68" s="2">
        <v>8094.9</v>
      </c>
      <c r="S68" s="2">
        <v>7350.04</v>
      </c>
      <c r="T68" s="2">
        <v>5596.54</v>
      </c>
      <c r="U68" s="2">
        <v>11760.07</v>
      </c>
      <c r="V68" s="2">
        <v>16027.74</v>
      </c>
      <c r="W68" s="2">
        <v>41515.21</v>
      </c>
      <c r="X68" s="2">
        <v>72107.09</v>
      </c>
      <c r="Y68" s="2">
        <v>50014.69</v>
      </c>
      <c r="Z68" s="2">
        <v>45379.199999999997</v>
      </c>
      <c r="AA68" s="2">
        <v>44273.33</v>
      </c>
      <c r="AB68" s="2">
        <v>10204.19</v>
      </c>
      <c r="AC68" s="2">
        <v>4198.8</v>
      </c>
      <c r="AD68" s="2">
        <v>41132.18</v>
      </c>
      <c r="AE68" s="2">
        <v>8917.07</v>
      </c>
      <c r="AF68" s="2">
        <v>6270.44</v>
      </c>
      <c r="AG68" s="2">
        <v>24251.34</v>
      </c>
      <c r="AH68" s="2">
        <v>19511.84</v>
      </c>
      <c r="AI68" s="2">
        <v>14341.97</v>
      </c>
      <c r="AJ68" s="2">
        <v>11499.09</v>
      </c>
      <c r="AK68" s="2">
        <v>3479.88</v>
      </c>
      <c r="AL68" s="2">
        <v>2406.3000000000002</v>
      </c>
      <c r="AM68" s="2">
        <v>2641.8</v>
      </c>
      <c r="AN68" s="2">
        <v>9156.25</v>
      </c>
      <c r="AO68" s="2">
        <v>7015.45</v>
      </c>
      <c r="AP68" s="2">
        <v>3123.8</v>
      </c>
      <c r="AQ68" s="2">
        <v>5319.6</v>
      </c>
      <c r="AR68" s="2">
        <v>4625.71</v>
      </c>
      <c r="AS68" s="2">
        <v>3867.84</v>
      </c>
      <c r="AT68" s="2">
        <v>8650.7199999999993</v>
      </c>
      <c r="AU68" s="2">
        <v>20897.310000000001</v>
      </c>
      <c r="AV68" s="2">
        <v>9230.9</v>
      </c>
      <c r="AW68" s="2">
        <v>1646.06</v>
      </c>
      <c r="AX68" s="2">
        <v>5908.03</v>
      </c>
      <c r="AY68" s="2">
        <v>4482.4799999999996</v>
      </c>
      <c r="AZ68" s="2">
        <v>3391.17</v>
      </c>
      <c r="BA68" s="2">
        <v>2819.77</v>
      </c>
      <c r="BB68" s="2">
        <v>2737.99</v>
      </c>
      <c r="BC68" s="2">
        <v>11171.58</v>
      </c>
      <c r="BD68" s="2">
        <v>2619.46</v>
      </c>
      <c r="BE68" s="2">
        <v>6176.68</v>
      </c>
      <c r="BF68" s="2">
        <v>3618.44</v>
      </c>
      <c r="BG68" s="2">
        <v>2271.86</v>
      </c>
      <c r="BH68" s="2">
        <v>3810.91</v>
      </c>
      <c r="BI68" s="2">
        <v>1788.55</v>
      </c>
    </row>
    <row r="69" spans="1:61">
      <c r="A69" s="1">
        <v>66</v>
      </c>
      <c r="B69" s="2">
        <v>3887.63</v>
      </c>
      <c r="C69" s="2">
        <v>3051.56</v>
      </c>
      <c r="D69" s="2">
        <v>2834.94</v>
      </c>
      <c r="E69" s="2">
        <v>2960.6</v>
      </c>
      <c r="F69" s="2">
        <v>3096.7</v>
      </c>
      <c r="G69" s="2">
        <v>6094.62</v>
      </c>
      <c r="H69" s="2">
        <v>22641.79</v>
      </c>
      <c r="I69" s="2">
        <v>24489.02</v>
      </c>
      <c r="J69" s="2">
        <v>9296.27</v>
      </c>
      <c r="K69" s="2">
        <v>18802.93</v>
      </c>
      <c r="L69" s="2">
        <v>1934.17</v>
      </c>
      <c r="M69" s="2">
        <v>2552.1999999999998</v>
      </c>
      <c r="N69" s="2">
        <v>5610.85</v>
      </c>
      <c r="O69" s="2">
        <v>10217.549999999999</v>
      </c>
      <c r="P69" s="2">
        <v>11356.68</v>
      </c>
      <c r="Q69" s="2">
        <v>3881.55</v>
      </c>
      <c r="R69" s="2">
        <v>6432.76</v>
      </c>
      <c r="S69" s="2">
        <v>6000.48</v>
      </c>
      <c r="T69" s="2">
        <v>4144.3500000000004</v>
      </c>
      <c r="U69" s="2">
        <v>10019.82</v>
      </c>
      <c r="V69" s="2">
        <v>13823.91</v>
      </c>
      <c r="W69" s="2">
        <v>33231.199999999997</v>
      </c>
      <c r="X69" s="2">
        <v>52886.14</v>
      </c>
      <c r="Y69" s="2">
        <v>33251.67</v>
      </c>
      <c r="Z69" s="2">
        <v>30501.52</v>
      </c>
      <c r="AA69" s="2">
        <v>37647.71</v>
      </c>
      <c r="AB69" s="2">
        <v>6129.34</v>
      </c>
      <c r="AC69" s="2">
        <v>3423.94</v>
      </c>
      <c r="AD69" s="2">
        <v>28802.2</v>
      </c>
      <c r="AE69" s="2">
        <v>6495.4</v>
      </c>
      <c r="AF69" s="2">
        <v>5369.02</v>
      </c>
      <c r="AG69" s="2">
        <v>22109.5</v>
      </c>
      <c r="AH69" s="2">
        <v>12209.82</v>
      </c>
      <c r="AI69" s="2">
        <v>10415.48</v>
      </c>
      <c r="AJ69" s="2">
        <v>8020.28</v>
      </c>
      <c r="AK69" s="2">
        <v>3034.15</v>
      </c>
      <c r="AL69" s="2">
        <v>2093.9499999999998</v>
      </c>
      <c r="AM69" s="2">
        <v>1864.77</v>
      </c>
      <c r="AN69" s="2">
        <v>7623.77</v>
      </c>
      <c r="AO69" s="2">
        <v>6237.83</v>
      </c>
      <c r="AP69" s="2">
        <v>2200.33</v>
      </c>
      <c r="AQ69" s="2">
        <v>4206.78</v>
      </c>
      <c r="AR69" s="2">
        <v>3429.88</v>
      </c>
      <c r="AS69" s="2">
        <v>2719.01</v>
      </c>
      <c r="AT69" s="2">
        <v>6174.29</v>
      </c>
      <c r="AU69" s="2">
        <v>16461.650000000001</v>
      </c>
      <c r="AV69" s="2">
        <v>7372.64</v>
      </c>
      <c r="AW69" s="2">
        <v>1441.79</v>
      </c>
      <c r="AX69" s="2">
        <v>4412.91</v>
      </c>
      <c r="AY69" s="2">
        <v>3539.54</v>
      </c>
      <c r="AZ69" s="2">
        <v>2895.3</v>
      </c>
      <c r="BA69" s="2">
        <v>2365.63</v>
      </c>
      <c r="BB69" s="2">
        <v>2139.27</v>
      </c>
      <c r="BC69" s="2">
        <v>9311.0499999999993</v>
      </c>
      <c r="BD69" s="2">
        <v>1862.41</v>
      </c>
      <c r="BE69" s="2">
        <v>5429.57</v>
      </c>
      <c r="BF69" s="2">
        <v>2912.41</v>
      </c>
      <c r="BG69" s="2">
        <v>1912.01</v>
      </c>
      <c r="BH69" s="2">
        <v>2509.4499999999998</v>
      </c>
      <c r="BI69" s="2">
        <v>1282.33</v>
      </c>
    </row>
    <row r="70" spans="1:61">
      <c r="A70" s="1">
        <v>67</v>
      </c>
      <c r="B70" s="2">
        <v>2956.22</v>
      </c>
      <c r="C70" s="2">
        <v>2771.86</v>
      </c>
      <c r="D70" s="2">
        <v>2370.79</v>
      </c>
      <c r="E70" s="2">
        <v>2846.51</v>
      </c>
      <c r="F70" s="2">
        <v>2710.24</v>
      </c>
      <c r="G70" s="2">
        <v>6396.26</v>
      </c>
      <c r="H70" s="2">
        <v>19020.759999999998</v>
      </c>
      <c r="I70" s="2">
        <v>19999.27</v>
      </c>
      <c r="J70" s="2">
        <v>7007.53</v>
      </c>
      <c r="K70" s="2">
        <v>15478.85</v>
      </c>
      <c r="L70" s="2">
        <v>1691.89</v>
      </c>
      <c r="M70" s="2">
        <v>2255.54</v>
      </c>
      <c r="N70" s="2">
        <v>4758.88</v>
      </c>
      <c r="O70" s="2">
        <v>7318.92</v>
      </c>
      <c r="P70" s="2">
        <v>9099.8700000000008</v>
      </c>
      <c r="Q70" s="2">
        <v>3028.42</v>
      </c>
      <c r="R70" s="2">
        <v>4938.1400000000003</v>
      </c>
      <c r="S70" s="2">
        <v>5720.49</v>
      </c>
      <c r="T70" s="2">
        <v>3634.16</v>
      </c>
      <c r="U70" s="2">
        <v>6354.97</v>
      </c>
      <c r="V70" s="2">
        <v>12549.23</v>
      </c>
      <c r="W70" s="2">
        <v>29278.799999999999</v>
      </c>
      <c r="X70" s="2">
        <v>44481.06</v>
      </c>
      <c r="Y70" s="2">
        <v>34182.39</v>
      </c>
      <c r="Z70" s="2">
        <v>28277.919999999998</v>
      </c>
      <c r="AA70" s="2">
        <v>28940.01</v>
      </c>
      <c r="AB70" s="2">
        <v>6544.74</v>
      </c>
      <c r="AC70" s="2">
        <v>3079.92</v>
      </c>
      <c r="AD70" s="2">
        <v>23238.07</v>
      </c>
      <c r="AE70" s="2">
        <v>5741.55</v>
      </c>
      <c r="AF70" s="2">
        <v>3915.08</v>
      </c>
      <c r="AG70" s="2">
        <v>15078.61</v>
      </c>
      <c r="AH70" s="2">
        <v>12345.92</v>
      </c>
      <c r="AI70" s="2">
        <v>7821.13</v>
      </c>
      <c r="AJ70" s="2">
        <v>7186.35</v>
      </c>
      <c r="AK70" s="2">
        <v>2375.73</v>
      </c>
      <c r="AL70" s="2">
        <v>1737</v>
      </c>
      <c r="AM70" s="2">
        <v>1616.42</v>
      </c>
      <c r="AN70" s="2">
        <v>5993.41</v>
      </c>
      <c r="AO70" s="2">
        <v>4414.41</v>
      </c>
      <c r="AP70" s="2">
        <v>1898.71</v>
      </c>
      <c r="AQ70" s="2">
        <v>3688.41</v>
      </c>
      <c r="AR70" s="2">
        <v>2843.92</v>
      </c>
      <c r="AS70" s="2">
        <v>2453.4</v>
      </c>
      <c r="AT70" s="2">
        <v>5179.54</v>
      </c>
      <c r="AU70" s="2">
        <v>11819.69</v>
      </c>
      <c r="AV70" s="2">
        <v>7029.74</v>
      </c>
      <c r="AW70" s="2">
        <v>1217.02</v>
      </c>
      <c r="AX70" s="2">
        <v>3828.45</v>
      </c>
      <c r="AY70" s="2">
        <v>2853.56</v>
      </c>
      <c r="AZ70" s="2">
        <v>2576.86</v>
      </c>
      <c r="BA70" s="2">
        <v>1770.56</v>
      </c>
      <c r="BB70" s="2">
        <v>1528.96</v>
      </c>
      <c r="BC70" s="2">
        <v>6811.76</v>
      </c>
      <c r="BD70" s="2">
        <v>1806.59</v>
      </c>
      <c r="BE70" s="2">
        <v>4480.4799999999996</v>
      </c>
      <c r="BF70" s="2">
        <v>1973</v>
      </c>
      <c r="BG70" s="2">
        <v>1452.7</v>
      </c>
      <c r="BH70" s="2">
        <v>2530.06</v>
      </c>
      <c r="BI70" s="2">
        <v>1007.44</v>
      </c>
    </row>
    <row r="71" spans="1:61">
      <c r="A71" s="1">
        <v>68</v>
      </c>
      <c r="B71" s="2">
        <v>3762.03</v>
      </c>
      <c r="C71" s="2">
        <v>2942.37</v>
      </c>
      <c r="D71" s="2">
        <v>2658.95</v>
      </c>
      <c r="E71" s="2">
        <v>2394.35</v>
      </c>
      <c r="F71" s="2">
        <v>2758.78</v>
      </c>
      <c r="G71" s="2">
        <v>4604.2299999999996</v>
      </c>
      <c r="H71" s="2">
        <v>16806.080000000002</v>
      </c>
      <c r="I71" s="2">
        <v>23991.89</v>
      </c>
      <c r="J71" s="2">
        <v>7167.51</v>
      </c>
      <c r="K71" s="2">
        <v>12709.41</v>
      </c>
      <c r="L71" s="2">
        <v>1429.42</v>
      </c>
      <c r="M71" s="2">
        <v>1870.79</v>
      </c>
      <c r="N71" s="2">
        <v>4606.6499999999996</v>
      </c>
      <c r="O71" s="2">
        <v>7974.68</v>
      </c>
      <c r="P71" s="2">
        <v>7827.88</v>
      </c>
      <c r="Q71" s="2">
        <v>3168.54</v>
      </c>
      <c r="R71" s="2">
        <v>5185.57</v>
      </c>
      <c r="S71" s="2">
        <v>5557.9</v>
      </c>
      <c r="T71" s="2">
        <v>3659.44</v>
      </c>
      <c r="U71" s="2">
        <v>7195.84</v>
      </c>
      <c r="V71" s="2">
        <v>11208.1</v>
      </c>
      <c r="W71" s="2">
        <v>22674.61</v>
      </c>
      <c r="X71" s="2">
        <v>46850.29</v>
      </c>
      <c r="Y71" s="2">
        <v>28302.68</v>
      </c>
      <c r="Z71" s="2">
        <v>24963.81</v>
      </c>
      <c r="AA71" s="2">
        <v>28708.2</v>
      </c>
      <c r="AB71" s="2">
        <v>5871.49</v>
      </c>
      <c r="AC71" s="2">
        <v>2606.27</v>
      </c>
      <c r="AD71" s="2">
        <v>22767.47</v>
      </c>
      <c r="AE71" s="2">
        <v>5195.76</v>
      </c>
      <c r="AF71" s="2">
        <v>4314.16</v>
      </c>
      <c r="AG71" s="2">
        <v>13877.43</v>
      </c>
      <c r="AH71" s="2">
        <v>12236.33</v>
      </c>
      <c r="AI71" s="2">
        <v>8867.99</v>
      </c>
      <c r="AJ71" s="2">
        <v>6570.29</v>
      </c>
      <c r="AK71" s="2">
        <v>2895.74</v>
      </c>
      <c r="AL71" s="2">
        <v>1683.4</v>
      </c>
      <c r="AM71" s="2">
        <v>1568.22</v>
      </c>
      <c r="AN71" s="2">
        <v>4870.6000000000004</v>
      </c>
      <c r="AO71" s="2">
        <v>4437.1499999999996</v>
      </c>
      <c r="AP71" s="2">
        <v>2215.9499999999998</v>
      </c>
      <c r="AQ71" s="2">
        <v>3865.53</v>
      </c>
      <c r="AR71" s="2">
        <v>3164.26</v>
      </c>
      <c r="AS71" s="2">
        <v>3091.67</v>
      </c>
      <c r="AT71" s="2">
        <v>4665.8</v>
      </c>
      <c r="AU71" s="2">
        <v>12077.65</v>
      </c>
      <c r="AV71" s="2">
        <v>7869.44</v>
      </c>
      <c r="AW71" s="2">
        <v>1234.6199999999999</v>
      </c>
      <c r="AX71" s="2">
        <v>3361.37</v>
      </c>
      <c r="AY71" s="2">
        <v>2834.21</v>
      </c>
      <c r="AZ71" s="2">
        <v>2250.3000000000002</v>
      </c>
      <c r="BA71" s="2">
        <v>2170.27</v>
      </c>
      <c r="BB71" s="2">
        <v>1575.33</v>
      </c>
      <c r="BC71" s="2">
        <v>5609.79</v>
      </c>
      <c r="BD71" s="2">
        <v>1606.59</v>
      </c>
      <c r="BE71" s="2">
        <v>3746.53</v>
      </c>
      <c r="BF71" s="2">
        <v>2274.3000000000002</v>
      </c>
      <c r="BG71" s="2">
        <v>1531.73</v>
      </c>
      <c r="BH71" s="2">
        <v>2305.64</v>
      </c>
      <c r="BI71" s="2">
        <v>1150.96</v>
      </c>
    </row>
    <row r="72" spans="1:61">
      <c r="A72" s="1">
        <v>69</v>
      </c>
      <c r="B72" s="2">
        <v>3051.25</v>
      </c>
      <c r="C72" s="2">
        <v>3107.64</v>
      </c>
      <c r="D72" s="2">
        <v>1971.41</v>
      </c>
      <c r="E72" s="2">
        <v>2673.71</v>
      </c>
      <c r="F72" s="2">
        <v>2851.02</v>
      </c>
      <c r="G72" s="2">
        <v>5927.67</v>
      </c>
      <c r="H72" s="2">
        <v>14466.83</v>
      </c>
      <c r="I72" s="2">
        <v>21855.38</v>
      </c>
      <c r="J72" s="2">
        <v>8322.3799999999992</v>
      </c>
      <c r="K72" s="2">
        <v>13711.36</v>
      </c>
      <c r="L72" s="2">
        <v>1527.04</v>
      </c>
      <c r="M72" s="2">
        <v>2215.9499999999998</v>
      </c>
      <c r="N72" s="2">
        <v>5225.22</v>
      </c>
      <c r="O72" s="2">
        <v>8335.77</v>
      </c>
      <c r="P72" s="2">
        <v>7673.71</v>
      </c>
      <c r="Q72" s="2">
        <v>3170.56</v>
      </c>
      <c r="R72" s="2">
        <v>4146.0600000000004</v>
      </c>
      <c r="S72" s="2">
        <v>5047.53</v>
      </c>
      <c r="T72" s="2">
        <v>3976.24</v>
      </c>
      <c r="U72" s="2">
        <v>7402.6</v>
      </c>
      <c r="V72" s="2">
        <v>10989.02</v>
      </c>
      <c r="W72" s="2">
        <v>26867.91</v>
      </c>
      <c r="X72" s="2">
        <v>44242.559999999998</v>
      </c>
      <c r="Y72" s="2">
        <v>30454.9</v>
      </c>
      <c r="Z72" s="2">
        <v>24700.75</v>
      </c>
      <c r="AA72" s="2">
        <v>26497.62</v>
      </c>
      <c r="AB72" s="2">
        <v>5943.91</v>
      </c>
      <c r="AC72" s="2">
        <v>2818.15</v>
      </c>
      <c r="AD72" s="2">
        <v>25504.05</v>
      </c>
      <c r="AE72" s="2">
        <v>5347.21</v>
      </c>
      <c r="AF72" s="2">
        <v>4450.12</v>
      </c>
      <c r="AG72" s="2">
        <v>12791.2</v>
      </c>
      <c r="AH72" s="2">
        <v>11014.74</v>
      </c>
      <c r="AI72" s="2">
        <v>8258.59</v>
      </c>
      <c r="AJ72" s="2">
        <v>7361.07</v>
      </c>
      <c r="AK72" s="2">
        <v>2642.74</v>
      </c>
      <c r="AL72" s="2">
        <v>1502.44</v>
      </c>
      <c r="AM72" s="2">
        <v>1722.97</v>
      </c>
      <c r="AN72" s="2">
        <v>5578.26</v>
      </c>
      <c r="AO72" s="2">
        <v>5364.02</v>
      </c>
      <c r="AP72" s="2">
        <v>1950.49</v>
      </c>
      <c r="AQ72" s="2">
        <v>3182.88</v>
      </c>
      <c r="AR72" s="2">
        <v>3451.27</v>
      </c>
      <c r="AS72" s="2">
        <v>2428.16</v>
      </c>
      <c r="AT72" s="2">
        <v>4990.25</v>
      </c>
      <c r="AU72" s="2">
        <v>12161.38</v>
      </c>
      <c r="AV72" s="2">
        <v>7626.23</v>
      </c>
      <c r="AW72" s="2">
        <v>1172.19</v>
      </c>
      <c r="AX72" s="2">
        <v>4065.92</v>
      </c>
      <c r="AY72" s="2">
        <v>3037.35</v>
      </c>
      <c r="AZ72" s="2">
        <v>2495.2600000000002</v>
      </c>
      <c r="BA72" s="2">
        <v>2093.4699999999998</v>
      </c>
      <c r="BB72" s="2">
        <v>1874.18</v>
      </c>
      <c r="BC72" s="2">
        <v>6814.37</v>
      </c>
      <c r="BD72" s="2">
        <v>1719.02</v>
      </c>
      <c r="BE72" s="2">
        <v>4398.18</v>
      </c>
      <c r="BF72" s="2">
        <v>2288.94</v>
      </c>
      <c r="BG72" s="2">
        <v>1495.66</v>
      </c>
      <c r="BH72" s="2">
        <v>2338.77</v>
      </c>
      <c r="BI72" s="2">
        <v>1073.52</v>
      </c>
    </row>
    <row r="73" spans="1:61">
      <c r="A73" s="1">
        <v>70</v>
      </c>
      <c r="B73" s="2">
        <v>3230.41</v>
      </c>
      <c r="C73" s="2">
        <v>2862.22</v>
      </c>
      <c r="D73" s="2">
        <v>2862.37</v>
      </c>
      <c r="E73" s="2">
        <v>2723.93</v>
      </c>
      <c r="F73" s="2">
        <v>2755.11</v>
      </c>
      <c r="G73" s="2">
        <v>6113.73</v>
      </c>
      <c r="H73" s="2">
        <v>19379.689999999999</v>
      </c>
      <c r="I73" s="2">
        <v>20333.43</v>
      </c>
      <c r="J73" s="2">
        <v>8716.07</v>
      </c>
      <c r="K73" s="2">
        <v>15526.6</v>
      </c>
      <c r="L73" s="2">
        <v>1799.2</v>
      </c>
      <c r="M73" s="2">
        <v>2307.87</v>
      </c>
      <c r="N73" s="2">
        <v>4911.87</v>
      </c>
      <c r="O73" s="2">
        <v>8434.76</v>
      </c>
      <c r="P73" s="2">
        <v>10004.549999999999</v>
      </c>
      <c r="Q73" s="2">
        <v>4087.48</v>
      </c>
      <c r="R73" s="2">
        <v>5572.17</v>
      </c>
      <c r="S73" s="2">
        <v>5120.47</v>
      </c>
      <c r="T73" s="2">
        <v>3669.86</v>
      </c>
      <c r="U73" s="2">
        <v>8144.39</v>
      </c>
      <c r="V73" s="2">
        <v>11033.47</v>
      </c>
      <c r="W73" s="2">
        <v>27148.07</v>
      </c>
      <c r="X73" s="2">
        <v>44416.95</v>
      </c>
      <c r="Y73" s="2">
        <v>33062.82</v>
      </c>
      <c r="Z73" s="2">
        <v>28376.98</v>
      </c>
      <c r="AA73" s="2">
        <v>27189.84</v>
      </c>
      <c r="AB73" s="2">
        <v>7119.61</v>
      </c>
      <c r="AC73" s="2">
        <v>3097.81</v>
      </c>
      <c r="AD73" s="2">
        <v>30515.39</v>
      </c>
      <c r="AE73" s="2">
        <v>5954.22</v>
      </c>
      <c r="AF73" s="2">
        <v>4131.3900000000003</v>
      </c>
      <c r="AG73" s="2">
        <v>18224.07</v>
      </c>
      <c r="AH73" s="2">
        <v>10991.17</v>
      </c>
      <c r="AI73" s="2">
        <v>9074.08</v>
      </c>
      <c r="AJ73" s="2">
        <v>9386.5400000000009</v>
      </c>
      <c r="AK73" s="2">
        <v>2445.98</v>
      </c>
      <c r="AL73" s="2">
        <v>1965.31</v>
      </c>
      <c r="AM73" s="2">
        <v>1925.95</v>
      </c>
      <c r="AN73" s="2">
        <v>6327.93</v>
      </c>
      <c r="AO73" s="2">
        <v>4920.6400000000003</v>
      </c>
      <c r="AP73" s="2">
        <v>1958.67</v>
      </c>
      <c r="AQ73" s="2">
        <v>4161.72</v>
      </c>
      <c r="AR73" s="2">
        <v>3055.77</v>
      </c>
      <c r="AS73" s="2">
        <v>2853.61</v>
      </c>
      <c r="AT73" s="2">
        <v>5187.42</v>
      </c>
      <c r="AU73" s="2">
        <v>13806.77</v>
      </c>
      <c r="AV73" s="2">
        <v>6930.83</v>
      </c>
      <c r="AW73" s="2">
        <v>1386.32</v>
      </c>
      <c r="AX73" s="2">
        <v>4434.67</v>
      </c>
      <c r="AY73" s="2">
        <v>3051.58</v>
      </c>
      <c r="AZ73" s="2">
        <v>2415.4299999999998</v>
      </c>
      <c r="BA73" s="2">
        <v>2080.69</v>
      </c>
      <c r="BB73" s="2">
        <v>1535.63</v>
      </c>
      <c r="BC73" s="2">
        <v>7882.03</v>
      </c>
      <c r="BD73" s="2">
        <v>1827.77</v>
      </c>
      <c r="BE73" s="2">
        <v>4203.29</v>
      </c>
      <c r="BF73" s="2">
        <v>2446.52</v>
      </c>
      <c r="BG73" s="2">
        <v>1727.18</v>
      </c>
      <c r="BH73" s="2">
        <v>2812.2</v>
      </c>
      <c r="BI73" s="2">
        <v>1144.3399999999999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№1-2</vt:lpstr>
      <vt:lpstr>Задание №3</vt:lpstr>
      <vt:lpstr>Задание №4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Gavko</cp:lastModifiedBy>
  <dcterms:created xsi:type="dcterms:W3CDTF">2018-08-04T12:25:52Z</dcterms:created>
  <dcterms:modified xsi:type="dcterms:W3CDTF">2025-11-07T02:18:22Z</dcterms:modified>
</cp:coreProperties>
</file>