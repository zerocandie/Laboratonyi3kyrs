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2.xml" ContentType="application/vnd.openxmlformats-officedocument.drawing+xml"/>
  <Override PartName="/xl/charts/chart1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7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vko\Desktop\Laboratonyi3kyrs\fadd\Эконометрика\lab2\"/>
    </mc:Choice>
  </mc:AlternateContent>
  <xr:revisionPtr revIDLastSave="0" documentId="8_{5DFAE060-E58E-4302-896A-0F9D899D51FA}" xr6:coauthVersionLast="47" xr6:coauthVersionMax="47" xr10:uidLastSave="{00000000-0000-0000-0000-000000000000}"/>
  <bookViews>
    <workbookView xWindow="6165" yWindow="2205" windowWidth="21525" windowHeight="11295" activeTab="1" xr2:uid="{00000000-000D-0000-FFFF-FFFF00000000}"/>
  </bookViews>
  <sheets>
    <sheet name="Задание №1-2" sheetId="1" r:id="rId1"/>
    <sheet name="Задание №3" sheetId="2" r:id="rId2"/>
    <sheet name="Задание №4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2" l="1"/>
  <c r="F37" i="2"/>
  <c r="F27" i="2"/>
  <c r="F23" i="2"/>
  <c r="H17" i="2" a="1"/>
  <c r="H14" i="2" a="1"/>
  <c r="H14" i="2" s="1"/>
  <c r="F34" i="2"/>
  <c r="F33" i="2"/>
  <c r="H24" i="2" l="1"/>
  <c r="H17" i="2"/>
  <c r="H27" i="2" s="1"/>
  <c r="T17" i="2"/>
  <c r="T34" i="2"/>
  <c r="T37" i="2"/>
  <c r="T41" i="2"/>
  <c r="T18" i="2"/>
  <c r="T21" i="2"/>
  <c r="T32" i="2"/>
  <c r="T35" i="2"/>
  <c r="T42" i="2"/>
  <c r="T45" i="2"/>
  <c r="T33" i="2"/>
  <c r="T39" i="2"/>
  <c r="T36" i="2"/>
  <c r="T40" i="2"/>
  <c r="T43" i="2"/>
  <c r="T50" i="2"/>
  <c r="T10" i="2"/>
  <c r="T13" i="2"/>
  <c r="T24" i="2"/>
  <c r="T44" i="2"/>
  <c r="T48" i="2"/>
  <c r="T51" i="2"/>
  <c r="T31" i="2"/>
  <c r="T38" i="2"/>
  <c r="T7" i="2"/>
  <c r="T11" i="2"/>
  <c r="T4" i="2"/>
  <c r="T8" i="2"/>
  <c r="T26" i="2"/>
  <c r="T29" i="2"/>
  <c r="T15" i="2"/>
  <c r="T19" i="2"/>
  <c r="T3" i="2"/>
  <c r="T2" i="2"/>
  <c r="T12" i="2"/>
  <c r="T16" i="2"/>
  <c r="H29" i="2"/>
  <c r="H25" i="2"/>
  <c r="I26" i="2"/>
  <c r="I24" i="2"/>
  <c r="I25" i="2" s="1"/>
  <c r="I27" i="2"/>
  <c r="M2" i="2"/>
  <c r="E36" i="2"/>
  <c r="M3" i="2"/>
  <c r="N3" i="2"/>
  <c r="N4" i="2" s="1"/>
  <c r="H26" i="2"/>
  <c r="F39" i="2"/>
  <c r="F40" i="2" s="1"/>
  <c r="G9" i="2"/>
  <c r="AO49" i="1"/>
  <c r="AW44" i="1"/>
  <c r="AO42" i="1"/>
  <c r="AO41" i="1"/>
  <c r="AO39" i="1"/>
  <c r="AO38" i="1"/>
  <c r="AR38" i="1" s="1"/>
  <c r="AO33" i="1"/>
  <c r="AO32" i="1"/>
  <c r="AO30" i="1"/>
  <c r="AS35" i="1" s="1"/>
  <c r="AO29" i="1"/>
  <c r="AR29" i="1" s="1"/>
  <c r="AO23" i="1"/>
  <c r="AO24" i="1"/>
  <c r="AO20" i="1"/>
  <c r="AO21" i="1"/>
  <c r="AS26" i="1" s="1"/>
  <c r="AO15" i="1"/>
  <c r="AO14" i="1"/>
  <c r="AO7" i="1"/>
  <c r="AO11" i="1"/>
  <c r="AR11" i="1" s="1"/>
  <c r="AO12" i="1"/>
  <c r="AO4" i="1"/>
  <c r="AS8" i="1" s="1"/>
  <c r="AO6" i="1"/>
  <c r="AO3" i="1"/>
  <c r="D72" i="1"/>
  <c r="F108" i="1" s="1"/>
  <c r="T27" i="2" l="1"/>
  <c r="T30" i="2"/>
  <c r="U30" i="2" s="1"/>
  <c r="T46" i="2"/>
  <c r="V46" i="2" s="1"/>
  <c r="T14" i="2"/>
  <c r="T20" i="2"/>
  <c r="T9" i="2"/>
  <c r="V9" i="2" s="1"/>
  <c r="T28" i="2"/>
  <c r="T23" i="2"/>
  <c r="U23" i="2" s="1"/>
  <c r="T5" i="2"/>
  <c r="T22" i="2"/>
  <c r="U22" i="2" s="1"/>
  <c r="T25" i="2"/>
  <c r="V25" i="2" s="1"/>
  <c r="T6" i="2"/>
  <c r="T49" i="2"/>
  <c r="T47" i="2"/>
  <c r="U47" i="2" s="1"/>
  <c r="U49" i="2"/>
  <c r="V49" i="2"/>
  <c r="U8" i="2"/>
  <c r="V8" i="2"/>
  <c r="V45" i="2"/>
  <c r="U45" i="2"/>
  <c r="U3" i="2"/>
  <c r="V3" i="2"/>
  <c r="V42" i="2"/>
  <c r="U42" i="2"/>
  <c r="U15" i="2"/>
  <c r="V15" i="2"/>
  <c r="U7" i="2"/>
  <c r="V7" i="2"/>
  <c r="U24" i="2"/>
  <c r="V24" i="2"/>
  <c r="V36" i="2"/>
  <c r="U36" i="2"/>
  <c r="U32" i="2"/>
  <c r="V32" i="2"/>
  <c r="V27" i="2"/>
  <c r="U27" i="2"/>
  <c r="V47" i="2"/>
  <c r="U2" i="2"/>
  <c r="V2" i="2"/>
  <c r="U41" i="2"/>
  <c r="V41" i="2"/>
  <c r="U48" i="2"/>
  <c r="V48" i="2"/>
  <c r="V43" i="2"/>
  <c r="U43" i="2"/>
  <c r="V19" i="2"/>
  <c r="U19" i="2"/>
  <c r="V44" i="2"/>
  <c r="U44" i="2"/>
  <c r="U35" i="2"/>
  <c r="V35" i="2"/>
  <c r="V30" i="2"/>
  <c r="U46" i="2"/>
  <c r="V14" i="2"/>
  <c r="U14" i="2"/>
  <c r="V20" i="2"/>
  <c r="U20" i="2"/>
  <c r="U9" i="2"/>
  <c r="V28" i="2"/>
  <c r="U28" i="2"/>
  <c r="V5" i="2"/>
  <c r="U5" i="2"/>
  <c r="V51" i="2"/>
  <c r="U51" i="2"/>
  <c r="V37" i="2"/>
  <c r="U37" i="2"/>
  <c r="V11" i="2"/>
  <c r="U11" i="2"/>
  <c r="U40" i="2"/>
  <c r="V40" i="2"/>
  <c r="U16" i="2"/>
  <c r="V16" i="2"/>
  <c r="V29" i="2"/>
  <c r="U29" i="2"/>
  <c r="V38" i="2"/>
  <c r="U38" i="2"/>
  <c r="V13" i="2"/>
  <c r="U13" i="2"/>
  <c r="U39" i="2"/>
  <c r="V39" i="2"/>
  <c r="V21" i="2"/>
  <c r="U21" i="2"/>
  <c r="U17" i="2"/>
  <c r="V17" i="2"/>
  <c r="V22" i="2"/>
  <c r="V6" i="2"/>
  <c r="U6" i="2"/>
  <c r="V50" i="2"/>
  <c r="U50" i="2"/>
  <c r="V4" i="2"/>
  <c r="U4" i="2"/>
  <c r="U34" i="2"/>
  <c r="V34" i="2"/>
  <c r="V12" i="2"/>
  <c r="U12" i="2"/>
  <c r="U26" i="2"/>
  <c r="V26" i="2"/>
  <c r="U31" i="2"/>
  <c r="V31" i="2"/>
  <c r="V10" i="2"/>
  <c r="U10" i="2"/>
  <c r="U33" i="2"/>
  <c r="V33" i="2"/>
  <c r="U18" i="2"/>
  <c r="V18" i="2"/>
  <c r="O3" i="2"/>
  <c r="F42" i="2"/>
  <c r="F41" i="2"/>
  <c r="O2" i="2"/>
  <c r="M4" i="2"/>
  <c r="AO31" i="1"/>
  <c r="AO22" i="1"/>
  <c r="AO40" i="1"/>
  <c r="AS38" i="1" s="1"/>
  <c r="AO13" i="1"/>
  <c r="AS11" i="1" s="1"/>
  <c r="AT11" i="1" s="1"/>
  <c r="AW8" i="1"/>
  <c r="AS29" i="1"/>
  <c r="AT29" i="1"/>
  <c r="AW26" i="1"/>
  <c r="AW35" i="1"/>
  <c r="AO5" i="1"/>
  <c r="AS2" i="1" s="1"/>
  <c r="AT2" i="1" s="1"/>
  <c r="AX2" i="1" s="1"/>
  <c r="G103" i="1"/>
  <c r="AR20" i="1"/>
  <c r="E89" i="1"/>
  <c r="G104" i="1"/>
  <c r="G102" i="1"/>
  <c r="F105" i="1"/>
  <c r="F111" i="1"/>
  <c r="C86" i="1"/>
  <c r="U25" i="2" l="1"/>
  <c r="V23" i="2"/>
  <c r="P2" i="2"/>
  <c r="AW38" i="1"/>
  <c r="AU38" i="1"/>
  <c r="AR39" i="1"/>
  <c r="AT38" i="1"/>
  <c r="AS20" i="1"/>
  <c r="AW2" i="1"/>
  <c r="AR3" i="1"/>
  <c r="AU2" i="1"/>
  <c r="AX29" i="1"/>
  <c r="AU29" i="1"/>
  <c r="AW29" i="1"/>
  <c r="AR30" i="1"/>
  <c r="AU11" i="1"/>
  <c r="AV11" i="1" s="1"/>
  <c r="AW11" i="1"/>
  <c r="AR12" i="1"/>
  <c r="C56" i="1"/>
  <c r="B56" i="1"/>
  <c r="C87" i="1"/>
  <c r="AS3" i="1" l="1"/>
  <c r="AT3" i="1"/>
  <c r="AX3" i="1" s="1"/>
  <c r="AV29" i="1"/>
  <c r="AV38" i="1"/>
  <c r="AX38" i="1"/>
  <c r="AS39" i="1"/>
  <c r="AT39" i="1"/>
  <c r="AV2" i="1"/>
  <c r="AW3" i="1"/>
  <c r="AR4" i="1"/>
  <c r="AU3" i="1"/>
  <c r="AS30" i="1"/>
  <c r="AU20" i="1"/>
  <c r="AR21" i="1"/>
  <c r="AW20" i="1"/>
  <c r="AS12" i="1"/>
  <c r="AT12" i="1" s="1"/>
  <c r="AT20" i="1"/>
  <c r="C72" i="1"/>
  <c r="E72" i="1"/>
  <c r="F72" i="1"/>
  <c r="G72" i="1"/>
  <c r="C73" i="1"/>
  <c r="C81" i="1" s="1"/>
  <c r="D73" i="1"/>
  <c r="E73" i="1"/>
  <c r="F73" i="1"/>
  <c r="G73" i="1"/>
  <c r="E111" i="1" s="1"/>
  <c r="C74" i="1"/>
  <c r="D74" i="1"/>
  <c r="E102" i="1" s="1"/>
  <c r="E74" i="1"/>
  <c r="F74" i="1"/>
  <c r="E109" i="1" s="1"/>
  <c r="G74" i="1"/>
  <c r="E112" i="1" s="1"/>
  <c r="C75" i="1"/>
  <c r="D75" i="1"/>
  <c r="E103" i="1" s="1"/>
  <c r="E75" i="1"/>
  <c r="F75" i="1"/>
  <c r="G75" i="1"/>
  <c r="C76" i="1"/>
  <c r="D76" i="1"/>
  <c r="E76" i="1"/>
  <c r="E107" i="1" s="1"/>
  <c r="F76" i="1"/>
  <c r="F100" i="1" s="1"/>
  <c r="G76" i="1"/>
  <c r="AV3" i="1" l="1"/>
  <c r="AS4" i="1"/>
  <c r="AT4" i="1"/>
  <c r="AX4" i="1" s="1"/>
  <c r="AR40" i="1"/>
  <c r="AW39" i="1"/>
  <c r="AU39" i="1"/>
  <c r="AV39" i="1" s="1"/>
  <c r="AX39" i="1"/>
  <c r="J103" i="1"/>
  <c r="F113" i="1"/>
  <c r="G110" i="1"/>
  <c r="G109" i="1"/>
  <c r="F106" i="1"/>
  <c r="F103" i="1"/>
  <c r="G108" i="1"/>
  <c r="AR31" i="1"/>
  <c r="AU30" i="1"/>
  <c r="AW30" i="1"/>
  <c r="G89" i="1"/>
  <c r="G105" i="1"/>
  <c r="F109" i="1"/>
  <c r="F112" i="1"/>
  <c r="G107" i="1"/>
  <c r="F102" i="1"/>
  <c r="J102" i="1" s="1"/>
  <c r="G106" i="1"/>
  <c r="AX20" i="1"/>
  <c r="AV20" i="1"/>
  <c r="AT30" i="1"/>
  <c r="F96" i="1"/>
  <c r="E106" i="1"/>
  <c r="AR5" i="1"/>
  <c r="AW4" i="1"/>
  <c r="AU4" i="1"/>
  <c r="E113" i="1"/>
  <c r="F97" i="1"/>
  <c r="E110" i="1"/>
  <c r="J110" i="1" s="1"/>
  <c r="F90" i="1"/>
  <c r="E108" i="1"/>
  <c r="H103" i="1"/>
  <c r="I103" i="1" s="1"/>
  <c r="F89" i="1"/>
  <c r="E105" i="1"/>
  <c r="AU12" i="1"/>
  <c r="AR13" i="1"/>
  <c r="AW12" i="1"/>
  <c r="E104" i="1"/>
  <c r="F98" i="1"/>
  <c r="G111" i="1"/>
  <c r="J111" i="1" s="1"/>
  <c r="F110" i="1"/>
  <c r="F107" i="1"/>
  <c r="F104" i="1"/>
  <c r="G112" i="1"/>
  <c r="J112" i="1" s="1"/>
  <c r="G113" i="1"/>
  <c r="AS21" i="1"/>
  <c r="E90" i="1"/>
  <c r="D80" i="1"/>
  <c r="B60" i="1"/>
  <c r="J109" i="1" l="1"/>
  <c r="AV4" i="1"/>
  <c r="AS5" i="1"/>
  <c r="AT5" i="1"/>
  <c r="AX5" i="1" s="1"/>
  <c r="J108" i="1"/>
  <c r="AS40" i="1"/>
  <c r="AT40" i="1"/>
  <c r="J105" i="1"/>
  <c r="AW21" i="1"/>
  <c r="AU21" i="1"/>
  <c r="J107" i="1"/>
  <c r="AS31" i="1"/>
  <c r="AT31" i="1" s="1"/>
  <c r="J113" i="1"/>
  <c r="AT21" i="1"/>
  <c r="J106" i="1"/>
  <c r="AX30" i="1"/>
  <c r="AV30" i="1"/>
  <c r="AS13" i="1"/>
  <c r="AT13" i="1"/>
  <c r="AR6" i="1"/>
  <c r="AU5" i="1"/>
  <c r="AW5" i="1"/>
  <c r="AR22" i="1"/>
  <c r="AV12" i="1"/>
  <c r="J104" i="1"/>
  <c r="J89" i="1"/>
  <c r="H89" i="1"/>
  <c r="D83" i="1"/>
  <c r="F92" i="1"/>
  <c r="G97" i="1"/>
  <c r="G100" i="1"/>
  <c r="G96" i="1"/>
  <c r="G92" i="1"/>
  <c r="E99" i="1"/>
  <c r="E97" i="1"/>
  <c r="E80" i="1"/>
  <c r="H102" i="1"/>
  <c r="I102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E84" i="1"/>
  <c r="G81" i="1"/>
  <c r="D84" i="1"/>
  <c r="F94" i="1"/>
  <c r="G83" i="1"/>
  <c r="F84" i="1"/>
  <c r="F93" i="1"/>
  <c r="E81" i="1"/>
  <c r="AV5" i="1" l="1"/>
  <c r="AS6" i="1"/>
  <c r="AT6" i="1"/>
  <c r="AX6" i="1" s="1"/>
  <c r="AX40" i="1"/>
  <c r="AV40" i="1"/>
  <c r="AR41" i="1"/>
  <c r="AW40" i="1"/>
  <c r="AU40" i="1"/>
  <c r="AX31" i="1"/>
  <c r="AS22" i="1"/>
  <c r="AT22" i="1" s="1"/>
  <c r="AV21" i="1"/>
  <c r="AX21" i="1"/>
  <c r="AR32" i="1"/>
  <c r="AW31" i="1"/>
  <c r="AU31" i="1"/>
  <c r="AR14" i="1"/>
  <c r="AU13" i="1"/>
  <c r="AV13" i="1" s="1"/>
  <c r="AW13" i="1"/>
  <c r="AR7" i="1"/>
  <c r="AU6" i="1"/>
  <c r="AW6" i="1"/>
  <c r="C130" i="1"/>
  <c r="E130" i="1" s="1"/>
  <c r="G130" i="1" s="1"/>
  <c r="I89" i="1"/>
  <c r="C117" i="1"/>
  <c r="C139" i="1"/>
  <c r="E139" i="1" s="1"/>
  <c r="G139" i="1" s="1"/>
  <c r="C138" i="1"/>
  <c r="C133" i="1"/>
  <c r="F133" i="1" s="1"/>
  <c r="H133" i="1" s="1"/>
  <c r="F81" i="1"/>
  <c r="C140" i="1"/>
  <c r="F140" i="1" s="1"/>
  <c r="C132" i="1"/>
  <c r="C131" i="1"/>
  <c r="C137" i="1"/>
  <c r="C141" i="1"/>
  <c r="C136" i="1"/>
  <c r="C135" i="1"/>
  <c r="C134" i="1"/>
  <c r="H97" i="1"/>
  <c r="I97" i="1" s="1"/>
  <c r="E83" i="1"/>
  <c r="F82" i="1"/>
  <c r="F99" i="1"/>
  <c r="G82" i="1"/>
  <c r="F91" i="1"/>
  <c r="F95" i="1"/>
  <c r="D82" i="1"/>
  <c r="C84" i="1"/>
  <c r="C83" i="1"/>
  <c r="G99" i="1"/>
  <c r="C82" i="1"/>
  <c r="E98" i="1"/>
  <c r="G80" i="1"/>
  <c r="G91" i="1"/>
  <c r="E100" i="1"/>
  <c r="G94" i="1"/>
  <c r="E96" i="1"/>
  <c r="G90" i="1"/>
  <c r="J90" i="1" s="1"/>
  <c r="E95" i="1"/>
  <c r="F80" i="1"/>
  <c r="G93" i="1"/>
  <c r="E94" i="1"/>
  <c r="E93" i="1"/>
  <c r="E92" i="1"/>
  <c r="G95" i="1"/>
  <c r="E91" i="1"/>
  <c r="G98" i="1"/>
  <c r="AV6" i="1" l="1"/>
  <c r="AS7" i="1"/>
  <c r="AU7" i="1" s="1"/>
  <c r="AV7" i="1" s="1"/>
  <c r="AT7" i="1"/>
  <c r="AX7" i="1" s="1"/>
  <c r="AV31" i="1"/>
  <c r="AS41" i="1"/>
  <c r="AT41" i="1" s="1"/>
  <c r="AX22" i="1"/>
  <c r="AR8" i="1"/>
  <c r="AW7" i="1"/>
  <c r="H91" i="1"/>
  <c r="I91" i="1" s="1"/>
  <c r="AS14" i="1"/>
  <c r="AT14" i="1" s="1"/>
  <c r="H95" i="1"/>
  <c r="AR23" i="1"/>
  <c r="AW22" i="1"/>
  <c r="AU22" i="1"/>
  <c r="J99" i="1"/>
  <c r="AS32" i="1"/>
  <c r="AT32" i="1" s="1"/>
  <c r="F139" i="1"/>
  <c r="H139" i="1" s="1"/>
  <c r="F130" i="1"/>
  <c r="H130" i="1" s="1"/>
  <c r="D130" i="1"/>
  <c r="D139" i="1"/>
  <c r="E133" i="1"/>
  <c r="G133" i="1" s="1"/>
  <c r="J94" i="1"/>
  <c r="E117" i="1"/>
  <c r="G117" i="1" s="1"/>
  <c r="D117" i="1"/>
  <c r="D133" i="1"/>
  <c r="E138" i="1"/>
  <c r="G138" i="1" s="1"/>
  <c r="F138" i="1"/>
  <c r="H138" i="1" s="1"/>
  <c r="D138" i="1"/>
  <c r="J95" i="1"/>
  <c r="J91" i="1"/>
  <c r="J98" i="1"/>
  <c r="H96" i="1"/>
  <c r="I96" i="1" s="1"/>
  <c r="J96" i="1"/>
  <c r="J97" i="1"/>
  <c r="H92" i="1"/>
  <c r="I92" i="1" s="1"/>
  <c r="J92" i="1"/>
  <c r="J93" i="1"/>
  <c r="J100" i="1"/>
  <c r="H99" i="1"/>
  <c r="I99" i="1" s="1"/>
  <c r="F134" i="1"/>
  <c r="H134" i="1" s="1"/>
  <c r="D134" i="1"/>
  <c r="E134" i="1"/>
  <c r="G134" i="1" s="1"/>
  <c r="F131" i="1"/>
  <c r="H131" i="1" s="1"/>
  <c r="D131" i="1"/>
  <c r="E131" i="1"/>
  <c r="G131" i="1" s="1"/>
  <c r="E135" i="1"/>
  <c r="G135" i="1" s="1"/>
  <c r="F135" i="1"/>
  <c r="H135" i="1" s="1"/>
  <c r="D135" i="1"/>
  <c r="F132" i="1"/>
  <c r="H132" i="1" s="1"/>
  <c r="D132" i="1"/>
  <c r="E132" i="1"/>
  <c r="G132" i="1" s="1"/>
  <c r="H100" i="1"/>
  <c r="I100" i="1" s="1"/>
  <c r="H140" i="1"/>
  <c r="D140" i="1"/>
  <c r="E140" i="1"/>
  <c r="G140" i="1" s="1"/>
  <c r="F141" i="1"/>
  <c r="H141" i="1" s="1"/>
  <c r="D141" i="1"/>
  <c r="E141" i="1"/>
  <c r="G141" i="1" s="1"/>
  <c r="E137" i="1"/>
  <c r="G137" i="1" s="1"/>
  <c r="F137" i="1"/>
  <c r="H137" i="1" s="1"/>
  <c r="D137" i="1"/>
  <c r="E136" i="1"/>
  <c r="G136" i="1" s="1"/>
  <c r="F136" i="1"/>
  <c r="H136" i="1" s="1"/>
  <c r="D136" i="1"/>
  <c r="C125" i="1"/>
  <c r="D125" i="1" s="1"/>
  <c r="I95" i="1"/>
  <c r="H94" i="1"/>
  <c r="I94" i="1" s="1"/>
  <c r="H98" i="1"/>
  <c r="I98" i="1" s="1"/>
  <c r="H93" i="1"/>
  <c r="I93" i="1" s="1"/>
  <c r="H90" i="1"/>
  <c r="C66" i="1"/>
  <c r="D66" i="1"/>
  <c r="E66" i="1"/>
  <c r="F66" i="1"/>
  <c r="B66" i="1"/>
  <c r="C64" i="1"/>
  <c r="D64" i="1"/>
  <c r="E64" i="1"/>
  <c r="F64" i="1"/>
  <c r="B64" i="1"/>
  <c r="C62" i="1"/>
  <c r="D62" i="1"/>
  <c r="E62" i="1"/>
  <c r="F62" i="1"/>
  <c r="B62" i="1"/>
  <c r="B68" i="1" s="1"/>
  <c r="C60" i="1"/>
  <c r="D60" i="1"/>
  <c r="E60" i="1"/>
  <c r="F60" i="1"/>
  <c r="C58" i="1"/>
  <c r="D58" i="1"/>
  <c r="E58" i="1"/>
  <c r="F58" i="1"/>
  <c r="B58" i="1"/>
  <c r="D56" i="1"/>
  <c r="E56" i="1"/>
  <c r="F56" i="1"/>
  <c r="AU8" i="1" l="1"/>
  <c r="AT8" i="1"/>
  <c r="AX8" i="1" s="1"/>
  <c r="AU9" i="1"/>
  <c r="AX41" i="1"/>
  <c r="AR42" i="1"/>
  <c r="AW41" i="1"/>
  <c r="AU41" i="1"/>
  <c r="AV41" i="1" s="1"/>
  <c r="AX32" i="1"/>
  <c r="AS23" i="1"/>
  <c r="AR33" i="1"/>
  <c r="AU32" i="1"/>
  <c r="AW32" i="1"/>
  <c r="AR15" i="1"/>
  <c r="AW14" i="1"/>
  <c r="AU14" i="1"/>
  <c r="AV14" i="1" s="1"/>
  <c r="AV22" i="1"/>
  <c r="C120" i="1"/>
  <c r="E120" i="1" s="1"/>
  <c r="G120" i="1" s="1"/>
  <c r="C127" i="1"/>
  <c r="F127" i="1" s="1"/>
  <c r="H127" i="1" s="1"/>
  <c r="C124" i="1"/>
  <c r="F124" i="1" s="1"/>
  <c r="H124" i="1" s="1"/>
  <c r="C118" i="1"/>
  <c r="I90" i="1"/>
  <c r="F68" i="1"/>
  <c r="E125" i="1"/>
  <c r="G125" i="1" s="1"/>
  <c r="C122" i="1"/>
  <c r="E122" i="1" s="1"/>
  <c r="G122" i="1" s="1"/>
  <c r="F125" i="1"/>
  <c r="H125" i="1" s="1"/>
  <c r="C128" i="1"/>
  <c r="F128" i="1" s="1"/>
  <c r="H128" i="1" s="1"/>
  <c r="C68" i="1"/>
  <c r="E68" i="1"/>
  <c r="D68" i="1"/>
  <c r="C123" i="1"/>
  <c r="D123" i="1" s="1"/>
  <c r="C119" i="1"/>
  <c r="F119" i="1" s="1"/>
  <c r="H119" i="1" s="1"/>
  <c r="F120" i="1"/>
  <c r="H120" i="1" s="1"/>
  <c r="D120" i="1"/>
  <c r="C126" i="1"/>
  <c r="F126" i="1" s="1"/>
  <c r="H126" i="1" s="1"/>
  <c r="C121" i="1"/>
  <c r="F121" i="1" s="1"/>
  <c r="H121" i="1" s="1"/>
  <c r="AV8" i="1" l="1"/>
  <c r="AV9" i="1" s="1"/>
  <c r="AV32" i="1"/>
  <c r="AS42" i="1"/>
  <c r="AT42" i="1" s="1"/>
  <c r="E127" i="1"/>
  <c r="G127" i="1" s="1"/>
  <c r="AS33" i="1"/>
  <c r="AT33" i="1" s="1"/>
  <c r="AR24" i="1"/>
  <c r="AU23" i="1"/>
  <c r="AW23" i="1"/>
  <c r="D124" i="1"/>
  <c r="AS15" i="1"/>
  <c r="AT15" i="1"/>
  <c r="AT23" i="1"/>
  <c r="F118" i="1"/>
  <c r="H118" i="1" s="1"/>
  <c r="E118" i="1"/>
  <c r="G118" i="1" s="1"/>
  <c r="E124" i="1"/>
  <c r="G124" i="1" s="1"/>
  <c r="D127" i="1"/>
  <c r="F117" i="1"/>
  <c r="H117" i="1" s="1"/>
  <c r="D118" i="1"/>
  <c r="D122" i="1"/>
  <c r="D119" i="1"/>
  <c r="F123" i="1"/>
  <c r="H123" i="1" s="1"/>
  <c r="F122" i="1"/>
  <c r="H122" i="1" s="1"/>
  <c r="E119" i="1"/>
  <c r="G119" i="1" s="1"/>
  <c r="E123" i="1"/>
  <c r="G123" i="1" s="1"/>
  <c r="D128" i="1"/>
  <c r="E128" i="1"/>
  <c r="G128" i="1" s="1"/>
  <c r="D121" i="1"/>
  <c r="E126" i="1"/>
  <c r="G126" i="1" s="1"/>
  <c r="E121" i="1"/>
  <c r="G121" i="1" s="1"/>
  <c r="D126" i="1"/>
  <c r="AX42" i="1" l="1"/>
  <c r="AR43" i="1"/>
  <c r="AW42" i="1"/>
  <c r="AU42" i="1"/>
  <c r="AV42" i="1" s="1"/>
  <c r="AS24" i="1"/>
  <c r="AX23" i="1"/>
  <c r="AV23" i="1"/>
  <c r="AX33" i="1"/>
  <c r="AR34" i="1"/>
  <c r="AU33" i="1"/>
  <c r="AV33" i="1" s="1"/>
  <c r="AW33" i="1"/>
  <c r="AR16" i="1"/>
  <c r="AW15" i="1"/>
  <c r="AU15" i="1"/>
  <c r="AV15" i="1" s="1"/>
  <c r="AS43" i="1" l="1"/>
  <c r="AT43" i="1"/>
  <c r="AS34" i="1"/>
  <c r="AT34" i="1"/>
  <c r="AS16" i="1"/>
  <c r="AT16" i="1"/>
  <c r="AR25" i="1"/>
  <c r="AW24" i="1"/>
  <c r="AU24" i="1"/>
  <c r="AT24" i="1"/>
  <c r="AX43" i="1" l="1"/>
  <c r="AR44" i="1"/>
  <c r="AW43" i="1"/>
  <c r="AU43" i="1"/>
  <c r="AV43" i="1" s="1"/>
  <c r="AV24" i="1"/>
  <c r="AX24" i="1"/>
  <c r="AS25" i="1"/>
  <c r="AR17" i="1"/>
  <c r="AU16" i="1"/>
  <c r="AV16" i="1" s="1"/>
  <c r="AW16" i="1"/>
  <c r="AX34" i="1"/>
  <c r="AR35" i="1"/>
  <c r="AU34" i="1"/>
  <c r="AV34" i="1" s="1"/>
  <c r="AW34" i="1"/>
  <c r="AT44" i="1" l="1"/>
  <c r="AU44" i="1"/>
  <c r="AU45" i="1" s="1"/>
  <c r="AS17" i="1"/>
  <c r="AT17" i="1" s="1"/>
  <c r="AR26" i="1"/>
  <c r="AW25" i="1"/>
  <c r="AU25" i="1"/>
  <c r="AT35" i="1"/>
  <c r="AV35" i="1" s="1"/>
  <c r="AV36" i="1" s="1"/>
  <c r="AU35" i="1"/>
  <c r="AU36" i="1" s="1"/>
  <c r="AT25" i="1"/>
  <c r="AX44" i="1" l="1"/>
  <c r="AV44" i="1"/>
  <c r="AV45" i="1" s="1"/>
  <c r="AX35" i="1"/>
  <c r="AV25" i="1"/>
  <c r="AX25" i="1"/>
  <c r="AT26" i="1"/>
  <c r="AU26" i="1"/>
  <c r="AU27" i="1" s="1"/>
  <c r="AU17" i="1"/>
  <c r="AW17" i="1"/>
  <c r="AV17" i="1" l="1"/>
  <c r="AV18" i="1" s="1"/>
  <c r="AU18" i="1"/>
  <c r="AV26" i="1"/>
  <c r="AV27" i="1" s="1"/>
  <c r="AX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<sst xmlns="http://schemas.openxmlformats.org/spreadsheetml/2006/main" count="444" uniqueCount="219">
  <si>
    <t>Вариант 1</t>
  </si>
  <si>
    <t>Вариант 2</t>
  </si>
  <si>
    <t>Вариант 3</t>
  </si>
  <si>
    <t>Вариант 4</t>
  </si>
  <si>
    <t>Вариант 5</t>
  </si>
  <si>
    <t>Вариант 6</t>
  </si>
  <si>
    <t>Вариант 7</t>
  </si>
  <si>
    <t>Вариант 8</t>
  </si>
  <si>
    <t>Вариант 9</t>
  </si>
  <si>
    <t>Вариант 10</t>
  </si>
  <si>
    <t>Вариант 11</t>
  </si>
  <si>
    <t>Вариант 12</t>
  </si>
  <si>
    <t>Вариант 13</t>
  </si>
  <si>
    <t>Вариант 14</t>
  </si>
  <si>
    <t>Вариант 15</t>
  </si>
  <si>
    <t>Вариант 16</t>
  </si>
  <si>
    <t>Вариант 17</t>
  </si>
  <si>
    <t>Вариант 18</t>
  </si>
  <si>
    <t>Вариант 19</t>
  </si>
  <si>
    <t>Вариант 20</t>
  </si>
  <si>
    <t>Вариант 21</t>
  </si>
  <si>
    <t>Вариант 22</t>
  </si>
  <si>
    <t>Вариант 23</t>
  </si>
  <si>
    <t>Вариант 24</t>
  </si>
  <si>
    <t>Вариант 25</t>
  </si>
  <si>
    <t>Вариант 26</t>
  </si>
  <si>
    <t>Вариант 27</t>
  </si>
  <si>
    <t>Вариант 28</t>
  </si>
  <si>
    <t>Вариант 29</t>
  </si>
  <si>
    <t>Вариант 30</t>
  </si>
  <si>
    <t>Вариант 31</t>
  </si>
  <si>
    <t>Вариант 32</t>
  </si>
  <si>
    <t>Вариант 33</t>
  </si>
  <si>
    <t>Вариант 34</t>
  </si>
  <si>
    <t>Вариант 35</t>
  </si>
  <si>
    <t>Вариант 36</t>
  </si>
  <si>
    <t>Вариант 37</t>
  </si>
  <si>
    <t>Вариант 38</t>
  </si>
  <si>
    <t>Вариант 39</t>
  </si>
  <si>
    <t>Вариант 40</t>
  </si>
  <si>
    <t>Вариант 41</t>
  </si>
  <si>
    <t>Вариант 42</t>
  </si>
  <si>
    <t>Вариант 43</t>
  </si>
  <si>
    <t>Вариант 44</t>
  </si>
  <si>
    <t>Вариант 45</t>
  </si>
  <si>
    <t>Вариант 46</t>
  </si>
  <si>
    <t>Вариант 47</t>
  </si>
  <si>
    <t>Вариант 48</t>
  </si>
  <si>
    <t>Вариант 49</t>
  </si>
  <si>
    <t>Вариант 50</t>
  </si>
  <si>
    <t>Вариант 51</t>
  </si>
  <si>
    <t>Вариант 52</t>
  </si>
  <si>
    <t>Вариант 53</t>
  </si>
  <si>
    <t>Вариант 54</t>
  </si>
  <si>
    <t>Вариант 55</t>
  </si>
  <si>
    <t>Вариант 56</t>
  </si>
  <si>
    <t>Вариант 57</t>
  </si>
  <si>
    <t>Вариант 58</t>
  </si>
  <si>
    <t>Вариант 59</t>
  </si>
  <si>
    <t>Вариант 60</t>
  </si>
  <si>
    <t>Посетители</t>
  </si>
  <si>
    <t>томаты</t>
  </si>
  <si>
    <t>лапша</t>
  </si>
  <si>
    <t>мука</t>
  </si>
  <si>
    <t>крупа</t>
  </si>
  <si>
    <t>Наименование</t>
  </si>
  <si>
    <t>выручка, руб.</t>
  </si>
  <si>
    <t>Колбаса Покровская вареная</t>
  </si>
  <si>
    <t>Колбаса Посадская вареная</t>
  </si>
  <si>
    <t>Колбаса Чайная вареная</t>
  </si>
  <si>
    <t>Колбаса Московская п/к</t>
  </si>
  <si>
    <t>Колбаса Ветчина Балтийская</t>
  </si>
  <si>
    <t>Колбаса Докторская вареная</t>
  </si>
  <si>
    <t>Колбаса Сервелат</t>
  </si>
  <si>
    <t>Сосиски Молочные</t>
  </si>
  <si>
    <t>Сосиски Студенческие</t>
  </si>
  <si>
    <t>Сыр колбасный Особый</t>
  </si>
  <si>
    <t>Сыр колбасный Копченый</t>
  </si>
  <si>
    <t>Сыр Фомальгаут</t>
  </si>
  <si>
    <t>Сыр Цезарь</t>
  </si>
  <si>
    <t>Сыр Костромской</t>
  </si>
  <si>
    <t>Сыр Сливочный</t>
  </si>
  <si>
    <t>Сыр Советский</t>
  </si>
  <si>
    <t>Сыр Горный</t>
  </si>
  <si>
    <t>Сыр Ламбер</t>
  </si>
  <si>
    <t>Сыр Монарх</t>
  </si>
  <si>
    <t>Молоко Кот Матроскин</t>
  </si>
  <si>
    <t>Молоко Хижина на природе</t>
  </si>
  <si>
    <t>Молоко Зимняя ночь</t>
  </si>
  <si>
    <t>Молоко Лужок</t>
  </si>
  <si>
    <t>Молоко Усатый дед</t>
  </si>
  <si>
    <t>Крупа гречневая</t>
  </si>
  <si>
    <t>Крупа перловая</t>
  </si>
  <si>
    <t>Крупа пшенная</t>
  </si>
  <si>
    <t>Макароны Сударушка</t>
  </si>
  <si>
    <t>Макароны Дядя Федор</t>
  </si>
  <si>
    <t>Масло Семечка</t>
  </si>
  <si>
    <t>Масло Оливочка</t>
  </si>
  <si>
    <t>Масло Масленное</t>
  </si>
  <si>
    <t>Кефир Кот Матроскин</t>
  </si>
  <si>
    <t>Кефир Усатый дед</t>
  </si>
  <si>
    <t>Хлеб Бородинский</t>
  </si>
  <si>
    <t>Батон Разрезной</t>
  </si>
  <si>
    <t>Апельсины Марокко</t>
  </si>
  <si>
    <t>Бананы Эквадор</t>
  </si>
  <si>
    <t>Груша Конференция</t>
  </si>
  <si>
    <t>Картофель Новый</t>
  </si>
  <si>
    <t>Киви Греция</t>
  </si>
  <si>
    <t>Лимон Израиль</t>
  </si>
  <si>
    <t>Лук Алтай зеленый</t>
  </si>
  <si>
    <t>Лук репчатый местный</t>
  </si>
  <si>
    <t>Морковь импортная</t>
  </si>
  <si>
    <t>Огурцы Пугачевские</t>
  </si>
  <si>
    <t>Перец желтый</t>
  </si>
  <si>
    <t>Перец импортный</t>
  </si>
  <si>
    <t>Помело Тайвань</t>
  </si>
  <si>
    <t>Редис круглый</t>
  </si>
  <si>
    <t>Яблоко Медовое</t>
  </si>
  <si>
    <t>Яблоко Красный Принц</t>
  </si>
  <si>
    <t>День продаж</t>
  </si>
  <si>
    <t>Сыр Артельный</t>
  </si>
  <si>
    <t>Пельмени Мясные</t>
  </si>
  <si>
    <t>Пельмени Сибирские</t>
  </si>
  <si>
    <t>Рис круглый</t>
  </si>
  <si>
    <t>Рис обраб паром</t>
  </si>
  <si>
    <t>Рис длиннозернистый</t>
  </si>
  <si>
    <t>Рис коричневый</t>
  </si>
  <si>
    <t>Колбаса Молочная вареная</t>
  </si>
  <si>
    <t xml:space="preserve"> </t>
  </si>
  <si>
    <t>Арифметическое среднее:</t>
  </si>
  <si>
    <t>Медиана</t>
  </si>
  <si>
    <t>Дисперсия</t>
  </si>
  <si>
    <t>Среднеквадратическое отклонение</t>
  </si>
  <si>
    <t>Коэффициент асимметрии</t>
  </si>
  <si>
    <t>Коэффициент эксцесса</t>
  </si>
  <si>
    <t>Коэффициент вариации</t>
  </si>
  <si>
    <t>Коэффициент парной кореляции</t>
  </si>
  <si>
    <t>Статистика Стьюдента</t>
  </si>
  <si>
    <t>t_кр=</t>
  </si>
  <si>
    <t>Частный коэффициент корреляции</t>
  </si>
  <si>
    <t>люди</t>
  </si>
  <si>
    <t>Проверка на значимость</t>
  </si>
  <si>
    <t>Z</t>
  </si>
  <si>
    <t>E(Z)</t>
  </si>
  <si>
    <t>Zmin</t>
  </si>
  <si>
    <t>Zmax</t>
  </si>
  <si>
    <t>rmin</t>
  </si>
  <si>
    <t>rmax</t>
  </si>
  <si>
    <t>лев</t>
  </si>
  <si>
    <t>прав</t>
  </si>
  <si>
    <t>В</t>
  </si>
  <si>
    <t>Е</t>
  </si>
  <si>
    <t>Формула</t>
  </si>
  <si>
    <t>Карман</t>
  </si>
  <si>
    <t>Частота</t>
  </si>
  <si>
    <t>к</t>
  </si>
  <si>
    <t>мин</t>
  </si>
  <si>
    <t>макс</t>
  </si>
  <si>
    <t>ширина</t>
  </si>
  <si>
    <t>среднее</t>
  </si>
  <si>
    <t>ст.отклонение</t>
  </si>
  <si>
    <t>Посетители человек</t>
  </si>
  <si>
    <t>Торговая точка номер</t>
  </si>
  <si>
    <t>томаты тыс. руб.</t>
  </si>
  <si>
    <t>лапша тыс. руб.</t>
  </si>
  <si>
    <t>мука тыс. руб.</t>
  </si>
  <si>
    <t>крупа тыс. руб.</t>
  </si>
  <si>
    <t>Множественный коэффициент корреляции</t>
  </si>
  <si>
    <t>№</t>
  </si>
  <si>
    <t>Томаты</t>
  </si>
  <si>
    <t>Лапша</t>
  </si>
  <si>
    <t>Мука</t>
  </si>
  <si>
    <t>Крупа</t>
  </si>
  <si>
    <t>x</t>
  </si>
  <si>
    <t>📐 Формула Стерджесса:</t>
  </si>
  <si>
    <r>
      <t>k</t>
    </r>
    <r>
      <rPr>
        <sz val="13.3"/>
        <color rgb="FFFF0000"/>
        <rFont val="Times New Roman"/>
        <family val="1"/>
      </rPr>
      <t>=1+3.322⋅log</t>
    </r>
    <r>
      <rPr>
        <sz val="7.7"/>
        <color rgb="FFFF0000"/>
        <rFont val="Times New Roman"/>
        <family val="1"/>
      </rPr>
      <t>10</t>
    </r>
    <r>
      <rPr>
        <sz val="1"/>
        <color rgb="FFFF0000"/>
        <rFont val="Times New Roman"/>
        <family val="1"/>
      </rPr>
      <t>​</t>
    </r>
    <r>
      <rPr>
        <sz val="13.3"/>
        <color rgb="FFFF0000"/>
        <rFont val="Times New Roman"/>
        <family val="1"/>
      </rPr>
      <t>(</t>
    </r>
    <r>
      <rPr>
        <i/>
        <sz val="13.3"/>
        <color rgb="FFFF0000"/>
        <rFont val="KaTeX_Math"/>
      </rPr>
      <t>n</t>
    </r>
    <r>
      <rPr>
        <sz val="13.3"/>
        <color rgb="FFFF0000"/>
        <rFont val="Times New Roman"/>
        <family val="1"/>
      </rPr>
      <t>)</t>
    </r>
  </si>
  <si>
    <r>
      <t xml:space="preserve">K - Это </t>
    </r>
    <r>
      <rPr>
        <b/>
        <sz val="16"/>
        <color rgb="FFFF0000"/>
        <rFont val="Arial"/>
        <family val="2"/>
      </rPr>
      <t>результат формулы Стерджесса</t>
    </r>
    <r>
      <rPr>
        <sz val="16"/>
        <color rgb="FFFF0000"/>
        <rFont val="Arial"/>
        <family val="2"/>
      </rPr>
      <t xml:space="preserve"> — она используется для определения </t>
    </r>
    <r>
      <rPr>
        <b/>
        <sz val="16"/>
        <color rgb="FFFF0000"/>
        <rFont val="Arial"/>
        <family val="2"/>
      </rPr>
      <t>оптимального количества интервалов (карманов) в гистограмме</t>
    </r>
    <r>
      <rPr>
        <sz val="16"/>
        <color rgb="FFFF0000"/>
        <rFont val="Arial"/>
        <family val="2"/>
      </rPr>
      <t>.</t>
    </r>
  </si>
  <si>
    <t>Кртическое значение хи^2</t>
  </si>
  <si>
    <t>Наклон</t>
  </si>
  <si>
    <t>Корреляционная матрица(парная)</t>
  </si>
  <si>
    <t>Максимум</t>
  </si>
  <si>
    <t>Минимальное x</t>
  </si>
  <si>
    <t>Максимальное x</t>
  </si>
  <si>
    <t>ЛИНЕЙН:</t>
  </si>
  <si>
    <t>СВ.Член</t>
  </si>
  <si>
    <t>x (Наклон)</t>
  </si>
  <si>
    <t>y(св.член)</t>
  </si>
  <si>
    <t>b/a</t>
  </si>
  <si>
    <t>станд.Ош.</t>
  </si>
  <si>
    <t>детерм</t>
  </si>
  <si>
    <t>Fстат/df</t>
  </si>
  <si>
    <t>ESS/RSS</t>
  </si>
  <si>
    <t>b</t>
  </si>
  <si>
    <t>a</t>
  </si>
  <si>
    <t>t-статистика</t>
  </si>
  <si>
    <t>Значима</t>
  </si>
  <si>
    <t>Верх</t>
  </si>
  <si>
    <t>Низ</t>
  </si>
  <si>
    <t>Значима?</t>
  </si>
  <si>
    <t>t критическое</t>
  </si>
  <si>
    <t>f критическое</t>
  </si>
  <si>
    <t>Экстраполякия</t>
  </si>
  <si>
    <t>тысяч рублей.</t>
  </si>
  <si>
    <t>Ср.Знач X</t>
  </si>
  <si>
    <t>Сумма.Кв.Окткл</t>
  </si>
  <si>
    <t>стд.ошибка</t>
  </si>
  <si>
    <t>мн.интервал</t>
  </si>
  <si>
    <t xml:space="preserve">Доверительный интервал 95% </t>
  </si>
  <si>
    <t>F - статистика значительно превышает критический показатель</t>
  </si>
  <si>
    <t>где а посетители,а б = крупа</t>
  </si>
  <si>
    <t>Источники авариации</t>
  </si>
  <si>
    <t>Регрессия</t>
  </si>
  <si>
    <t>Остаток</t>
  </si>
  <si>
    <t>Итого</t>
  </si>
  <si>
    <t>Сумма квадратов</t>
  </si>
  <si>
    <t>Число степеней свободы</t>
  </si>
  <si>
    <t>Средний квадрат</t>
  </si>
  <si>
    <t>F-статистика</t>
  </si>
  <si>
    <t>Лин. Регр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</si>
</sst>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_-* #,##0_-;\-* #,##0_-;_-* &quot;-&quot;??_-;_-@_-"/>
    <numFmt numFmtId="166" formatCode="0.0000"/>
    <numFmt numFmtId="167" formatCode="0.000000"/>
  </numFmts>
  <fonts count="17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Arial"/>
      <family val="2"/>
    </font>
    <font>
      <sz val="16"/>
      <color rgb="FFFF0000"/>
      <name val="Arial"/>
      <family val="2"/>
    </font>
    <font>
      <sz val="11"/>
      <color rgb="FFFF0000"/>
      <name val="Calibri"/>
      <family val="2"/>
      <charset val="204"/>
      <scheme val="minor"/>
    </font>
    <font>
      <sz val="18"/>
      <color rgb="FFFF0000"/>
      <name val="Arial"/>
      <family val="2"/>
    </font>
    <font>
      <i/>
      <sz val="13.3"/>
      <color rgb="FFFF0000"/>
      <name val="KaTeX_Math"/>
    </font>
    <font>
      <sz val="13.3"/>
      <color rgb="FFFF0000"/>
      <name val="Times New Roman"/>
      <family val="1"/>
    </font>
    <font>
      <sz val="7.7"/>
      <color rgb="FFFF0000"/>
      <name val="Times New Roman"/>
      <family val="1"/>
    </font>
    <font>
      <sz val="1"/>
      <color rgb="FFFF0000"/>
      <name val="Times New Roman"/>
      <family val="1"/>
    </font>
    <font>
      <sz val="11"/>
      <color rgb="FF000000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4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left"/>
    </xf>
    <xf numFmtId="164" fontId="0" fillId="0" borderId="1" xfId="0" applyNumberFormat="1" applyBorder="1"/>
    <xf numFmtId="1" fontId="0" fillId="0" borderId="1" xfId="0" applyNumberFormat="1" applyBorder="1"/>
    <xf numFmtId="165" fontId="0" fillId="0" borderId="1" xfId="2" applyNumberFormat="1" applyFont="1" applyBorder="1"/>
    <xf numFmtId="0" fontId="0" fillId="2" borderId="0" xfId="0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/>
    <xf numFmtId="0" fontId="0" fillId="0" borderId="2" xfId="0" applyBorder="1"/>
    <xf numFmtId="0" fontId="5" fillId="0" borderId="3" xfId="0" applyFont="1" applyBorder="1" applyAlignment="1">
      <alignment horizontal="center"/>
    </xf>
    <xf numFmtId="0" fontId="0" fillId="0" borderId="4" xfId="0" applyBorder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164" fontId="6" fillId="0" borderId="1" xfId="0" applyNumberFormat="1" applyFont="1" applyBorder="1"/>
    <xf numFmtId="167" fontId="6" fillId="0" borderId="1" xfId="0" applyNumberFormat="1" applyFont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5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3">
    <cellStyle name="Обычный" xfId="0" builtinId="0"/>
    <cellStyle name="Обычный 2" xfId="1" xr:uid="{00000000-0005-0000-0000-000001000000}"/>
    <cellStyle name="Финансовый" xfId="2" builtinId="3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Корреляционное поле (посетители-томаты)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№1-2'!$B$3:$B$52</c:f>
              <c:numCache>
                <c:formatCode>General</c:formatCode>
                <c:ptCount val="50"/>
                <c:pt idx="0">
                  <c:v>2351</c:v>
                </c:pt>
                <c:pt idx="1">
                  <c:v>1643</c:v>
                </c:pt>
                <c:pt idx="2">
                  <c:v>1603</c:v>
                </c:pt>
                <c:pt idx="3">
                  <c:v>1735</c:v>
                </c:pt>
                <c:pt idx="4">
                  <c:v>2031</c:v>
                </c:pt>
                <c:pt idx="5">
                  <c:v>1266</c:v>
                </c:pt>
                <c:pt idx="6">
                  <c:v>1138</c:v>
                </c:pt>
                <c:pt idx="7">
                  <c:v>947</c:v>
                </c:pt>
                <c:pt idx="8">
                  <c:v>921</c:v>
                </c:pt>
                <c:pt idx="9">
                  <c:v>826</c:v>
                </c:pt>
                <c:pt idx="10">
                  <c:v>784</c:v>
                </c:pt>
                <c:pt idx="11">
                  <c:v>932</c:v>
                </c:pt>
                <c:pt idx="12">
                  <c:v>755</c:v>
                </c:pt>
                <c:pt idx="13">
                  <c:v>998</c:v>
                </c:pt>
                <c:pt idx="14">
                  <c:v>1047</c:v>
                </c:pt>
                <c:pt idx="15">
                  <c:v>1143</c:v>
                </c:pt>
                <c:pt idx="16">
                  <c:v>805</c:v>
                </c:pt>
                <c:pt idx="17">
                  <c:v>969</c:v>
                </c:pt>
                <c:pt idx="18">
                  <c:v>907</c:v>
                </c:pt>
                <c:pt idx="19">
                  <c:v>1017</c:v>
                </c:pt>
                <c:pt idx="20">
                  <c:v>1125</c:v>
                </c:pt>
                <c:pt idx="21">
                  <c:v>1177</c:v>
                </c:pt>
                <c:pt idx="22">
                  <c:v>758</c:v>
                </c:pt>
                <c:pt idx="23">
                  <c:v>1000</c:v>
                </c:pt>
                <c:pt idx="24">
                  <c:v>819</c:v>
                </c:pt>
                <c:pt idx="25">
                  <c:v>837</c:v>
                </c:pt>
                <c:pt idx="26">
                  <c:v>1249</c:v>
                </c:pt>
                <c:pt idx="27">
                  <c:v>1089</c:v>
                </c:pt>
                <c:pt idx="28">
                  <c:v>1045</c:v>
                </c:pt>
                <c:pt idx="29">
                  <c:v>1245</c:v>
                </c:pt>
                <c:pt idx="30">
                  <c:v>284</c:v>
                </c:pt>
                <c:pt idx="31">
                  <c:v>467</c:v>
                </c:pt>
                <c:pt idx="32">
                  <c:v>292</c:v>
                </c:pt>
                <c:pt idx="33">
                  <c:v>332</c:v>
                </c:pt>
                <c:pt idx="34">
                  <c:v>290</c:v>
                </c:pt>
                <c:pt idx="35">
                  <c:v>263</c:v>
                </c:pt>
                <c:pt idx="36">
                  <c:v>323</c:v>
                </c:pt>
                <c:pt idx="37">
                  <c:v>367</c:v>
                </c:pt>
                <c:pt idx="38">
                  <c:v>249</c:v>
                </c:pt>
                <c:pt idx="39">
                  <c:v>214</c:v>
                </c:pt>
                <c:pt idx="40">
                  <c:v>451</c:v>
                </c:pt>
                <c:pt idx="41">
                  <c:v>421</c:v>
                </c:pt>
                <c:pt idx="42">
                  <c:v>236</c:v>
                </c:pt>
                <c:pt idx="43">
                  <c:v>418</c:v>
                </c:pt>
                <c:pt idx="44">
                  <c:v>272</c:v>
                </c:pt>
                <c:pt idx="45">
                  <c:v>321</c:v>
                </c:pt>
                <c:pt idx="46">
                  <c:v>295</c:v>
                </c:pt>
                <c:pt idx="47">
                  <c:v>424</c:v>
                </c:pt>
                <c:pt idx="48">
                  <c:v>449</c:v>
                </c:pt>
                <c:pt idx="49">
                  <c:v>394</c:v>
                </c:pt>
              </c:numCache>
            </c:numRef>
          </c:xVal>
          <c:yVal>
            <c:numRef>
              <c:f>'Задание №1-2'!$C$3:$C$52</c:f>
              <c:numCache>
                <c:formatCode>General</c:formatCode>
                <c:ptCount val="50"/>
                <c:pt idx="0">
                  <c:v>68.5</c:v>
                </c:pt>
                <c:pt idx="1">
                  <c:v>52.8</c:v>
                </c:pt>
                <c:pt idx="2">
                  <c:v>65.7</c:v>
                </c:pt>
                <c:pt idx="3">
                  <c:v>42.7</c:v>
                </c:pt>
                <c:pt idx="4">
                  <c:v>71.900000000000006</c:v>
                </c:pt>
                <c:pt idx="5">
                  <c:v>36.9</c:v>
                </c:pt>
                <c:pt idx="6">
                  <c:v>55.3</c:v>
                </c:pt>
                <c:pt idx="7">
                  <c:v>34.299999999999997</c:v>
                </c:pt>
                <c:pt idx="8">
                  <c:v>35.4</c:v>
                </c:pt>
                <c:pt idx="9">
                  <c:v>34.299999999999997</c:v>
                </c:pt>
                <c:pt idx="10">
                  <c:v>41.7</c:v>
                </c:pt>
                <c:pt idx="11">
                  <c:v>34.5</c:v>
                </c:pt>
                <c:pt idx="12">
                  <c:v>27.3</c:v>
                </c:pt>
                <c:pt idx="13">
                  <c:v>36.9</c:v>
                </c:pt>
                <c:pt idx="14">
                  <c:v>37.299999999999997</c:v>
                </c:pt>
                <c:pt idx="15">
                  <c:v>51.3</c:v>
                </c:pt>
                <c:pt idx="16">
                  <c:v>31.3</c:v>
                </c:pt>
                <c:pt idx="17">
                  <c:v>26.2</c:v>
                </c:pt>
                <c:pt idx="18">
                  <c:v>31.4</c:v>
                </c:pt>
                <c:pt idx="19">
                  <c:v>34.6</c:v>
                </c:pt>
                <c:pt idx="20">
                  <c:v>51.2</c:v>
                </c:pt>
                <c:pt idx="21">
                  <c:v>45.6</c:v>
                </c:pt>
                <c:pt idx="22">
                  <c:v>25.5</c:v>
                </c:pt>
                <c:pt idx="23">
                  <c:v>32.700000000000003</c:v>
                </c:pt>
                <c:pt idx="24">
                  <c:v>39.200000000000003</c:v>
                </c:pt>
                <c:pt idx="25">
                  <c:v>44.6</c:v>
                </c:pt>
                <c:pt idx="26">
                  <c:v>49.4</c:v>
                </c:pt>
                <c:pt idx="27">
                  <c:v>47</c:v>
                </c:pt>
                <c:pt idx="28">
                  <c:v>39.799999999999997</c:v>
                </c:pt>
                <c:pt idx="29">
                  <c:v>50.4</c:v>
                </c:pt>
                <c:pt idx="30">
                  <c:v>26.6</c:v>
                </c:pt>
                <c:pt idx="31">
                  <c:v>20.8</c:v>
                </c:pt>
                <c:pt idx="32">
                  <c:v>15.7</c:v>
                </c:pt>
                <c:pt idx="33">
                  <c:v>24.9</c:v>
                </c:pt>
                <c:pt idx="34">
                  <c:v>13.1</c:v>
                </c:pt>
                <c:pt idx="35">
                  <c:v>7.3</c:v>
                </c:pt>
                <c:pt idx="36">
                  <c:v>35.700000000000003</c:v>
                </c:pt>
                <c:pt idx="37">
                  <c:v>30</c:v>
                </c:pt>
                <c:pt idx="38">
                  <c:v>17.2</c:v>
                </c:pt>
                <c:pt idx="39">
                  <c:v>18.8</c:v>
                </c:pt>
                <c:pt idx="40">
                  <c:v>20.7</c:v>
                </c:pt>
                <c:pt idx="41">
                  <c:v>24.3</c:v>
                </c:pt>
                <c:pt idx="42">
                  <c:v>23.6</c:v>
                </c:pt>
                <c:pt idx="43">
                  <c:v>15.4</c:v>
                </c:pt>
                <c:pt idx="44">
                  <c:v>6.4</c:v>
                </c:pt>
                <c:pt idx="45">
                  <c:v>17.7</c:v>
                </c:pt>
                <c:pt idx="46">
                  <c:v>15.5</c:v>
                </c:pt>
                <c:pt idx="47">
                  <c:v>22.9</c:v>
                </c:pt>
                <c:pt idx="48">
                  <c:v>27.7</c:v>
                </c:pt>
                <c:pt idx="49">
                  <c:v>31.4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CF-4CEF-ADB8-6FA8D92B7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456784"/>
        <c:axId val="1594458448"/>
      </c:scatterChart>
      <c:valAx>
        <c:axId val="159445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4458448"/>
        <c:crosses val="autoZero"/>
        <c:crossBetween val="midCat"/>
      </c:valAx>
      <c:valAx>
        <c:axId val="159445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4456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Корреляционное поле (посетители-лапша)</a:t>
            </a:r>
            <a:endParaRPr lang="ru-R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№1-2'!$B$3:$B$52</c:f>
              <c:numCache>
                <c:formatCode>General</c:formatCode>
                <c:ptCount val="50"/>
                <c:pt idx="0">
                  <c:v>2351</c:v>
                </c:pt>
                <c:pt idx="1">
                  <c:v>1643</c:v>
                </c:pt>
                <c:pt idx="2">
                  <c:v>1603</c:v>
                </c:pt>
                <c:pt idx="3">
                  <c:v>1735</c:v>
                </c:pt>
                <c:pt idx="4">
                  <c:v>2031</c:v>
                </c:pt>
                <c:pt idx="5">
                  <c:v>1266</c:v>
                </c:pt>
                <c:pt idx="6">
                  <c:v>1138</c:v>
                </c:pt>
                <c:pt idx="7">
                  <c:v>947</c:v>
                </c:pt>
                <c:pt idx="8">
                  <c:v>921</c:v>
                </c:pt>
                <c:pt idx="9">
                  <c:v>826</c:v>
                </c:pt>
                <c:pt idx="10">
                  <c:v>784</c:v>
                </c:pt>
                <c:pt idx="11">
                  <c:v>932</c:v>
                </c:pt>
                <c:pt idx="12">
                  <c:v>755</c:v>
                </c:pt>
                <c:pt idx="13">
                  <c:v>998</c:v>
                </c:pt>
                <c:pt idx="14">
                  <c:v>1047</c:v>
                </c:pt>
                <c:pt idx="15">
                  <c:v>1143</c:v>
                </c:pt>
                <c:pt idx="16">
                  <c:v>805</c:v>
                </c:pt>
                <c:pt idx="17">
                  <c:v>969</c:v>
                </c:pt>
                <c:pt idx="18">
                  <c:v>907</c:v>
                </c:pt>
                <c:pt idx="19">
                  <c:v>1017</c:v>
                </c:pt>
                <c:pt idx="20">
                  <c:v>1125</c:v>
                </c:pt>
                <c:pt idx="21">
                  <c:v>1177</c:v>
                </c:pt>
                <c:pt idx="22">
                  <c:v>758</c:v>
                </c:pt>
                <c:pt idx="23">
                  <c:v>1000</c:v>
                </c:pt>
                <c:pt idx="24">
                  <c:v>819</c:v>
                </c:pt>
                <c:pt idx="25">
                  <c:v>837</c:v>
                </c:pt>
                <c:pt idx="26">
                  <c:v>1249</c:v>
                </c:pt>
                <c:pt idx="27">
                  <c:v>1089</c:v>
                </c:pt>
                <c:pt idx="28">
                  <c:v>1045</c:v>
                </c:pt>
                <c:pt idx="29">
                  <c:v>1245</c:v>
                </c:pt>
                <c:pt idx="30">
                  <c:v>284</c:v>
                </c:pt>
                <c:pt idx="31">
                  <c:v>467</c:v>
                </c:pt>
                <c:pt idx="32">
                  <c:v>292</c:v>
                </c:pt>
                <c:pt idx="33">
                  <c:v>332</c:v>
                </c:pt>
                <c:pt idx="34">
                  <c:v>290</c:v>
                </c:pt>
                <c:pt idx="35">
                  <c:v>263</c:v>
                </c:pt>
                <c:pt idx="36">
                  <c:v>323</c:v>
                </c:pt>
                <c:pt idx="37">
                  <c:v>367</c:v>
                </c:pt>
                <c:pt idx="38">
                  <c:v>249</c:v>
                </c:pt>
                <c:pt idx="39">
                  <c:v>214</c:v>
                </c:pt>
                <c:pt idx="40">
                  <c:v>451</c:v>
                </c:pt>
                <c:pt idx="41">
                  <c:v>421</c:v>
                </c:pt>
                <c:pt idx="42">
                  <c:v>236</c:v>
                </c:pt>
                <c:pt idx="43">
                  <c:v>418</c:v>
                </c:pt>
                <c:pt idx="44">
                  <c:v>272</c:v>
                </c:pt>
                <c:pt idx="45">
                  <c:v>321</c:v>
                </c:pt>
                <c:pt idx="46">
                  <c:v>295</c:v>
                </c:pt>
                <c:pt idx="47">
                  <c:v>424</c:v>
                </c:pt>
                <c:pt idx="48">
                  <c:v>449</c:v>
                </c:pt>
                <c:pt idx="49">
                  <c:v>394</c:v>
                </c:pt>
              </c:numCache>
            </c:numRef>
          </c:xVal>
          <c:yVal>
            <c:numRef>
              <c:f>'Задание №1-2'!$D$3:$D$52</c:f>
              <c:numCache>
                <c:formatCode>General</c:formatCode>
                <c:ptCount val="50"/>
                <c:pt idx="0">
                  <c:v>20.5</c:v>
                </c:pt>
                <c:pt idx="1">
                  <c:v>17.100000000000001</c:v>
                </c:pt>
                <c:pt idx="2">
                  <c:v>16.8</c:v>
                </c:pt>
                <c:pt idx="3">
                  <c:v>15.8</c:v>
                </c:pt>
                <c:pt idx="4">
                  <c:v>16.8</c:v>
                </c:pt>
                <c:pt idx="5">
                  <c:v>10.5</c:v>
                </c:pt>
                <c:pt idx="6">
                  <c:v>13.2</c:v>
                </c:pt>
                <c:pt idx="7">
                  <c:v>11.1</c:v>
                </c:pt>
                <c:pt idx="8">
                  <c:v>12.2</c:v>
                </c:pt>
                <c:pt idx="9">
                  <c:v>8.8000000000000007</c:v>
                </c:pt>
                <c:pt idx="10">
                  <c:v>10.9</c:v>
                </c:pt>
                <c:pt idx="11">
                  <c:v>10.8</c:v>
                </c:pt>
                <c:pt idx="12">
                  <c:v>10.4</c:v>
                </c:pt>
                <c:pt idx="13">
                  <c:v>12.1</c:v>
                </c:pt>
                <c:pt idx="14">
                  <c:v>11.8</c:v>
                </c:pt>
                <c:pt idx="15">
                  <c:v>14.1</c:v>
                </c:pt>
                <c:pt idx="16">
                  <c:v>12.3</c:v>
                </c:pt>
                <c:pt idx="17">
                  <c:v>12.5</c:v>
                </c:pt>
                <c:pt idx="18">
                  <c:v>11.2</c:v>
                </c:pt>
                <c:pt idx="19">
                  <c:v>10.4</c:v>
                </c:pt>
                <c:pt idx="20">
                  <c:v>13.3</c:v>
                </c:pt>
                <c:pt idx="21">
                  <c:v>12.4</c:v>
                </c:pt>
                <c:pt idx="22">
                  <c:v>12.5</c:v>
                </c:pt>
                <c:pt idx="23">
                  <c:v>13.1</c:v>
                </c:pt>
                <c:pt idx="24">
                  <c:v>12.9</c:v>
                </c:pt>
                <c:pt idx="25">
                  <c:v>10</c:v>
                </c:pt>
                <c:pt idx="26">
                  <c:v>12.9</c:v>
                </c:pt>
                <c:pt idx="27">
                  <c:v>10.4</c:v>
                </c:pt>
                <c:pt idx="28">
                  <c:v>13</c:v>
                </c:pt>
                <c:pt idx="29">
                  <c:v>11.6</c:v>
                </c:pt>
                <c:pt idx="30">
                  <c:v>7.5</c:v>
                </c:pt>
                <c:pt idx="31">
                  <c:v>9.1999999999999993</c:v>
                </c:pt>
                <c:pt idx="32">
                  <c:v>6.8</c:v>
                </c:pt>
                <c:pt idx="33">
                  <c:v>8.5</c:v>
                </c:pt>
                <c:pt idx="34">
                  <c:v>8</c:v>
                </c:pt>
                <c:pt idx="35">
                  <c:v>8.6</c:v>
                </c:pt>
                <c:pt idx="36">
                  <c:v>10.199999999999999</c:v>
                </c:pt>
                <c:pt idx="37">
                  <c:v>6.5</c:v>
                </c:pt>
                <c:pt idx="38">
                  <c:v>7.1</c:v>
                </c:pt>
                <c:pt idx="39">
                  <c:v>10</c:v>
                </c:pt>
                <c:pt idx="40">
                  <c:v>7.9</c:v>
                </c:pt>
                <c:pt idx="41">
                  <c:v>5.9</c:v>
                </c:pt>
                <c:pt idx="42">
                  <c:v>5.7</c:v>
                </c:pt>
                <c:pt idx="43">
                  <c:v>6.8</c:v>
                </c:pt>
                <c:pt idx="44">
                  <c:v>6.1</c:v>
                </c:pt>
                <c:pt idx="45">
                  <c:v>8</c:v>
                </c:pt>
                <c:pt idx="46">
                  <c:v>6.8</c:v>
                </c:pt>
                <c:pt idx="47">
                  <c:v>8.5</c:v>
                </c:pt>
                <c:pt idx="48">
                  <c:v>5.7</c:v>
                </c:pt>
                <c:pt idx="49">
                  <c:v>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00-47A2-B6C3-097316DEF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0136624"/>
        <c:axId val="1610137040"/>
      </c:scatterChart>
      <c:valAx>
        <c:axId val="161013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0137040"/>
        <c:crosses val="autoZero"/>
        <c:crossBetween val="midCat"/>
      </c:valAx>
      <c:valAx>
        <c:axId val="161013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013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Корреляционное поле (посетители-мука)</a:t>
            </a:r>
            <a:endParaRPr lang="ru-R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№1-2'!$B$3:$B$52</c:f>
              <c:numCache>
                <c:formatCode>General</c:formatCode>
                <c:ptCount val="50"/>
                <c:pt idx="0">
                  <c:v>2351</c:v>
                </c:pt>
                <c:pt idx="1">
                  <c:v>1643</c:v>
                </c:pt>
                <c:pt idx="2">
                  <c:v>1603</c:v>
                </c:pt>
                <c:pt idx="3">
                  <c:v>1735</c:v>
                </c:pt>
                <c:pt idx="4">
                  <c:v>2031</c:v>
                </c:pt>
                <c:pt idx="5">
                  <c:v>1266</c:v>
                </c:pt>
                <c:pt idx="6">
                  <c:v>1138</c:v>
                </c:pt>
                <c:pt idx="7">
                  <c:v>947</c:v>
                </c:pt>
                <c:pt idx="8">
                  <c:v>921</c:v>
                </c:pt>
                <c:pt idx="9">
                  <c:v>826</c:v>
                </c:pt>
                <c:pt idx="10">
                  <c:v>784</c:v>
                </c:pt>
                <c:pt idx="11">
                  <c:v>932</c:v>
                </c:pt>
                <c:pt idx="12">
                  <c:v>755</c:v>
                </c:pt>
                <c:pt idx="13">
                  <c:v>998</c:v>
                </c:pt>
                <c:pt idx="14">
                  <c:v>1047</c:v>
                </c:pt>
                <c:pt idx="15">
                  <c:v>1143</c:v>
                </c:pt>
                <c:pt idx="16">
                  <c:v>805</c:v>
                </c:pt>
                <c:pt idx="17">
                  <c:v>969</c:v>
                </c:pt>
                <c:pt idx="18">
                  <c:v>907</c:v>
                </c:pt>
                <c:pt idx="19">
                  <c:v>1017</c:v>
                </c:pt>
                <c:pt idx="20">
                  <c:v>1125</c:v>
                </c:pt>
                <c:pt idx="21">
                  <c:v>1177</c:v>
                </c:pt>
                <c:pt idx="22">
                  <c:v>758</c:v>
                </c:pt>
                <c:pt idx="23">
                  <c:v>1000</c:v>
                </c:pt>
                <c:pt idx="24">
                  <c:v>819</c:v>
                </c:pt>
                <c:pt idx="25">
                  <c:v>837</c:v>
                </c:pt>
                <c:pt idx="26">
                  <c:v>1249</c:v>
                </c:pt>
                <c:pt idx="27">
                  <c:v>1089</c:v>
                </c:pt>
                <c:pt idx="28">
                  <c:v>1045</c:v>
                </c:pt>
                <c:pt idx="29">
                  <c:v>1245</c:v>
                </c:pt>
                <c:pt idx="30">
                  <c:v>284</c:v>
                </c:pt>
                <c:pt idx="31">
                  <c:v>467</c:v>
                </c:pt>
                <c:pt idx="32">
                  <c:v>292</c:v>
                </c:pt>
                <c:pt idx="33">
                  <c:v>332</c:v>
                </c:pt>
                <c:pt idx="34">
                  <c:v>290</c:v>
                </c:pt>
                <c:pt idx="35">
                  <c:v>263</c:v>
                </c:pt>
                <c:pt idx="36">
                  <c:v>323</c:v>
                </c:pt>
                <c:pt idx="37">
                  <c:v>367</c:v>
                </c:pt>
                <c:pt idx="38">
                  <c:v>249</c:v>
                </c:pt>
                <c:pt idx="39">
                  <c:v>214</c:v>
                </c:pt>
                <c:pt idx="40">
                  <c:v>451</c:v>
                </c:pt>
                <c:pt idx="41">
                  <c:v>421</c:v>
                </c:pt>
                <c:pt idx="42">
                  <c:v>236</c:v>
                </c:pt>
                <c:pt idx="43">
                  <c:v>418</c:v>
                </c:pt>
                <c:pt idx="44">
                  <c:v>272</c:v>
                </c:pt>
                <c:pt idx="45">
                  <c:v>321</c:v>
                </c:pt>
                <c:pt idx="46">
                  <c:v>295</c:v>
                </c:pt>
                <c:pt idx="47">
                  <c:v>424</c:v>
                </c:pt>
                <c:pt idx="48">
                  <c:v>449</c:v>
                </c:pt>
                <c:pt idx="49">
                  <c:v>394</c:v>
                </c:pt>
              </c:numCache>
            </c:numRef>
          </c:xVal>
          <c:yVal>
            <c:numRef>
              <c:f>'Задание №1-2'!$E$3:$E$52</c:f>
              <c:numCache>
                <c:formatCode>General</c:formatCode>
                <c:ptCount val="50"/>
                <c:pt idx="0">
                  <c:v>8.6999999999999993</c:v>
                </c:pt>
                <c:pt idx="1">
                  <c:v>10.3</c:v>
                </c:pt>
                <c:pt idx="2">
                  <c:v>8.3000000000000007</c:v>
                </c:pt>
                <c:pt idx="3">
                  <c:v>9.5</c:v>
                </c:pt>
                <c:pt idx="4">
                  <c:v>11.7</c:v>
                </c:pt>
                <c:pt idx="5">
                  <c:v>7.7</c:v>
                </c:pt>
                <c:pt idx="6">
                  <c:v>6.8</c:v>
                </c:pt>
                <c:pt idx="7">
                  <c:v>8.6999999999999993</c:v>
                </c:pt>
                <c:pt idx="8">
                  <c:v>7.3</c:v>
                </c:pt>
                <c:pt idx="9">
                  <c:v>7.4</c:v>
                </c:pt>
                <c:pt idx="10">
                  <c:v>7.2</c:v>
                </c:pt>
                <c:pt idx="11">
                  <c:v>9.6</c:v>
                </c:pt>
                <c:pt idx="12">
                  <c:v>4.9000000000000004</c:v>
                </c:pt>
                <c:pt idx="13">
                  <c:v>8.9</c:v>
                </c:pt>
                <c:pt idx="14">
                  <c:v>6.7</c:v>
                </c:pt>
                <c:pt idx="15">
                  <c:v>8</c:v>
                </c:pt>
                <c:pt idx="16">
                  <c:v>6.3</c:v>
                </c:pt>
                <c:pt idx="17">
                  <c:v>6.2</c:v>
                </c:pt>
                <c:pt idx="18">
                  <c:v>5.9</c:v>
                </c:pt>
                <c:pt idx="19">
                  <c:v>8.4</c:v>
                </c:pt>
                <c:pt idx="20">
                  <c:v>8.6</c:v>
                </c:pt>
                <c:pt idx="21">
                  <c:v>7.7</c:v>
                </c:pt>
                <c:pt idx="22">
                  <c:v>7</c:v>
                </c:pt>
                <c:pt idx="23">
                  <c:v>6.2</c:v>
                </c:pt>
                <c:pt idx="24">
                  <c:v>5.6</c:v>
                </c:pt>
                <c:pt idx="25">
                  <c:v>7.8</c:v>
                </c:pt>
                <c:pt idx="26">
                  <c:v>8.1</c:v>
                </c:pt>
                <c:pt idx="27">
                  <c:v>8.6999999999999993</c:v>
                </c:pt>
                <c:pt idx="28">
                  <c:v>6.3</c:v>
                </c:pt>
                <c:pt idx="29">
                  <c:v>8.6</c:v>
                </c:pt>
                <c:pt idx="30">
                  <c:v>6.3</c:v>
                </c:pt>
                <c:pt idx="31">
                  <c:v>6.7</c:v>
                </c:pt>
                <c:pt idx="32">
                  <c:v>6.7</c:v>
                </c:pt>
                <c:pt idx="33">
                  <c:v>5.2</c:v>
                </c:pt>
                <c:pt idx="34">
                  <c:v>5.6</c:v>
                </c:pt>
                <c:pt idx="35">
                  <c:v>5</c:v>
                </c:pt>
                <c:pt idx="36">
                  <c:v>3.8</c:v>
                </c:pt>
                <c:pt idx="37">
                  <c:v>6.7</c:v>
                </c:pt>
                <c:pt idx="38">
                  <c:v>5.2</c:v>
                </c:pt>
                <c:pt idx="39">
                  <c:v>4.7</c:v>
                </c:pt>
                <c:pt idx="40">
                  <c:v>4.9000000000000004</c:v>
                </c:pt>
                <c:pt idx="41">
                  <c:v>6.4</c:v>
                </c:pt>
                <c:pt idx="42">
                  <c:v>7.1</c:v>
                </c:pt>
                <c:pt idx="43">
                  <c:v>5</c:v>
                </c:pt>
                <c:pt idx="44">
                  <c:v>5.2</c:v>
                </c:pt>
                <c:pt idx="45">
                  <c:v>6.3</c:v>
                </c:pt>
                <c:pt idx="46">
                  <c:v>6</c:v>
                </c:pt>
                <c:pt idx="47">
                  <c:v>6.6</c:v>
                </c:pt>
                <c:pt idx="48">
                  <c:v>7.7</c:v>
                </c:pt>
                <c:pt idx="49">
                  <c:v>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76-4136-AE9C-4589B2223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8703072"/>
        <c:axId val="1838698080"/>
      </c:scatterChart>
      <c:valAx>
        <c:axId val="183870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8698080"/>
        <c:crosses val="autoZero"/>
        <c:crossBetween val="midCat"/>
      </c:valAx>
      <c:valAx>
        <c:axId val="183869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870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Корреляционное поле (посетители-крупа)</a:t>
            </a:r>
            <a:endParaRPr lang="ru-R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№1-2'!$B$3:$B$52</c:f>
              <c:numCache>
                <c:formatCode>General</c:formatCode>
                <c:ptCount val="50"/>
                <c:pt idx="0">
                  <c:v>2351</c:v>
                </c:pt>
                <c:pt idx="1">
                  <c:v>1643</c:v>
                </c:pt>
                <c:pt idx="2">
                  <c:v>1603</c:v>
                </c:pt>
                <c:pt idx="3">
                  <c:v>1735</c:v>
                </c:pt>
                <c:pt idx="4">
                  <c:v>2031</c:v>
                </c:pt>
                <c:pt idx="5">
                  <c:v>1266</c:v>
                </c:pt>
                <c:pt idx="6">
                  <c:v>1138</c:v>
                </c:pt>
                <c:pt idx="7">
                  <c:v>947</c:v>
                </c:pt>
                <c:pt idx="8">
                  <c:v>921</c:v>
                </c:pt>
                <c:pt idx="9">
                  <c:v>826</c:v>
                </c:pt>
                <c:pt idx="10">
                  <c:v>784</c:v>
                </c:pt>
                <c:pt idx="11">
                  <c:v>932</c:v>
                </c:pt>
                <c:pt idx="12">
                  <c:v>755</c:v>
                </c:pt>
                <c:pt idx="13">
                  <c:v>998</c:v>
                </c:pt>
                <c:pt idx="14">
                  <c:v>1047</c:v>
                </c:pt>
                <c:pt idx="15">
                  <c:v>1143</c:v>
                </c:pt>
                <c:pt idx="16">
                  <c:v>805</c:v>
                </c:pt>
                <c:pt idx="17">
                  <c:v>969</c:v>
                </c:pt>
                <c:pt idx="18">
                  <c:v>907</c:v>
                </c:pt>
                <c:pt idx="19">
                  <c:v>1017</c:v>
                </c:pt>
                <c:pt idx="20">
                  <c:v>1125</c:v>
                </c:pt>
                <c:pt idx="21">
                  <c:v>1177</c:v>
                </c:pt>
                <c:pt idx="22">
                  <c:v>758</c:v>
                </c:pt>
                <c:pt idx="23">
                  <c:v>1000</c:v>
                </c:pt>
                <c:pt idx="24">
                  <c:v>819</c:v>
                </c:pt>
                <c:pt idx="25">
                  <c:v>837</c:v>
                </c:pt>
                <c:pt idx="26">
                  <c:v>1249</c:v>
                </c:pt>
                <c:pt idx="27">
                  <c:v>1089</c:v>
                </c:pt>
                <c:pt idx="28">
                  <c:v>1045</c:v>
                </c:pt>
                <c:pt idx="29">
                  <c:v>1245</c:v>
                </c:pt>
                <c:pt idx="30">
                  <c:v>284</c:v>
                </c:pt>
                <c:pt idx="31">
                  <c:v>467</c:v>
                </c:pt>
                <c:pt idx="32">
                  <c:v>292</c:v>
                </c:pt>
                <c:pt idx="33">
                  <c:v>332</c:v>
                </c:pt>
                <c:pt idx="34">
                  <c:v>290</c:v>
                </c:pt>
                <c:pt idx="35">
                  <c:v>263</c:v>
                </c:pt>
                <c:pt idx="36">
                  <c:v>323</c:v>
                </c:pt>
                <c:pt idx="37">
                  <c:v>367</c:v>
                </c:pt>
                <c:pt idx="38">
                  <c:v>249</c:v>
                </c:pt>
                <c:pt idx="39">
                  <c:v>214</c:v>
                </c:pt>
                <c:pt idx="40">
                  <c:v>451</c:v>
                </c:pt>
                <c:pt idx="41">
                  <c:v>421</c:v>
                </c:pt>
                <c:pt idx="42">
                  <c:v>236</c:v>
                </c:pt>
                <c:pt idx="43">
                  <c:v>418</c:v>
                </c:pt>
                <c:pt idx="44">
                  <c:v>272</c:v>
                </c:pt>
                <c:pt idx="45">
                  <c:v>321</c:v>
                </c:pt>
                <c:pt idx="46">
                  <c:v>295</c:v>
                </c:pt>
                <c:pt idx="47">
                  <c:v>424</c:v>
                </c:pt>
                <c:pt idx="48">
                  <c:v>449</c:v>
                </c:pt>
                <c:pt idx="49">
                  <c:v>394</c:v>
                </c:pt>
              </c:numCache>
            </c:numRef>
          </c:xVal>
          <c:yVal>
            <c:numRef>
              <c:f>'Задание №1-2'!$F$3:$F$52</c:f>
              <c:numCache>
                <c:formatCode>General</c:formatCode>
                <c:ptCount val="50"/>
                <c:pt idx="0">
                  <c:v>22.2</c:v>
                </c:pt>
                <c:pt idx="1">
                  <c:v>18</c:v>
                </c:pt>
                <c:pt idx="2">
                  <c:v>19.100000000000001</c:v>
                </c:pt>
                <c:pt idx="3">
                  <c:v>21.6</c:v>
                </c:pt>
                <c:pt idx="4">
                  <c:v>22.5</c:v>
                </c:pt>
                <c:pt idx="5">
                  <c:v>14.4</c:v>
                </c:pt>
                <c:pt idx="6">
                  <c:v>14.8</c:v>
                </c:pt>
                <c:pt idx="7">
                  <c:v>13.6</c:v>
                </c:pt>
                <c:pt idx="8">
                  <c:v>14.8</c:v>
                </c:pt>
                <c:pt idx="9">
                  <c:v>13.6</c:v>
                </c:pt>
                <c:pt idx="10">
                  <c:v>13.5</c:v>
                </c:pt>
                <c:pt idx="11">
                  <c:v>13</c:v>
                </c:pt>
                <c:pt idx="12">
                  <c:v>14.1</c:v>
                </c:pt>
                <c:pt idx="13">
                  <c:v>11.3</c:v>
                </c:pt>
                <c:pt idx="14">
                  <c:v>14.6</c:v>
                </c:pt>
                <c:pt idx="15">
                  <c:v>13.6</c:v>
                </c:pt>
                <c:pt idx="16">
                  <c:v>12.8</c:v>
                </c:pt>
                <c:pt idx="17">
                  <c:v>13.2</c:v>
                </c:pt>
                <c:pt idx="18">
                  <c:v>13.4</c:v>
                </c:pt>
                <c:pt idx="19">
                  <c:v>13</c:v>
                </c:pt>
                <c:pt idx="20">
                  <c:v>13.2</c:v>
                </c:pt>
                <c:pt idx="21">
                  <c:v>14.9</c:v>
                </c:pt>
                <c:pt idx="22">
                  <c:v>12.9</c:v>
                </c:pt>
                <c:pt idx="23">
                  <c:v>12.6</c:v>
                </c:pt>
                <c:pt idx="24">
                  <c:v>13.1</c:v>
                </c:pt>
                <c:pt idx="25">
                  <c:v>11.4</c:v>
                </c:pt>
                <c:pt idx="26">
                  <c:v>16.600000000000001</c:v>
                </c:pt>
                <c:pt idx="27">
                  <c:v>13.2</c:v>
                </c:pt>
                <c:pt idx="28">
                  <c:v>11.5</c:v>
                </c:pt>
                <c:pt idx="29">
                  <c:v>14.3</c:v>
                </c:pt>
                <c:pt idx="30">
                  <c:v>8.4</c:v>
                </c:pt>
                <c:pt idx="31">
                  <c:v>9.3000000000000007</c:v>
                </c:pt>
                <c:pt idx="32">
                  <c:v>8.9</c:v>
                </c:pt>
                <c:pt idx="33">
                  <c:v>10.4</c:v>
                </c:pt>
                <c:pt idx="34">
                  <c:v>7.7</c:v>
                </c:pt>
                <c:pt idx="35">
                  <c:v>8.6999999999999993</c:v>
                </c:pt>
                <c:pt idx="36">
                  <c:v>10.3</c:v>
                </c:pt>
                <c:pt idx="37">
                  <c:v>10</c:v>
                </c:pt>
                <c:pt idx="38">
                  <c:v>8.6999999999999993</c:v>
                </c:pt>
                <c:pt idx="39">
                  <c:v>5.5</c:v>
                </c:pt>
                <c:pt idx="40">
                  <c:v>9.5</c:v>
                </c:pt>
                <c:pt idx="41">
                  <c:v>11.8</c:v>
                </c:pt>
                <c:pt idx="42">
                  <c:v>6.7</c:v>
                </c:pt>
                <c:pt idx="43">
                  <c:v>10.6</c:v>
                </c:pt>
                <c:pt idx="44">
                  <c:v>9.1999999999999993</c:v>
                </c:pt>
                <c:pt idx="45">
                  <c:v>5.7</c:v>
                </c:pt>
                <c:pt idx="46">
                  <c:v>8.1</c:v>
                </c:pt>
                <c:pt idx="47">
                  <c:v>10.5</c:v>
                </c:pt>
                <c:pt idx="48">
                  <c:v>9.4</c:v>
                </c:pt>
                <c:pt idx="49">
                  <c:v>10.4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76-4B67-9282-2C0A75D14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035888"/>
        <c:axId val="1772036304"/>
      </c:scatterChart>
      <c:valAx>
        <c:axId val="177203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72036304"/>
        <c:crosses val="autoZero"/>
        <c:crossBetween val="midCat"/>
      </c:valAx>
      <c:valAx>
        <c:axId val="177203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72035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Корреляционное поле (томаты-лапша)</a:t>
            </a:r>
            <a:endParaRPr lang="ru-R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№1-2'!$C$3:$C$52</c:f>
              <c:numCache>
                <c:formatCode>General</c:formatCode>
                <c:ptCount val="50"/>
                <c:pt idx="0">
                  <c:v>68.5</c:v>
                </c:pt>
                <c:pt idx="1">
                  <c:v>52.8</c:v>
                </c:pt>
                <c:pt idx="2">
                  <c:v>65.7</c:v>
                </c:pt>
                <c:pt idx="3">
                  <c:v>42.7</c:v>
                </c:pt>
                <c:pt idx="4">
                  <c:v>71.900000000000006</c:v>
                </c:pt>
                <c:pt idx="5">
                  <c:v>36.9</c:v>
                </c:pt>
                <c:pt idx="6">
                  <c:v>55.3</c:v>
                </c:pt>
                <c:pt idx="7">
                  <c:v>34.299999999999997</c:v>
                </c:pt>
                <c:pt idx="8">
                  <c:v>35.4</c:v>
                </c:pt>
                <c:pt idx="9">
                  <c:v>34.299999999999997</c:v>
                </c:pt>
                <c:pt idx="10">
                  <c:v>41.7</c:v>
                </c:pt>
                <c:pt idx="11">
                  <c:v>34.5</c:v>
                </c:pt>
                <c:pt idx="12">
                  <c:v>27.3</c:v>
                </c:pt>
                <c:pt idx="13">
                  <c:v>36.9</c:v>
                </c:pt>
                <c:pt idx="14">
                  <c:v>37.299999999999997</c:v>
                </c:pt>
                <c:pt idx="15">
                  <c:v>51.3</c:v>
                </c:pt>
                <c:pt idx="16">
                  <c:v>31.3</c:v>
                </c:pt>
                <c:pt idx="17">
                  <c:v>26.2</c:v>
                </c:pt>
                <c:pt idx="18">
                  <c:v>31.4</c:v>
                </c:pt>
                <c:pt idx="19">
                  <c:v>34.6</c:v>
                </c:pt>
                <c:pt idx="20">
                  <c:v>51.2</c:v>
                </c:pt>
                <c:pt idx="21">
                  <c:v>45.6</c:v>
                </c:pt>
                <c:pt idx="22">
                  <c:v>25.5</c:v>
                </c:pt>
                <c:pt idx="23">
                  <c:v>32.700000000000003</c:v>
                </c:pt>
                <c:pt idx="24">
                  <c:v>39.200000000000003</c:v>
                </c:pt>
                <c:pt idx="25">
                  <c:v>44.6</c:v>
                </c:pt>
                <c:pt idx="26">
                  <c:v>49.4</c:v>
                </c:pt>
                <c:pt idx="27">
                  <c:v>47</c:v>
                </c:pt>
                <c:pt idx="28">
                  <c:v>39.799999999999997</c:v>
                </c:pt>
                <c:pt idx="29">
                  <c:v>50.4</c:v>
                </c:pt>
                <c:pt idx="30">
                  <c:v>26.6</c:v>
                </c:pt>
                <c:pt idx="31">
                  <c:v>20.8</c:v>
                </c:pt>
                <c:pt idx="32">
                  <c:v>15.7</c:v>
                </c:pt>
                <c:pt idx="33">
                  <c:v>24.9</c:v>
                </c:pt>
                <c:pt idx="34">
                  <c:v>13.1</c:v>
                </c:pt>
                <c:pt idx="35">
                  <c:v>7.3</c:v>
                </c:pt>
                <c:pt idx="36">
                  <c:v>35.700000000000003</c:v>
                </c:pt>
                <c:pt idx="37">
                  <c:v>30</c:v>
                </c:pt>
                <c:pt idx="38">
                  <c:v>17.2</c:v>
                </c:pt>
                <c:pt idx="39">
                  <c:v>18.8</c:v>
                </c:pt>
                <c:pt idx="40">
                  <c:v>20.7</c:v>
                </c:pt>
                <c:pt idx="41">
                  <c:v>24.3</c:v>
                </c:pt>
                <c:pt idx="42">
                  <c:v>23.6</c:v>
                </c:pt>
                <c:pt idx="43">
                  <c:v>15.4</c:v>
                </c:pt>
                <c:pt idx="44">
                  <c:v>6.4</c:v>
                </c:pt>
                <c:pt idx="45">
                  <c:v>17.7</c:v>
                </c:pt>
                <c:pt idx="46">
                  <c:v>15.5</c:v>
                </c:pt>
                <c:pt idx="47">
                  <c:v>22.9</c:v>
                </c:pt>
                <c:pt idx="48">
                  <c:v>27.7</c:v>
                </c:pt>
                <c:pt idx="49">
                  <c:v>31.4</c:v>
                </c:pt>
              </c:numCache>
            </c:numRef>
          </c:xVal>
          <c:yVal>
            <c:numRef>
              <c:f>'Задание №1-2'!$D$3:$D$52</c:f>
              <c:numCache>
                <c:formatCode>General</c:formatCode>
                <c:ptCount val="50"/>
                <c:pt idx="0">
                  <c:v>20.5</c:v>
                </c:pt>
                <c:pt idx="1">
                  <c:v>17.100000000000001</c:v>
                </c:pt>
                <c:pt idx="2">
                  <c:v>16.8</c:v>
                </c:pt>
                <c:pt idx="3">
                  <c:v>15.8</c:v>
                </c:pt>
                <c:pt idx="4">
                  <c:v>16.8</c:v>
                </c:pt>
                <c:pt idx="5">
                  <c:v>10.5</c:v>
                </c:pt>
                <c:pt idx="6">
                  <c:v>13.2</c:v>
                </c:pt>
                <c:pt idx="7">
                  <c:v>11.1</c:v>
                </c:pt>
                <c:pt idx="8">
                  <c:v>12.2</c:v>
                </c:pt>
                <c:pt idx="9">
                  <c:v>8.8000000000000007</c:v>
                </c:pt>
                <c:pt idx="10">
                  <c:v>10.9</c:v>
                </c:pt>
                <c:pt idx="11">
                  <c:v>10.8</c:v>
                </c:pt>
                <c:pt idx="12">
                  <c:v>10.4</c:v>
                </c:pt>
                <c:pt idx="13">
                  <c:v>12.1</c:v>
                </c:pt>
                <c:pt idx="14">
                  <c:v>11.8</c:v>
                </c:pt>
                <c:pt idx="15">
                  <c:v>14.1</c:v>
                </c:pt>
                <c:pt idx="16">
                  <c:v>12.3</c:v>
                </c:pt>
                <c:pt idx="17">
                  <c:v>12.5</c:v>
                </c:pt>
                <c:pt idx="18">
                  <c:v>11.2</c:v>
                </c:pt>
                <c:pt idx="19">
                  <c:v>10.4</c:v>
                </c:pt>
                <c:pt idx="20">
                  <c:v>13.3</c:v>
                </c:pt>
                <c:pt idx="21">
                  <c:v>12.4</c:v>
                </c:pt>
                <c:pt idx="22">
                  <c:v>12.5</c:v>
                </c:pt>
                <c:pt idx="23">
                  <c:v>13.1</c:v>
                </c:pt>
                <c:pt idx="24">
                  <c:v>12.9</c:v>
                </c:pt>
                <c:pt idx="25">
                  <c:v>10</c:v>
                </c:pt>
                <c:pt idx="26">
                  <c:v>12.9</c:v>
                </c:pt>
                <c:pt idx="27">
                  <c:v>10.4</c:v>
                </c:pt>
                <c:pt idx="28">
                  <c:v>13</c:v>
                </c:pt>
                <c:pt idx="29">
                  <c:v>11.6</c:v>
                </c:pt>
                <c:pt idx="30">
                  <c:v>7.5</c:v>
                </c:pt>
                <c:pt idx="31">
                  <c:v>9.1999999999999993</c:v>
                </c:pt>
                <c:pt idx="32">
                  <c:v>6.8</c:v>
                </c:pt>
                <c:pt idx="33">
                  <c:v>8.5</c:v>
                </c:pt>
                <c:pt idx="34">
                  <c:v>8</c:v>
                </c:pt>
                <c:pt idx="35">
                  <c:v>8.6</c:v>
                </c:pt>
                <c:pt idx="36">
                  <c:v>10.199999999999999</c:v>
                </c:pt>
                <c:pt idx="37">
                  <c:v>6.5</c:v>
                </c:pt>
                <c:pt idx="38">
                  <c:v>7.1</c:v>
                </c:pt>
                <c:pt idx="39">
                  <c:v>10</c:v>
                </c:pt>
                <c:pt idx="40">
                  <c:v>7.9</c:v>
                </c:pt>
                <c:pt idx="41">
                  <c:v>5.9</c:v>
                </c:pt>
                <c:pt idx="42">
                  <c:v>5.7</c:v>
                </c:pt>
                <c:pt idx="43">
                  <c:v>6.8</c:v>
                </c:pt>
                <c:pt idx="44">
                  <c:v>6.1</c:v>
                </c:pt>
                <c:pt idx="45">
                  <c:v>8</c:v>
                </c:pt>
                <c:pt idx="46">
                  <c:v>6.8</c:v>
                </c:pt>
                <c:pt idx="47">
                  <c:v>8.5</c:v>
                </c:pt>
                <c:pt idx="48">
                  <c:v>5.7</c:v>
                </c:pt>
                <c:pt idx="49">
                  <c:v>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5D-4F8D-B19B-AC7BBC8FF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8185808"/>
        <c:axId val="1835910128"/>
      </c:scatterChart>
      <c:valAx>
        <c:axId val="1838185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5910128"/>
        <c:crosses val="autoZero"/>
        <c:crossBetween val="midCat"/>
      </c:valAx>
      <c:valAx>
        <c:axId val="183591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8185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Корреляционное поле (томаты-мука)</a:t>
            </a:r>
            <a:endParaRPr lang="ru-R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№1-2'!$C$3:$C$52</c:f>
              <c:numCache>
                <c:formatCode>General</c:formatCode>
                <c:ptCount val="50"/>
                <c:pt idx="0">
                  <c:v>68.5</c:v>
                </c:pt>
                <c:pt idx="1">
                  <c:v>52.8</c:v>
                </c:pt>
                <c:pt idx="2">
                  <c:v>65.7</c:v>
                </c:pt>
                <c:pt idx="3">
                  <c:v>42.7</c:v>
                </c:pt>
                <c:pt idx="4">
                  <c:v>71.900000000000006</c:v>
                </c:pt>
                <c:pt idx="5">
                  <c:v>36.9</c:v>
                </c:pt>
                <c:pt idx="6">
                  <c:v>55.3</c:v>
                </c:pt>
                <c:pt idx="7">
                  <c:v>34.299999999999997</c:v>
                </c:pt>
                <c:pt idx="8">
                  <c:v>35.4</c:v>
                </c:pt>
                <c:pt idx="9">
                  <c:v>34.299999999999997</c:v>
                </c:pt>
                <c:pt idx="10">
                  <c:v>41.7</c:v>
                </c:pt>
                <c:pt idx="11">
                  <c:v>34.5</c:v>
                </c:pt>
                <c:pt idx="12">
                  <c:v>27.3</c:v>
                </c:pt>
                <c:pt idx="13">
                  <c:v>36.9</c:v>
                </c:pt>
                <c:pt idx="14">
                  <c:v>37.299999999999997</c:v>
                </c:pt>
                <c:pt idx="15">
                  <c:v>51.3</c:v>
                </c:pt>
                <c:pt idx="16">
                  <c:v>31.3</c:v>
                </c:pt>
                <c:pt idx="17">
                  <c:v>26.2</c:v>
                </c:pt>
                <c:pt idx="18">
                  <c:v>31.4</c:v>
                </c:pt>
                <c:pt idx="19">
                  <c:v>34.6</c:v>
                </c:pt>
                <c:pt idx="20">
                  <c:v>51.2</c:v>
                </c:pt>
                <c:pt idx="21">
                  <c:v>45.6</c:v>
                </c:pt>
                <c:pt idx="22">
                  <c:v>25.5</c:v>
                </c:pt>
                <c:pt idx="23">
                  <c:v>32.700000000000003</c:v>
                </c:pt>
                <c:pt idx="24">
                  <c:v>39.200000000000003</c:v>
                </c:pt>
                <c:pt idx="25">
                  <c:v>44.6</c:v>
                </c:pt>
                <c:pt idx="26">
                  <c:v>49.4</c:v>
                </c:pt>
                <c:pt idx="27">
                  <c:v>47</c:v>
                </c:pt>
                <c:pt idx="28">
                  <c:v>39.799999999999997</c:v>
                </c:pt>
                <c:pt idx="29">
                  <c:v>50.4</c:v>
                </c:pt>
                <c:pt idx="30">
                  <c:v>26.6</c:v>
                </c:pt>
                <c:pt idx="31">
                  <c:v>20.8</c:v>
                </c:pt>
                <c:pt idx="32">
                  <c:v>15.7</c:v>
                </c:pt>
                <c:pt idx="33">
                  <c:v>24.9</c:v>
                </c:pt>
                <c:pt idx="34">
                  <c:v>13.1</c:v>
                </c:pt>
                <c:pt idx="35">
                  <c:v>7.3</c:v>
                </c:pt>
                <c:pt idx="36">
                  <c:v>35.700000000000003</c:v>
                </c:pt>
                <c:pt idx="37">
                  <c:v>30</c:v>
                </c:pt>
                <c:pt idx="38">
                  <c:v>17.2</c:v>
                </c:pt>
                <c:pt idx="39">
                  <c:v>18.8</c:v>
                </c:pt>
                <c:pt idx="40">
                  <c:v>20.7</c:v>
                </c:pt>
                <c:pt idx="41">
                  <c:v>24.3</c:v>
                </c:pt>
                <c:pt idx="42">
                  <c:v>23.6</c:v>
                </c:pt>
                <c:pt idx="43">
                  <c:v>15.4</c:v>
                </c:pt>
                <c:pt idx="44">
                  <c:v>6.4</c:v>
                </c:pt>
                <c:pt idx="45">
                  <c:v>17.7</c:v>
                </c:pt>
                <c:pt idx="46">
                  <c:v>15.5</c:v>
                </c:pt>
                <c:pt idx="47">
                  <c:v>22.9</c:v>
                </c:pt>
                <c:pt idx="48">
                  <c:v>27.7</c:v>
                </c:pt>
                <c:pt idx="49">
                  <c:v>31.4</c:v>
                </c:pt>
              </c:numCache>
            </c:numRef>
          </c:xVal>
          <c:yVal>
            <c:numRef>
              <c:f>'Задание №1-2'!$E$3:$E$52</c:f>
              <c:numCache>
                <c:formatCode>General</c:formatCode>
                <c:ptCount val="50"/>
                <c:pt idx="0">
                  <c:v>8.6999999999999993</c:v>
                </c:pt>
                <c:pt idx="1">
                  <c:v>10.3</c:v>
                </c:pt>
                <c:pt idx="2">
                  <c:v>8.3000000000000007</c:v>
                </c:pt>
                <c:pt idx="3">
                  <c:v>9.5</c:v>
                </c:pt>
                <c:pt idx="4">
                  <c:v>11.7</c:v>
                </c:pt>
                <c:pt idx="5">
                  <c:v>7.7</c:v>
                </c:pt>
                <c:pt idx="6">
                  <c:v>6.8</c:v>
                </c:pt>
                <c:pt idx="7">
                  <c:v>8.6999999999999993</c:v>
                </c:pt>
                <c:pt idx="8">
                  <c:v>7.3</c:v>
                </c:pt>
                <c:pt idx="9">
                  <c:v>7.4</c:v>
                </c:pt>
                <c:pt idx="10">
                  <c:v>7.2</c:v>
                </c:pt>
                <c:pt idx="11">
                  <c:v>9.6</c:v>
                </c:pt>
                <c:pt idx="12">
                  <c:v>4.9000000000000004</c:v>
                </c:pt>
                <c:pt idx="13">
                  <c:v>8.9</c:v>
                </c:pt>
                <c:pt idx="14">
                  <c:v>6.7</c:v>
                </c:pt>
                <c:pt idx="15">
                  <c:v>8</c:v>
                </c:pt>
                <c:pt idx="16">
                  <c:v>6.3</c:v>
                </c:pt>
                <c:pt idx="17">
                  <c:v>6.2</c:v>
                </c:pt>
                <c:pt idx="18">
                  <c:v>5.9</c:v>
                </c:pt>
                <c:pt idx="19">
                  <c:v>8.4</c:v>
                </c:pt>
                <c:pt idx="20">
                  <c:v>8.6</c:v>
                </c:pt>
                <c:pt idx="21">
                  <c:v>7.7</c:v>
                </c:pt>
                <c:pt idx="22">
                  <c:v>7</c:v>
                </c:pt>
                <c:pt idx="23">
                  <c:v>6.2</c:v>
                </c:pt>
                <c:pt idx="24">
                  <c:v>5.6</c:v>
                </c:pt>
                <c:pt idx="25">
                  <c:v>7.8</c:v>
                </c:pt>
                <c:pt idx="26">
                  <c:v>8.1</c:v>
                </c:pt>
                <c:pt idx="27">
                  <c:v>8.6999999999999993</c:v>
                </c:pt>
                <c:pt idx="28">
                  <c:v>6.3</c:v>
                </c:pt>
                <c:pt idx="29">
                  <c:v>8.6</c:v>
                </c:pt>
                <c:pt idx="30">
                  <c:v>6.3</c:v>
                </c:pt>
                <c:pt idx="31">
                  <c:v>6.7</c:v>
                </c:pt>
                <c:pt idx="32">
                  <c:v>6.7</c:v>
                </c:pt>
                <c:pt idx="33">
                  <c:v>5.2</c:v>
                </c:pt>
                <c:pt idx="34">
                  <c:v>5.6</c:v>
                </c:pt>
                <c:pt idx="35">
                  <c:v>5</c:v>
                </c:pt>
                <c:pt idx="36">
                  <c:v>3.8</c:v>
                </c:pt>
                <c:pt idx="37">
                  <c:v>6.7</c:v>
                </c:pt>
                <c:pt idx="38">
                  <c:v>5.2</c:v>
                </c:pt>
                <c:pt idx="39">
                  <c:v>4.7</c:v>
                </c:pt>
                <c:pt idx="40">
                  <c:v>4.9000000000000004</c:v>
                </c:pt>
                <c:pt idx="41">
                  <c:v>6.4</c:v>
                </c:pt>
                <c:pt idx="42">
                  <c:v>7.1</c:v>
                </c:pt>
                <c:pt idx="43">
                  <c:v>5</c:v>
                </c:pt>
                <c:pt idx="44">
                  <c:v>5.2</c:v>
                </c:pt>
                <c:pt idx="45">
                  <c:v>6.3</c:v>
                </c:pt>
                <c:pt idx="46">
                  <c:v>6</c:v>
                </c:pt>
                <c:pt idx="47">
                  <c:v>6.6</c:v>
                </c:pt>
                <c:pt idx="48">
                  <c:v>7.7</c:v>
                </c:pt>
                <c:pt idx="49">
                  <c:v>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7E-4BBD-8001-1288811DC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597328"/>
        <c:axId val="1840597744"/>
      </c:scatterChart>
      <c:valAx>
        <c:axId val="184059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0597744"/>
        <c:crosses val="autoZero"/>
        <c:crossBetween val="midCat"/>
      </c:valAx>
      <c:valAx>
        <c:axId val="184059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0597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Корреляционное поле (томаты-крупа)</a:t>
            </a:r>
            <a:endParaRPr lang="ru-R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№1-2'!$C$3:$C$52</c:f>
              <c:numCache>
                <c:formatCode>General</c:formatCode>
                <c:ptCount val="50"/>
                <c:pt idx="0">
                  <c:v>68.5</c:v>
                </c:pt>
                <c:pt idx="1">
                  <c:v>52.8</c:v>
                </c:pt>
                <c:pt idx="2">
                  <c:v>65.7</c:v>
                </c:pt>
                <c:pt idx="3">
                  <c:v>42.7</c:v>
                </c:pt>
                <c:pt idx="4">
                  <c:v>71.900000000000006</c:v>
                </c:pt>
                <c:pt idx="5">
                  <c:v>36.9</c:v>
                </c:pt>
                <c:pt idx="6">
                  <c:v>55.3</c:v>
                </c:pt>
                <c:pt idx="7">
                  <c:v>34.299999999999997</c:v>
                </c:pt>
                <c:pt idx="8">
                  <c:v>35.4</c:v>
                </c:pt>
                <c:pt idx="9">
                  <c:v>34.299999999999997</c:v>
                </c:pt>
                <c:pt idx="10">
                  <c:v>41.7</c:v>
                </c:pt>
                <c:pt idx="11">
                  <c:v>34.5</c:v>
                </c:pt>
                <c:pt idx="12">
                  <c:v>27.3</c:v>
                </c:pt>
                <c:pt idx="13">
                  <c:v>36.9</c:v>
                </c:pt>
                <c:pt idx="14">
                  <c:v>37.299999999999997</c:v>
                </c:pt>
                <c:pt idx="15">
                  <c:v>51.3</c:v>
                </c:pt>
                <c:pt idx="16">
                  <c:v>31.3</c:v>
                </c:pt>
                <c:pt idx="17">
                  <c:v>26.2</c:v>
                </c:pt>
                <c:pt idx="18">
                  <c:v>31.4</c:v>
                </c:pt>
                <c:pt idx="19">
                  <c:v>34.6</c:v>
                </c:pt>
                <c:pt idx="20">
                  <c:v>51.2</c:v>
                </c:pt>
                <c:pt idx="21">
                  <c:v>45.6</c:v>
                </c:pt>
                <c:pt idx="22">
                  <c:v>25.5</c:v>
                </c:pt>
                <c:pt idx="23">
                  <c:v>32.700000000000003</c:v>
                </c:pt>
                <c:pt idx="24">
                  <c:v>39.200000000000003</c:v>
                </c:pt>
                <c:pt idx="25">
                  <c:v>44.6</c:v>
                </c:pt>
                <c:pt idx="26">
                  <c:v>49.4</c:v>
                </c:pt>
                <c:pt idx="27">
                  <c:v>47</c:v>
                </c:pt>
                <c:pt idx="28">
                  <c:v>39.799999999999997</c:v>
                </c:pt>
                <c:pt idx="29">
                  <c:v>50.4</c:v>
                </c:pt>
                <c:pt idx="30">
                  <c:v>26.6</c:v>
                </c:pt>
                <c:pt idx="31">
                  <c:v>20.8</c:v>
                </c:pt>
                <c:pt idx="32">
                  <c:v>15.7</c:v>
                </c:pt>
                <c:pt idx="33">
                  <c:v>24.9</c:v>
                </c:pt>
                <c:pt idx="34">
                  <c:v>13.1</c:v>
                </c:pt>
                <c:pt idx="35">
                  <c:v>7.3</c:v>
                </c:pt>
                <c:pt idx="36">
                  <c:v>35.700000000000003</c:v>
                </c:pt>
                <c:pt idx="37">
                  <c:v>30</c:v>
                </c:pt>
                <c:pt idx="38">
                  <c:v>17.2</c:v>
                </c:pt>
                <c:pt idx="39">
                  <c:v>18.8</c:v>
                </c:pt>
                <c:pt idx="40">
                  <c:v>20.7</c:v>
                </c:pt>
                <c:pt idx="41">
                  <c:v>24.3</c:v>
                </c:pt>
                <c:pt idx="42">
                  <c:v>23.6</c:v>
                </c:pt>
                <c:pt idx="43">
                  <c:v>15.4</c:v>
                </c:pt>
                <c:pt idx="44">
                  <c:v>6.4</c:v>
                </c:pt>
                <c:pt idx="45">
                  <c:v>17.7</c:v>
                </c:pt>
                <c:pt idx="46">
                  <c:v>15.5</c:v>
                </c:pt>
                <c:pt idx="47">
                  <c:v>22.9</c:v>
                </c:pt>
                <c:pt idx="48">
                  <c:v>27.7</c:v>
                </c:pt>
                <c:pt idx="49">
                  <c:v>31.4</c:v>
                </c:pt>
              </c:numCache>
            </c:numRef>
          </c:xVal>
          <c:yVal>
            <c:numRef>
              <c:f>'Задание №1-2'!$F$3:$F$52</c:f>
              <c:numCache>
                <c:formatCode>General</c:formatCode>
                <c:ptCount val="50"/>
                <c:pt idx="0">
                  <c:v>22.2</c:v>
                </c:pt>
                <c:pt idx="1">
                  <c:v>18</c:v>
                </c:pt>
                <c:pt idx="2">
                  <c:v>19.100000000000001</c:v>
                </c:pt>
                <c:pt idx="3">
                  <c:v>21.6</c:v>
                </c:pt>
                <c:pt idx="4">
                  <c:v>22.5</c:v>
                </c:pt>
                <c:pt idx="5">
                  <c:v>14.4</c:v>
                </c:pt>
                <c:pt idx="6">
                  <c:v>14.8</c:v>
                </c:pt>
                <c:pt idx="7">
                  <c:v>13.6</c:v>
                </c:pt>
                <c:pt idx="8">
                  <c:v>14.8</c:v>
                </c:pt>
                <c:pt idx="9">
                  <c:v>13.6</c:v>
                </c:pt>
                <c:pt idx="10">
                  <c:v>13.5</c:v>
                </c:pt>
                <c:pt idx="11">
                  <c:v>13</c:v>
                </c:pt>
                <c:pt idx="12">
                  <c:v>14.1</c:v>
                </c:pt>
                <c:pt idx="13">
                  <c:v>11.3</c:v>
                </c:pt>
                <c:pt idx="14">
                  <c:v>14.6</c:v>
                </c:pt>
                <c:pt idx="15">
                  <c:v>13.6</c:v>
                </c:pt>
                <c:pt idx="16">
                  <c:v>12.8</c:v>
                </c:pt>
                <c:pt idx="17">
                  <c:v>13.2</c:v>
                </c:pt>
                <c:pt idx="18">
                  <c:v>13.4</c:v>
                </c:pt>
                <c:pt idx="19">
                  <c:v>13</c:v>
                </c:pt>
                <c:pt idx="20">
                  <c:v>13.2</c:v>
                </c:pt>
                <c:pt idx="21">
                  <c:v>14.9</c:v>
                </c:pt>
                <c:pt idx="22">
                  <c:v>12.9</c:v>
                </c:pt>
                <c:pt idx="23">
                  <c:v>12.6</c:v>
                </c:pt>
                <c:pt idx="24">
                  <c:v>13.1</c:v>
                </c:pt>
                <c:pt idx="25">
                  <c:v>11.4</c:v>
                </c:pt>
                <c:pt idx="26">
                  <c:v>16.600000000000001</c:v>
                </c:pt>
                <c:pt idx="27">
                  <c:v>13.2</c:v>
                </c:pt>
                <c:pt idx="28">
                  <c:v>11.5</c:v>
                </c:pt>
                <c:pt idx="29">
                  <c:v>14.3</c:v>
                </c:pt>
                <c:pt idx="30">
                  <c:v>8.4</c:v>
                </c:pt>
                <c:pt idx="31">
                  <c:v>9.3000000000000007</c:v>
                </c:pt>
                <c:pt idx="32">
                  <c:v>8.9</c:v>
                </c:pt>
                <c:pt idx="33">
                  <c:v>10.4</c:v>
                </c:pt>
                <c:pt idx="34">
                  <c:v>7.7</c:v>
                </c:pt>
                <c:pt idx="35">
                  <c:v>8.6999999999999993</c:v>
                </c:pt>
                <c:pt idx="36">
                  <c:v>10.3</c:v>
                </c:pt>
                <c:pt idx="37">
                  <c:v>10</c:v>
                </c:pt>
                <c:pt idx="38">
                  <c:v>8.6999999999999993</c:v>
                </c:pt>
                <c:pt idx="39">
                  <c:v>5.5</c:v>
                </c:pt>
                <c:pt idx="40">
                  <c:v>9.5</c:v>
                </c:pt>
                <c:pt idx="41">
                  <c:v>11.8</c:v>
                </c:pt>
                <c:pt idx="42">
                  <c:v>6.7</c:v>
                </c:pt>
                <c:pt idx="43">
                  <c:v>10.6</c:v>
                </c:pt>
                <c:pt idx="44">
                  <c:v>9.1999999999999993</c:v>
                </c:pt>
                <c:pt idx="45">
                  <c:v>5.7</c:v>
                </c:pt>
                <c:pt idx="46">
                  <c:v>8.1</c:v>
                </c:pt>
                <c:pt idx="47">
                  <c:v>10.5</c:v>
                </c:pt>
                <c:pt idx="48">
                  <c:v>9.4</c:v>
                </c:pt>
                <c:pt idx="49">
                  <c:v>10.4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A2-442B-8735-778E0037E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526000"/>
        <c:axId val="1835529744"/>
      </c:scatterChart>
      <c:valAx>
        <c:axId val="183552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5529744"/>
        <c:crosses val="autoZero"/>
        <c:crossBetween val="midCat"/>
      </c:valAx>
      <c:valAx>
        <c:axId val="183552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5526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Корреляционное поле (лапша-мука)</a:t>
            </a:r>
            <a:endParaRPr lang="ru-R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№1-2'!$D$3:$D$52</c:f>
              <c:numCache>
                <c:formatCode>General</c:formatCode>
                <c:ptCount val="50"/>
                <c:pt idx="0">
                  <c:v>20.5</c:v>
                </c:pt>
                <c:pt idx="1">
                  <c:v>17.100000000000001</c:v>
                </c:pt>
                <c:pt idx="2">
                  <c:v>16.8</c:v>
                </c:pt>
                <c:pt idx="3">
                  <c:v>15.8</c:v>
                </c:pt>
                <c:pt idx="4">
                  <c:v>16.8</c:v>
                </c:pt>
                <c:pt idx="5">
                  <c:v>10.5</c:v>
                </c:pt>
                <c:pt idx="6">
                  <c:v>13.2</c:v>
                </c:pt>
                <c:pt idx="7">
                  <c:v>11.1</c:v>
                </c:pt>
                <c:pt idx="8">
                  <c:v>12.2</c:v>
                </c:pt>
                <c:pt idx="9">
                  <c:v>8.8000000000000007</c:v>
                </c:pt>
                <c:pt idx="10">
                  <c:v>10.9</c:v>
                </c:pt>
                <c:pt idx="11">
                  <c:v>10.8</c:v>
                </c:pt>
                <c:pt idx="12">
                  <c:v>10.4</c:v>
                </c:pt>
                <c:pt idx="13">
                  <c:v>12.1</c:v>
                </c:pt>
                <c:pt idx="14">
                  <c:v>11.8</c:v>
                </c:pt>
                <c:pt idx="15">
                  <c:v>14.1</c:v>
                </c:pt>
                <c:pt idx="16">
                  <c:v>12.3</c:v>
                </c:pt>
                <c:pt idx="17">
                  <c:v>12.5</c:v>
                </c:pt>
                <c:pt idx="18">
                  <c:v>11.2</c:v>
                </c:pt>
                <c:pt idx="19">
                  <c:v>10.4</c:v>
                </c:pt>
                <c:pt idx="20">
                  <c:v>13.3</c:v>
                </c:pt>
                <c:pt idx="21">
                  <c:v>12.4</c:v>
                </c:pt>
                <c:pt idx="22">
                  <c:v>12.5</c:v>
                </c:pt>
                <c:pt idx="23">
                  <c:v>13.1</c:v>
                </c:pt>
                <c:pt idx="24">
                  <c:v>12.9</c:v>
                </c:pt>
                <c:pt idx="25">
                  <c:v>10</c:v>
                </c:pt>
                <c:pt idx="26">
                  <c:v>12.9</c:v>
                </c:pt>
                <c:pt idx="27">
                  <c:v>10.4</c:v>
                </c:pt>
                <c:pt idx="28">
                  <c:v>13</c:v>
                </c:pt>
                <c:pt idx="29">
                  <c:v>11.6</c:v>
                </c:pt>
                <c:pt idx="30">
                  <c:v>7.5</c:v>
                </c:pt>
                <c:pt idx="31">
                  <c:v>9.1999999999999993</c:v>
                </c:pt>
                <c:pt idx="32">
                  <c:v>6.8</c:v>
                </c:pt>
                <c:pt idx="33">
                  <c:v>8.5</c:v>
                </c:pt>
                <c:pt idx="34">
                  <c:v>8</c:v>
                </c:pt>
                <c:pt idx="35">
                  <c:v>8.6</c:v>
                </c:pt>
                <c:pt idx="36">
                  <c:v>10.199999999999999</c:v>
                </c:pt>
                <c:pt idx="37">
                  <c:v>6.5</c:v>
                </c:pt>
                <c:pt idx="38">
                  <c:v>7.1</c:v>
                </c:pt>
                <c:pt idx="39">
                  <c:v>10</c:v>
                </c:pt>
                <c:pt idx="40">
                  <c:v>7.9</c:v>
                </c:pt>
                <c:pt idx="41">
                  <c:v>5.9</c:v>
                </c:pt>
                <c:pt idx="42">
                  <c:v>5.7</c:v>
                </c:pt>
                <c:pt idx="43">
                  <c:v>6.8</c:v>
                </c:pt>
                <c:pt idx="44">
                  <c:v>6.1</c:v>
                </c:pt>
                <c:pt idx="45">
                  <c:v>8</c:v>
                </c:pt>
                <c:pt idx="46">
                  <c:v>6.8</c:v>
                </c:pt>
                <c:pt idx="47">
                  <c:v>8.5</c:v>
                </c:pt>
                <c:pt idx="48">
                  <c:v>5.7</c:v>
                </c:pt>
                <c:pt idx="49">
                  <c:v>6.2</c:v>
                </c:pt>
              </c:numCache>
            </c:numRef>
          </c:xVal>
          <c:yVal>
            <c:numRef>
              <c:f>'Задание №1-2'!$E$3:$E$52</c:f>
              <c:numCache>
                <c:formatCode>General</c:formatCode>
                <c:ptCount val="50"/>
                <c:pt idx="0">
                  <c:v>8.6999999999999993</c:v>
                </c:pt>
                <c:pt idx="1">
                  <c:v>10.3</c:v>
                </c:pt>
                <c:pt idx="2">
                  <c:v>8.3000000000000007</c:v>
                </c:pt>
                <c:pt idx="3">
                  <c:v>9.5</c:v>
                </c:pt>
                <c:pt idx="4">
                  <c:v>11.7</c:v>
                </c:pt>
                <c:pt idx="5">
                  <c:v>7.7</c:v>
                </c:pt>
                <c:pt idx="6">
                  <c:v>6.8</c:v>
                </c:pt>
                <c:pt idx="7">
                  <c:v>8.6999999999999993</c:v>
                </c:pt>
                <c:pt idx="8">
                  <c:v>7.3</c:v>
                </c:pt>
                <c:pt idx="9">
                  <c:v>7.4</c:v>
                </c:pt>
                <c:pt idx="10">
                  <c:v>7.2</c:v>
                </c:pt>
                <c:pt idx="11">
                  <c:v>9.6</c:v>
                </c:pt>
                <c:pt idx="12">
                  <c:v>4.9000000000000004</c:v>
                </c:pt>
                <c:pt idx="13">
                  <c:v>8.9</c:v>
                </c:pt>
                <c:pt idx="14">
                  <c:v>6.7</c:v>
                </c:pt>
                <c:pt idx="15">
                  <c:v>8</c:v>
                </c:pt>
                <c:pt idx="16">
                  <c:v>6.3</c:v>
                </c:pt>
                <c:pt idx="17">
                  <c:v>6.2</c:v>
                </c:pt>
                <c:pt idx="18">
                  <c:v>5.9</c:v>
                </c:pt>
                <c:pt idx="19">
                  <c:v>8.4</c:v>
                </c:pt>
                <c:pt idx="20">
                  <c:v>8.6</c:v>
                </c:pt>
                <c:pt idx="21">
                  <c:v>7.7</c:v>
                </c:pt>
                <c:pt idx="22">
                  <c:v>7</c:v>
                </c:pt>
                <c:pt idx="23">
                  <c:v>6.2</c:v>
                </c:pt>
                <c:pt idx="24">
                  <c:v>5.6</c:v>
                </c:pt>
                <c:pt idx="25">
                  <c:v>7.8</c:v>
                </c:pt>
                <c:pt idx="26">
                  <c:v>8.1</c:v>
                </c:pt>
                <c:pt idx="27">
                  <c:v>8.6999999999999993</c:v>
                </c:pt>
                <c:pt idx="28">
                  <c:v>6.3</c:v>
                </c:pt>
                <c:pt idx="29">
                  <c:v>8.6</c:v>
                </c:pt>
                <c:pt idx="30">
                  <c:v>6.3</c:v>
                </c:pt>
                <c:pt idx="31">
                  <c:v>6.7</c:v>
                </c:pt>
                <c:pt idx="32">
                  <c:v>6.7</c:v>
                </c:pt>
                <c:pt idx="33">
                  <c:v>5.2</c:v>
                </c:pt>
                <c:pt idx="34">
                  <c:v>5.6</c:v>
                </c:pt>
                <c:pt idx="35">
                  <c:v>5</c:v>
                </c:pt>
                <c:pt idx="36">
                  <c:v>3.8</c:v>
                </c:pt>
                <c:pt idx="37">
                  <c:v>6.7</c:v>
                </c:pt>
                <c:pt idx="38">
                  <c:v>5.2</c:v>
                </c:pt>
                <c:pt idx="39">
                  <c:v>4.7</c:v>
                </c:pt>
                <c:pt idx="40">
                  <c:v>4.9000000000000004</c:v>
                </c:pt>
                <c:pt idx="41">
                  <c:v>6.4</c:v>
                </c:pt>
                <c:pt idx="42">
                  <c:v>7.1</c:v>
                </c:pt>
                <c:pt idx="43">
                  <c:v>5</c:v>
                </c:pt>
                <c:pt idx="44">
                  <c:v>5.2</c:v>
                </c:pt>
                <c:pt idx="45">
                  <c:v>6.3</c:v>
                </c:pt>
                <c:pt idx="46">
                  <c:v>6</c:v>
                </c:pt>
                <c:pt idx="47">
                  <c:v>6.6</c:v>
                </c:pt>
                <c:pt idx="48">
                  <c:v>7.7</c:v>
                </c:pt>
                <c:pt idx="49">
                  <c:v>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0A-4A03-81D4-2AAB66E6D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4002080"/>
        <c:axId val="1874002912"/>
      </c:scatterChart>
      <c:valAx>
        <c:axId val="187400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4002912"/>
        <c:crosses val="autoZero"/>
        <c:crossBetween val="midCat"/>
      </c:valAx>
      <c:valAx>
        <c:axId val="187400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4002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Корреляционное поле (лапша-крупа)</a:t>
            </a:r>
            <a:endParaRPr lang="ru-R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№1-2'!$D$3:$D$52</c:f>
              <c:numCache>
                <c:formatCode>General</c:formatCode>
                <c:ptCount val="50"/>
                <c:pt idx="0">
                  <c:v>20.5</c:v>
                </c:pt>
                <c:pt idx="1">
                  <c:v>17.100000000000001</c:v>
                </c:pt>
                <c:pt idx="2">
                  <c:v>16.8</c:v>
                </c:pt>
                <c:pt idx="3">
                  <c:v>15.8</c:v>
                </c:pt>
                <c:pt idx="4">
                  <c:v>16.8</c:v>
                </c:pt>
                <c:pt idx="5">
                  <c:v>10.5</c:v>
                </c:pt>
                <c:pt idx="6">
                  <c:v>13.2</c:v>
                </c:pt>
                <c:pt idx="7">
                  <c:v>11.1</c:v>
                </c:pt>
                <c:pt idx="8">
                  <c:v>12.2</c:v>
                </c:pt>
                <c:pt idx="9">
                  <c:v>8.8000000000000007</c:v>
                </c:pt>
                <c:pt idx="10">
                  <c:v>10.9</c:v>
                </c:pt>
                <c:pt idx="11">
                  <c:v>10.8</c:v>
                </c:pt>
                <c:pt idx="12">
                  <c:v>10.4</c:v>
                </c:pt>
                <c:pt idx="13">
                  <c:v>12.1</c:v>
                </c:pt>
                <c:pt idx="14">
                  <c:v>11.8</c:v>
                </c:pt>
                <c:pt idx="15">
                  <c:v>14.1</c:v>
                </c:pt>
                <c:pt idx="16">
                  <c:v>12.3</c:v>
                </c:pt>
                <c:pt idx="17">
                  <c:v>12.5</c:v>
                </c:pt>
                <c:pt idx="18">
                  <c:v>11.2</c:v>
                </c:pt>
                <c:pt idx="19">
                  <c:v>10.4</c:v>
                </c:pt>
                <c:pt idx="20">
                  <c:v>13.3</c:v>
                </c:pt>
                <c:pt idx="21">
                  <c:v>12.4</c:v>
                </c:pt>
                <c:pt idx="22">
                  <c:v>12.5</c:v>
                </c:pt>
                <c:pt idx="23">
                  <c:v>13.1</c:v>
                </c:pt>
                <c:pt idx="24">
                  <c:v>12.9</c:v>
                </c:pt>
                <c:pt idx="25">
                  <c:v>10</c:v>
                </c:pt>
                <c:pt idx="26">
                  <c:v>12.9</c:v>
                </c:pt>
                <c:pt idx="27">
                  <c:v>10.4</c:v>
                </c:pt>
                <c:pt idx="28">
                  <c:v>13</c:v>
                </c:pt>
                <c:pt idx="29">
                  <c:v>11.6</c:v>
                </c:pt>
                <c:pt idx="30">
                  <c:v>7.5</c:v>
                </c:pt>
                <c:pt idx="31">
                  <c:v>9.1999999999999993</c:v>
                </c:pt>
                <c:pt idx="32">
                  <c:v>6.8</c:v>
                </c:pt>
                <c:pt idx="33">
                  <c:v>8.5</c:v>
                </c:pt>
                <c:pt idx="34">
                  <c:v>8</c:v>
                </c:pt>
                <c:pt idx="35">
                  <c:v>8.6</c:v>
                </c:pt>
                <c:pt idx="36">
                  <c:v>10.199999999999999</c:v>
                </c:pt>
                <c:pt idx="37">
                  <c:v>6.5</c:v>
                </c:pt>
                <c:pt idx="38">
                  <c:v>7.1</c:v>
                </c:pt>
                <c:pt idx="39">
                  <c:v>10</c:v>
                </c:pt>
                <c:pt idx="40">
                  <c:v>7.9</c:v>
                </c:pt>
                <c:pt idx="41">
                  <c:v>5.9</c:v>
                </c:pt>
                <c:pt idx="42">
                  <c:v>5.7</c:v>
                </c:pt>
                <c:pt idx="43">
                  <c:v>6.8</c:v>
                </c:pt>
                <c:pt idx="44">
                  <c:v>6.1</c:v>
                </c:pt>
                <c:pt idx="45">
                  <c:v>8</c:v>
                </c:pt>
                <c:pt idx="46">
                  <c:v>6.8</c:v>
                </c:pt>
                <c:pt idx="47">
                  <c:v>8.5</c:v>
                </c:pt>
                <c:pt idx="48">
                  <c:v>5.7</c:v>
                </c:pt>
                <c:pt idx="49">
                  <c:v>6.2</c:v>
                </c:pt>
              </c:numCache>
            </c:numRef>
          </c:xVal>
          <c:yVal>
            <c:numRef>
              <c:f>'Задание №1-2'!$F$3:$F$52</c:f>
              <c:numCache>
                <c:formatCode>General</c:formatCode>
                <c:ptCount val="50"/>
                <c:pt idx="0">
                  <c:v>22.2</c:v>
                </c:pt>
                <c:pt idx="1">
                  <c:v>18</c:v>
                </c:pt>
                <c:pt idx="2">
                  <c:v>19.100000000000001</c:v>
                </c:pt>
                <c:pt idx="3">
                  <c:v>21.6</c:v>
                </c:pt>
                <c:pt idx="4">
                  <c:v>22.5</c:v>
                </c:pt>
                <c:pt idx="5">
                  <c:v>14.4</c:v>
                </c:pt>
                <c:pt idx="6">
                  <c:v>14.8</c:v>
                </c:pt>
                <c:pt idx="7">
                  <c:v>13.6</c:v>
                </c:pt>
                <c:pt idx="8">
                  <c:v>14.8</c:v>
                </c:pt>
                <c:pt idx="9">
                  <c:v>13.6</c:v>
                </c:pt>
                <c:pt idx="10">
                  <c:v>13.5</c:v>
                </c:pt>
                <c:pt idx="11">
                  <c:v>13</c:v>
                </c:pt>
                <c:pt idx="12">
                  <c:v>14.1</c:v>
                </c:pt>
                <c:pt idx="13">
                  <c:v>11.3</c:v>
                </c:pt>
                <c:pt idx="14">
                  <c:v>14.6</c:v>
                </c:pt>
                <c:pt idx="15">
                  <c:v>13.6</c:v>
                </c:pt>
                <c:pt idx="16">
                  <c:v>12.8</c:v>
                </c:pt>
                <c:pt idx="17">
                  <c:v>13.2</c:v>
                </c:pt>
                <c:pt idx="18">
                  <c:v>13.4</c:v>
                </c:pt>
                <c:pt idx="19">
                  <c:v>13</c:v>
                </c:pt>
                <c:pt idx="20">
                  <c:v>13.2</c:v>
                </c:pt>
                <c:pt idx="21">
                  <c:v>14.9</c:v>
                </c:pt>
                <c:pt idx="22">
                  <c:v>12.9</c:v>
                </c:pt>
                <c:pt idx="23">
                  <c:v>12.6</c:v>
                </c:pt>
                <c:pt idx="24">
                  <c:v>13.1</c:v>
                </c:pt>
                <c:pt idx="25">
                  <c:v>11.4</c:v>
                </c:pt>
                <c:pt idx="26">
                  <c:v>16.600000000000001</c:v>
                </c:pt>
                <c:pt idx="27">
                  <c:v>13.2</c:v>
                </c:pt>
                <c:pt idx="28">
                  <c:v>11.5</c:v>
                </c:pt>
                <c:pt idx="29">
                  <c:v>14.3</c:v>
                </c:pt>
                <c:pt idx="30">
                  <c:v>8.4</c:v>
                </c:pt>
                <c:pt idx="31">
                  <c:v>9.3000000000000007</c:v>
                </c:pt>
                <c:pt idx="32">
                  <c:v>8.9</c:v>
                </c:pt>
                <c:pt idx="33">
                  <c:v>10.4</c:v>
                </c:pt>
                <c:pt idx="34">
                  <c:v>7.7</c:v>
                </c:pt>
                <c:pt idx="35">
                  <c:v>8.6999999999999993</c:v>
                </c:pt>
                <c:pt idx="36">
                  <c:v>10.3</c:v>
                </c:pt>
                <c:pt idx="37">
                  <c:v>10</c:v>
                </c:pt>
                <c:pt idx="38">
                  <c:v>8.6999999999999993</c:v>
                </c:pt>
                <c:pt idx="39">
                  <c:v>5.5</c:v>
                </c:pt>
                <c:pt idx="40">
                  <c:v>9.5</c:v>
                </c:pt>
                <c:pt idx="41">
                  <c:v>11.8</c:v>
                </c:pt>
                <c:pt idx="42">
                  <c:v>6.7</c:v>
                </c:pt>
                <c:pt idx="43">
                  <c:v>10.6</c:v>
                </c:pt>
                <c:pt idx="44">
                  <c:v>9.1999999999999993</c:v>
                </c:pt>
                <c:pt idx="45">
                  <c:v>5.7</c:v>
                </c:pt>
                <c:pt idx="46">
                  <c:v>8.1</c:v>
                </c:pt>
                <c:pt idx="47">
                  <c:v>10.5</c:v>
                </c:pt>
                <c:pt idx="48">
                  <c:v>9.4</c:v>
                </c:pt>
                <c:pt idx="49">
                  <c:v>10.4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39-478B-9DE8-269A45EB5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8722816"/>
        <c:axId val="1878712832"/>
      </c:scatterChart>
      <c:valAx>
        <c:axId val="187872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8712832"/>
        <c:crosses val="autoZero"/>
        <c:crossBetween val="midCat"/>
      </c:valAx>
      <c:valAx>
        <c:axId val="187871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872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Корреляционное поле (мука-крупа)</a:t>
            </a:r>
            <a:endParaRPr lang="ru-R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№1-2'!$E$3:$E$52</c:f>
              <c:numCache>
                <c:formatCode>General</c:formatCode>
                <c:ptCount val="50"/>
                <c:pt idx="0">
                  <c:v>8.6999999999999993</c:v>
                </c:pt>
                <c:pt idx="1">
                  <c:v>10.3</c:v>
                </c:pt>
                <c:pt idx="2">
                  <c:v>8.3000000000000007</c:v>
                </c:pt>
                <c:pt idx="3">
                  <c:v>9.5</c:v>
                </c:pt>
                <c:pt idx="4">
                  <c:v>11.7</c:v>
                </c:pt>
                <c:pt idx="5">
                  <c:v>7.7</c:v>
                </c:pt>
                <c:pt idx="6">
                  <c:v>6.8</c:v>
                </c:pt>
                <c:pt idx="7">
                  <c:v>8.6999999999999993</c:v>
                </c:pt>
                <c:pt idx="8">
                  <c:v>7.3</c:v>
                </c:pt>
                <c:pt idx="9">
                  <c:v>7.4</c:v>
                </c:pt>
                <c:pt idx="10">
                  <c:v>7.2</c:v>
                </c:pt>
                <c:pt idx="11">
                  <c:v>9.6</c:v>
                </c:pt>
                <c:pt idx="12">
                  <c:v>4.9000000000000004</c:v>
                </c:pt>
                <c:pt idx="13">
                  <c:v>8.9</c:v>
                </c:pt>
                <c:pt idx="14">
                  <c:v>6.7</c:v>
                </c:pt>
                <c:pt idx="15">
                  <c:v>8</c:v>
                </c:pt>
                <c:pt idx="16">
                  <c:v>6.3</c:v>
                </c:pt>
                <c:pt idx="17">
                  <c:v>6.2</c:v>
                </c:pt>
                <c:pt idx="18">
                  <c:v>5.9</c:v>
                </c:pt>
                <c:pt idx="19">
                  <c:v>8.4</c:v>
                </c:pt>
                <c:pt idx="20">
                  <c:v>8.6</c:v>
                </c:pt>
                <c:pt idx="21">
                  <c:v>7.7</c:v>
                </c:pt>
                <c:pt idx="22">
                  <c:v>7</c:v>
                </c:pt>
                <c:pt idx="23">
                  <c:v>6.2</c:v>
                </c:pt>
                <c:pt idx="24">
                  <c:v>5.6</c:v>
                </c:pt>
                <c:pt idx="25">
                  <c:v>7.8</c:v>
                </c:pt>
                <c:pt idx="26">
                  <c:v>8.1</c:v>
                </c:pt>
                <c:pt idx="27">
                  <c:v>8.6999999999999993</c:v>
                </c:pt>
                <c:pt idx="28">
                  <c:v>6.3</c:v>
                </c:pt>
                <c:pt idx="29">
                  <c:v>8.6</c:v>
                </c:pt>
                <c:pt idx="30">
                  <c:v>6.3</c:v>
                </c:pt>
                <c:pt idx="31">
                  <c:v>6.7</c:v>
                </c:pt>
                <c:pt idx="32">
                  <c:v>6.7</c:v>
                </c:pt>
                <c:pt idx="33">
                  <c:v>5.2</c:v>
                </c:pt>
                <c:pt idx="34">
                  <c:v>5.6</c:v>
                </c:pt>
                <c:pt idx="35">
                  <c:v>5</c:v>
                </c:pt>
                <c:pt idx="36">
                  <c:v>3.8</c:v>
                </c:pt>
                <c:pt idx="37">
                  <c:v>6.7</c:v>
                </c:pt>
                <c:pt idx="38">
                  <c:v>5.2</c:v>
                </c:pt>
                <c:pt idx="39">
                  <c:v>4.7</c:v>
                </c:pt>
                <c:pt idx="40">
                  <c:v>4.9000000000000004</c:v>
                </c:pt>
                <c:pt idx="41">
                  <c:v>6.4</c:v>
                </c:pt>
                <c:pt idx="42">
                  <c:v>7.1</c:v>
                </c:pt>
                <c:pt idx="43">
                  <c:v>5</c:v>
                </c:pt>
                <c:pt idx="44">
                  <c:v>5.2</c:v>
                </c:pt>
                <c:pt idx="45">
                  <c:v>6.3</c:v>
                </c:pt>
                <c:pt idx="46">
                  <c:v>6</c:v>
                </c:pt>
                <c:pt idx="47">
                  <c:v>6.6</c:v>
                </c:pt>
                <c:pt idx="48">
                  <c:v>7.7</c:v>
                </c:pt>
                <c:pt idx="49">
                  <c:v>5.3</c:v>
                </c:pt>
              </c:numCache>
            </c:numRef>
          </c:xVal>
          <c:yVal>
            <c:numRef>
              <c:f>'Задание №1-2'!$F$3:$F$52</c:f>
              <c:numCache>
                <c:formatCode>General</c:formatCode>
                <c:ptCount val="50"/>
                <c:pt idx="0">
                  <c:v>22.2</c:v>
                </c:pt>
                <c:pt idx="1">
                  <c:v>18</c:v>
                </c:pt>
                <c:pt idx="2">
                  <c:v>19.100000000000001</c:v>
                </c:pt>
                <c:pt idx="3">
                  <c:v>21.6</c:v>
                </c:pt>
                <c:pt idx="4">
                  <c:v>22.5</c:v>
                </c:pt>
                <c:pt idx="5">
                  <c:v>14.4</c:v>
                </c:pt>
                <c:pt idx="6">
                  <c:v>14.8</c:v>
                </c:pt>
                <c:pt idx="7">
                  <c:v>13.6</c:v>
                </c:pt>
                <c:pt idx="8">
                  <c:v>14.8</c:v>
                </c:pt>
                <c:pt idx="9">
                  <c:v>13.6</c:v>
                </c:pt>
                <c:pt idx="10">
                  <c:v>13.5</c:v>
                </c:pt>
                <c:pt idx="11">
                  <c:v>13</c:v>
                </c:pt>
                <c:pt idx="12">
                  <c:v>14.1</c:v>
                </c:pt>
                <c:pt idx="13">
                  <c:v>11.3</c:v>
                </c:pt>
                <c:pt idx="14">
                  <c:v>14.6</c:v>
                </c:pt>
                <c:pt idx="15">
                  <c:v>13.6</c:v>
                </c:pt>
                <c:pt idx="16">
                  <c:v>12.8</c:v>
                </c:pt>
                <c:pt idx="17">
                  <c:v>13.2</c:v>
                </c:pt>
                <c:pt idx="18">
                  <c:v>13.4</c:v>
                </c:pt>
                <c:pt idx="19">
                  <c:v>13</c:v>
                </c:pt>
                <c:pt idx="20">
                  <c:v>13.2</c:v>
                </c:pt>
                <c:pt idx="21">
                  <c:v>14.9</c:v>
                </c:pt>
                <c:pt idx="22">
                  <c:v>12.9</c:v>
                </c:pt>
                <c:pt idx="23">
                  <c:v>12.6</c:v>
                </c:pt>
                <c:pt idx="24">
                  <c:v>13.1</c:v>
                </c:pt>
                <c:pt idx="25">
                  <c:v>11.4</c:v>
                </c:pt>
                <c:pt idx="26">
                  <c:v>16.600000000000001</c:v>
                </c:pt>
                <c:pt idx="27">
                  <c:v>13.2</c:v>
                </c:pt>
                <c:pt idx="28">
                  <c:v>11.5</c:v>
                </c:pt>
                <c:pt idx="29">
                  <c:v>14.3</c:v>
                </c:pt>
                <c:pt idx="30">
                  <c:v>8.4</c:v>
                </c:pt>
                <c:pt idx="31">
                  <c:v>9.3000000000000007</c:v>
                </c:pt>
                <c:pt idx="32">
                  <c:v>8.9</c:v>
                </c:pt>
                <c:pt idx="33">
                  <c:v>10.4</c:v>
                </c:pt>
                <c:pt idx="34">
                  <c:v>7.7</c:v>
                </c:pt>
                <c:pt idx="35">
                  <c:v>8.6999999999999993</c:v>
                </c:pt>
                <c:pt idx="36">
                  <c:v>10.3</c:v>
                </c:pt>
                <c:pt idx="37">
                  <c:v>10</c:v>
                </c:pt>
                <c:pt idx="38">
                  <c:v>8.6999999999999993</c:v>
                </c:pt>
                <c:pt idx="39">
                  <c:v>5.5</c:v>
                </c:pt>
                <c:pt idx="40">
                  <c:v>9.5</c:v>
                </c:pt>
                <c:pt idx="41">
                  <c:v>11.8</c:v>
                </c:pt>
                <c:pt idx="42">
                  <c:v>6.7</c:v>
                </c:pt>
                <c:pt idx="43">
                  <c:v>10.6</c:v>
                </c:pt>
                <c:pt idx="44">
                  <c:v>9.1999999999999993</c:v>
                </c:pt>
                <c:pt idx="45">
                  <c:v>5.7</c:v>
                </c:pt>
                <c:pt idx="46">
                  <c:v>8.1</c:v>
                </c:pt>
                <c:pt idx="47">
                  <c:v>10.5</c:v>
                </c:pt>
                <c:pt idx="48">
                  <c:v>9.4</c:v>
                </c:pt>
                <c:pt idx="49">
                  <c:v>10.4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54-4D16-ACF2-B1055D7B1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768080"/>
        <c:axId val="1835774320"/>
      </c:scatterChart>
      <c:valAx>
        <c:axId val="1835768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5774320"/>
        <c:crosses val="autoZero"/>
        <c:crossBetween val="midCat"/>
      </c:valAx>
      <c:valAx>
        <c:axId val="183577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5768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Посетители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288398720902245"/>
          <c:y val="0.19376207101470808"/>
          <c:w val="0.75221538355740469"/>
          <c:h val="0.4227640766602288"/>
        </c:manualLayout>
      </c:layout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numRef>
              <c:f>'Задание №1-2'!$AW$2:$AW$8</c:f>
              <c:numCache>
                <c:formatCode>General</c:formatCode>
                <c:ptCount val="7"/>
                <c:pt idx="0">
                  <c:v>535.80921947234765</c:v>
                </c:pt>
                <c:pt idx="1">
                  <c:v>857.6184389446953</c:v>
                </c:pt>
                <c:pt idx="2">
                  <c:v>1179.4276584170429</c:v>
                </c:pt>
                <c:pt idx="3">
                  <c:v>1501.2368778893906</c:v>
                </c:pt>
                <c:pt idx="4">
                  <c:v>1823.0460973617382</c:v>
                </c:pt>
                <c:pt idx="5">
                  <c:v>2144.8553168340859</c:v>
                </c:pt>
                <c:pt idx="6">
                  <c:v>2351</c:v>
                </c:pt>
              </c:numCache>
            </c:numRef>
          </c:cat>
          <c:val>
            <c:numRef>
              <c:f>'Задание №1-2'!$AX$2:$AX$8</c:f>
              <c:numCache>
                <c:formatCode>General</c:formatCode>
                <c:ptCount val="7"/>
                <c:pt idx="0">
                  <c:v>20</c:v>
                </c:pt>
                <c:pt idx="1">
                  <c:v>7</c:v>
                </c:pt>
                <c:pt idx="2">
                  <c:v>15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FC-4CEC-9D1B-581E15F9C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8417256"/>
        <c:axId val="538421936"/>
      </c:barChart>
      <c:catAx>
        <c:axId val="538417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8421936"/>
        <c:crosses val="autoZero"/>
        <c:auto val="1"/>
        <c:lblAlgn val="ctr"/>
        <c:lblOffset val="100"/>
        <c:tickLblSkip val="1"/>
        <c:noMultiLvlLbl val="0"/>
      </c:catAx>
      <c:valAx>
        <c:axId val="5384219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8417256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Томаты</a:t>
            </a:r>
          </a:p>
        </c:rich>
      </c:tx>
      <c:layout>
        <c:manualLayout>
          <c:xMode val="edge"/>
          <c:yMode val="edge"/>
          <c:x val="0.34672217355301593"/>
          <c:y val="6.171371267270836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'Задание №1-2'!$AX$10</c:f>
              <c:strCache>
                <c:ptCount val="1"/>
                <c:pt idx="0">
                  <c:v>Частота</c:v>
                </c:pt>
              </c:strCache>
            </c:strRef>
          </c:tx>
          <c:invertIfNegative val="0"/>
          <c:cat>
            <c:numRef>
              <c:f>'Задание №1-2'!$AW$11:$AW$17</c:f>
              <c:numCache>
                <c:formatCode>General</c:formatCode>
                <c:ptCount val="7"/>
                <c:pt idx="0">
                  <c:v>16.263595636611498</c:v>
                </c:pt>
                <c:pt idx="1">
                  <c:v>26.127191273222994</c:v>
                </c:pt>
                <c:pt idx="2">
                  <c:v>35.99078690983449</c:v>
                </c:pt>
                <c:pt idx="3">
                  <c:v>45.85438254644599</c:v>
                </c:pt>
                <c:pt idx="4">
                  <c:v>55.717978183057483</c:v>
                </c:pt>
                <c:pt idx="5">
                  <c:v>65.581573819668975</c:v>
                </c:pt>
                <c:pt idx="6">
                  <c:v>75.445169456280468</c:v>
                </c:pt>
              </c:numCache>
            </c:numRef>
          </c:cat>
          <c:val>
            <c:numRef>
              <c:f>'Задание №1-2'!$AX$11:$AX$17</c:f>
              <c:numCache>
                <c:formatCode>General</c:formatCode>
                <c:ptCount val="7"/>
                <c:pt idx="0">
                  <c:v>12</c:v>
                </c:pt>
                <c:pt idx="1">
                  <c:v>10</c:v>
                </c:pt>
                <c:pt idx="2">
                  <c:v>13</c:v>
                </c:pt>
                <c:pt idx="3">
                  <c:v>8</c:v>
                </c:pt>
                <c:pt idx="4">
                  <c:v>10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45-496D-8CCF-BB583C276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9280504"/>
        <c:axId val="529285904"/>
      </c:barChart>
      <c:catAx>
        <c:axId val="529280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285904"/>
        <c:crosses val="autoZero"/>
        <c:auto val="1"/>
        <c:lblAlgn val="ctr"/>
        <c:lblOffset val="100"/>
        <c:noMultiLvlLbl val="0"/>
      </c:catAx>
      <c:valAx>
        <c:axId val="5292859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280504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Лапша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numRef>
              <c:f>'Задание №1-2'!$AW$20:$AW$26</c:f>
              <c:numCache>
                <c:formatCode>General</c:formatCode>
                <c:ptCount val="7"/>
                <c:pt idx="0">
                  <c:v>7.9287208461351169</c:v>
                </c:pt>
                <c:pt idx="1">
                  <c:v>10.157441692270233</c:v>
                </c:pt>
                <c:pt idx="2">
                  <c:v>12.386162538405349</c:v>
                </c:pt>
                <c:pt idx="3">
                  <c:v>14.614883384540466</c:v>
                </c:pt>
                <c:pt idx="4">
                  <c:v>16.843604230675581</c:v>
                </c:pt>
                <c:pt idx="5">
                  <c:v>19.072325076810699</c:v>
                </c:pt>
                <c:pt idx="6">
                  <c:v>20.5</c:v>
                </c:pt>
              </c:numCache>
            </c:numRef>
          </c:cat>
          <c:val>
            <c:numRef>
              <c:f>'Задание №1-2'!$AX$20:$AX$26</c:f>
              <c:numCache>
                <c:formatCode>General</c:formatCode>
                <c:ptCount val="7"/>
                <c:pt idx="0">
                  <c:v>12</c:v>
                </c:pt>
                <c:pt idx="1">
                  <c:v>9</c:v>
                </c:pt>
                <c:pt idx="2">
                  <c:v>14</c:v>
                </c:pt>
                <c:pt idx="3">
                  <c:v>10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0E-4BC6-834C-ACEBE615B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4140248"/>
        <c:axId val="524132688"/>
      </c:barChart>
      <c:catAx>
        <c:axId val="524140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4132688"/>
        <c:crosses val="autoZero"/>
        <c:auto val="1"/>
        <c:lblAlgn val="ctr"/>
        <c:lblOffset val="100"/>
        <c:noMultiLvlLbl val="0"/>
      </c:catAx>
      <c:valAx>
        <c:axId val="5241326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4140248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Крупа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numRef>
              <c:f>'Задание №1-2'!$AW$38:$AW$44</c:f>
              <c:numCache>
                <c:formatCode>General</c:formatCode>
                <c:ptCount val="7"/>
                <c:pt idx="0">
                  <c:v>8.0600171881281746</c:v>
                </c:pt>
                <c:pt idx="1">
                  <c:v>10.620034376256349</c:v>
                </c:pt>
                <c:pt idx="2">
                  <c:v>13.180051564384524</c:v>
                </c:pt>
                <c:pt idx="3">
                  <c:v>15.740068752512698</c:v>
                </c:pt>
                <c:pt idx="4">
                  <c:v>18.300085940640873</c:v>
                </c:pt>
                <c:pt idx="5">
                  <c:v>20.860103128769047</c:v>
                </c:pt>
                <c:pt idx="6">
                  <c:v>22.5</c:v>
                </c:pt>
              </c:numCache>
            </c:numRef>
          </c:cat>
          <c:val>
            <c:numRef>
              <c:f>'Задание №1-2'!$AX$38:$AX$44</c:f>
              <c:numCache>
                <c:formatCode>General</c:formatCode>
                <c:ptCount val="7"/>
                <c:pt idx="0">
                  <c:v>4</c:v>
                </c:pt>
                <c:pt idx="1">
                  <c:v>15</c:v>
                </c:pt>
                <c:pt idx="2">
                  <c:v>10</c:v>
                </c:pt>
                <c:pt idx="3">
                  <c:v>15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99-42A3-A55F-56B53BC90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5152576"/>
        <c:axId val="525153296"/>
      </c:barChart>
      <c:catAx>
        <c:axId val="525152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5153296"/>
        <c:crosses val="autoZero"/>
        <c:auto val="1"/>
        <c:lblAlgn val="ctr"/>
        <c:lblOffset val="100"/>
        <c:noMultiLvlLbl val="0"/>
      </c:catAx>
      <c:valAx>
        <c:axId val="5251532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5152576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Мука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numRef>
              <c:f>'Задание №1-2'!$AW$29:$AW$35</c:f>
              <c:numCache>
                <c:formatCode>General</c:formatCode>
                <c:ptCount val="7"/>
                <c:pt idx="0">
                  <c:v>4.9896550462477984</c:v>
                </c:pt>
                <c:pt idx="1">
                  <c:v>6.179310092495597</c:v>
                </c:pt>
                <c:pt idx="2">
                  <c:v>7.3689651387433956</c:v>
                </c:pt>
                <c:pt idx="3">
                  <c:v>8.5586201849911951</c:v>
                </c:pt>
                <c:pt idx="4">
                  <c:v>9.7482752312389938</c:v>
                </c:pt>
                <c:pt idx="5">
                  <c:v>10.937930277486792</c:v>
                </c:pt>
                <c:pt idx="6">
                  <c:v>11.7</c:v>
                </c:pt>
              </c:numCache>
            </c:numRef>
          </c:cat>
          <c:val>
            <c:numRef>
              <c:f>'Задание №1-2'!$AX$29:$AX$35</c:f>
              <c:numCache>
                <c:formatCode>General</c:formatCode>
                <c:ptCount val="7"/>
                <c:pt idx="0">
                  <c:v>4</c:v>
                </c:pt>
                <c:pt idx="1">
                  <c:v>10</c:v>
                </c:pt>
                <c:pt idx="2">
                  <c:v>17</c:v>
                </c:pt>
                <c:pt idx="3">
                  <c:v>9</c:v>
                </c:pt>
                <c:pt idx="4">
                  <c:v>8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71-4CC2-A647-3C6630F79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4136648"/>
        <c:axId val="524138808"/>
      </c:barChart>
      <c:catAx>
        <c:axId val="524136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4138808"/>
        <c:crosses val="autoZero"/>
        <c:auto val="1"/>
        <c:lblAlgn val="ctr"/>
        <c:lblOffset val="100"/>
        <c:noMultiLvlLbl val="0"/>
      </c:catAx>
      <c:valAx>
        <c:axId val="5241388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4136648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Линейная регрессия и 95% доверительный интервал</a:t>
            </a:r>
            <a:r>
              <a:rPr lang="en-US" sz="1400" b="0" i="0" u="none" strike="noStrike" baseline="0">
                <a:effectLst/>
              </a:rPr>
              <a:t>(</a:t>
            </a:r>
            <a:r>
              <a:rPr lang="ru-RU" sz="1400" b="0" i="0" u="none" strike="noStrike" baseline="0">
                <a:effectLst/>
              </a:rPr>
              <a:t>РУками делал</a:t>
            </a:r>
            <a:endParaRPr lang="ru-RU"/>
          </a:p>
        </c:rich>
      </c:tx>
      <c:layout>
        <c:manualLayout>
          <c:xMode val="edge"/>
          <c:yMode val="edge"/>
          <c:x val="0.13092869727953563"/>
          <c:y val="2.8074177725018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№3'!$S$2:$S$51</c:f>
              <c:numCache>
                <c:formatCode>General</c:formatCode>
                <c:ptCount val="50"/>
                <c:pt idx="0">
                  <c:v>2351</c:v>
                </c:pt>
                <c:pt idx="1">
                  <c:v>1643</c:v>
                </c:pt>
                <c:pt idx="2">
                  <c:v>1603</c:v>
                </c:pt>
                <c:pt idx="3">
                  <c:v>1735</c:v>
                </c:pt>
                <c:pt idx="4">
                  <c:v>2031</c:v>
                </c:pt>
                <c:pt idx="5">
                  <c:v>1266</c:v>
                </c:pt>
                <c:pt idx="6">
                  <c:v>1138</c:v>
                </c:pt>
                <c:pt idx="7">
                  <c:v>947</c:v>
                </c:pt>
                <c:pt idx="8">
                  <c:v>921</c:v>
                </c:pt>
                <c:pt idx="9">
                  <c:v>826</c:v>
                </c:pt>
                <c:pt idx="10">
                  <c:v>784</c:v>
                </c:pt>
                <c:pt idx="11">
                  <c:v>932</c:v>
                </c:pt>
                <c:pt idx="12">
                  <c:v>755</c:v>
                </c:pt>
                <c:pt idx="13">
                  <c:v>998</c:v>
                </c:pt>
                <c:pt idx="14">
                  <c:v>1047</c:v>
                </c:pt>
                <c:pt idx="15">
                  <c:v>1143</c:v>
                </c:pt>
                <c:pt idx="16">
                  <c:v>805</c:v>
                </c:pt>
                <c:pt idx="17">
                  <c:v>969</c:v>
                </c:pt>
                <c:pt idx="18">
                  <c:v>907</c:v>
                </c:pt>
                <c:pt idx="19">
                  <c:v>1017</c:v>
                </c:pt>
                <c:pt idx="20">
                  <c:v>1125</c:v>
                </c:pt>
                <c:pt idx="21">
                  <c:v>1177</c:v>
                </c:pt>
                <c:pt idx="22">
                  <c:v>758</c:v>
                </c:pt>
                <c:pt idx="23">
                  <c:v>1000</c:v>
                </c:pt>
                <c:pt idx="24">
                  <c:v>819</c:v>
                </c:pt>
                <c:pt idx="25">
                  <c:v>837</c:v>
                </c:pt>
                <c:pt idx="26">
                  <c:v>1249</c:v>
                </c:pt>
                <c:pt idx="27">
                  <c:v>1089</c:v>
                </c:pt>
                <c:pt idx="28">
                  <c:v>1045</c:v>
                </c:pt>
                <c:pt idx="29">
                  <c:v>1245</c:v>
                </c:pt>
                <c:pt idx="30">
                  <c:v>284</c:v>
                </c:pt>
                <c:pt idx="31">
                  <c:v>467</c:v>
                </c:pt>
                <c:pt idx="32">
                  <c:v>292</c:v>
                </c:pt>
                <c:pt idx="33">
                  <c:v>332</c:v>
                </c:pt>
                <c:pt idx="34">
                  <c:v>290</c:v>
                </c:pt>
                <c:pt idx="35">
                  <c:v>263</c:v>
                </c:pt>
                <c:pt idx="36">
                  <c:v>323</c:v>
                </c:pt>
                <c:pt idx="37">
                  <c:v>367</c:v>
                </c:pt>
                <c:pt idx="38">
                  <c:v>249</c:v>
                </c:pt>
                <c:pt idx="39">
                  <c:v>214</c:v>
                </c:pt>
                <c:pt idx="40">
                  <c:v>451</c:v>
                </c:pt>
                <c:pt idx="41">
                  <c:v>421</c:v>
                </c:pt>
                <c:pt idx="42">
                  <c:v>236</c:v>
                </c:pt>
                <c:pt idx="43">
                  <c:v>418</c:v>
                </c:pt>
                <c:pt idx="44">
                  <c:v>272</c:v>
                </c:pt>
                <c:pt idx="45">
                  <c:v>321</c:v>
                </c:pt>
                <c:pt idx="46">
                  <c:v>295</c:v>
                </c:pt>
                <c:pt idx="47">
                  <c:v>424</c:v>
                </c:pt>
                <c:pt idx="48">
                  <c:v>449</c:v>
                </c:pt>
                <c:pt idx="49">
                  <c:v>394</c:v>
                </c:pt>
              </c:numCache>
            </c:numRef>
          </c:xVal>
          <c:yVal>
            <c:numRef>
              <c:f>'Задание №3'!$T$2:$T$51</c:f>
              <c:numCache>
                <c:formatCode>General</c:formatCode>
                <c:ptCount val="50"/>
                <c:pt idx="0">
                  <c:v>23.4419212416921</c:v>
                </c:pt>
                <c:pt idx="1">
                  <c:v>18.346272089238624</c:v>
                </c:pt>
                <c:pt idx="2">
                  <c:v>18.058382306614131</c:v>
                </c:pt>
                <c:pt idx="3">
                  <c:v>19.00841858927495</c:v>
                </c:pt>
                <c:pt idx="4">
                  <c:v>21.138802980696177</c:v>
                </c:pt>
                <c:pt idx="5">
                  <c:v>15.632910888002799</c:v>
                </c:pt>
                <c:pt idx="6">
                  <c:v>14.71166358360443</c:v>
                </c:pt>
                <c:pt idx="7">
                  <c:v>13.336989871572488</c:v>
                </c:pt>
                <c:pt idx="8">
                  <c:v>13.149861512866568</c:v>
                </c:pt>
                <c:pt idx="9">
                  <c:v>12.466123279133406</c:v>
                </c:pt>
                <c:pt idx="10">
                  <c:v>12.163839007377689</c:v>
                </c:pt>
                <c:pt idx="11">
                  <c:v>13.229031203088304</c:v>
                </c:pt>
                <c:pt idx="12">
                  <c:v>11.955118914974934</c:v>
                </c:pt>
                <c:pt idx="13">
                  <c:v>13.704049344418713</c:v>
                </c:pt>
                <c:pt idx="14">
                  <c:v>14.056714328133715</c:v>
                </c:pt>
                <c:pt idx="15">
                  <c:v>14.747649806432491</c:v>
                </c:pt>
                <c:pt idx="16">
                  <c:v>12.314981143255547</c:v>
                </c:pt>
                <c:pt idx="17">
                  <c:v>13.495329252015958</c:v>
                </c:pt>
                <c:pt idx="18">
                  <c:v>13.049100088947998</c:v>
                </c:pt>
                <c:pt idx="19">
                  <c:v>13.840796991165346</c:v>
                </c:pt>
                <c:pt idx="20">
                  <c:v>14.61809940425147</c:v>
                </c:pt>
                <c:pt idx="21">
                  <c:v>14.992356121663308</c:v>
                </c:pt>
                <c:pt idx="22">
                  <c:v>11.976710648671769</c:v>
                </c:pt>
                <c:pt idx="23">
                  <c:v>13.718443833549937</c:v>
                </c:pt>
                <c:pt idx="24">
                  <c:v>12.415742567174119</c:v>
                </c:pt>
                <c:pt idx="25">
                  <c:v>12.545292969355138</c:v>
                </c:pt>
                <c:pt idx="26">
                  <c:v>15.510557730387392</c:v>
                </c:pt>
                <c:pt idx="27">
                  <c:v>14.358998599889429</c:v>
                </c:pt>
                <c:pt idx="28">
                  <c:v>14.04231983900249</c:v>
                </c:pt>
                <c:pt idx="29">
                  <c:v>15.481768752124943</c:v>
                </c:pt>
                <c:pt idx="30">
                  <c:v>8.5652167245715596</c:v>
                </c:pt>
                <c:pt idx="31">
                  <c:v>9.8823124800786033</c:v>
                </c:pt>
                <c:pt idx="32">
                  <c:v>8.6227946810964564</c:v>
                </c:pt>
                <c:pt idx="33">
                  <c:v>8.9106844637209477</c:v>
                </c:pt>
                <c:pt idx="34">
                  <c:v>8.6084001919652327</c:v>
                </c:pt>
                <c:pt idx="35">
                  <c:v>8.4140745886937012</c:v>
                </c:pt>
                <c:pt idx="36">
                  <c:v>8.8459092626304372</c:v>
                </c:pt>
                <c:pt idx="37">
                  <c:v>9.162588023517376</c:v>
                </c:pt>
                <c:pt idx="38">
                  <c:v>8.3133131647751295</c:v>
                </c:pt>
                <c:pt idx="39">
                  <c:v>8.0614096049787012</c:v>
                </c:pt>
                <c:pt idx="40">
                  <c:v>9.7671565670288061</c:v>
                </c:pt>
                <c:pt idx="41">
                  <c:v>9.551239230060439</c:v>
                </c:pt>
                <c:pt idx="42">
                  <c:v>8.2197489854221697</c:v>
                </c:pt>
                <c:pt idx="43">
                  <c:v>9.5296474963636015</c:v>
                </c:pt>
                <c:pt idx="44">
                  <c:v>8.4788497897842117</c:v>
                </c:pt>
                <c:pt idx="45">
                  <c:v>8.8315147734992117</c:v>
                </c:pt>
                <c:pt idx="46">
                  <c:v>8.6443864147932938</c:v>
                </c:pt>
                <c:pt idx="47">
                  <c:v>9.5728309637572764</c:v>
                </c:pt>
                <c:pt idx="48">
                  <c:v>9.7527620778975823</c:v>
                </c:pt>
                <c:pt idx="49">
                  <c:v>9.3569136267889075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7E-4F64-A786-7BC655A48425}"/>
            </c:ext>
          </c:extLst>
        </c:ser>
        <c:ser>
          <c:idx val="1"/>
          <c:order val="1"/>
          <c:tx>
            <c:strRef>
              <c:f>'Задание №3'!$U$1</c:f>
              <c:strCache>
                <c:ptCount val="1"/>
                <c:pt idx="0">
                  <c:v>Низ</c:v>
                </c:pt>
              </c:strCache>
            </c:strRef>
          </c:tx>
          <c:spPr>
            <a:ln w="19050" cap="rnd">
              <a:solidFill>
                <a:schemeClr val="bg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'Задание №3'!$S$2:$S$51</c:f>
              <c:numCache>
                <c:formatCode>General</c:formatCode>
                <c:ptCount val="50"/>
                <c:pt idx="0">
                  <c:v>2351</c:v>
                </c:pt>
                <c:pt idx="1">
                  <c:v>1643</c:v>
                </c:pt>
                <c:pt idx="2">
                  <c:v>1603</c:v>
                </c:pt>
                <c:pt idx="3">
                  <c:v>1735</c:v>
                </c:pt>
                <c:pt idx="4">
                  <c:v>2031</c:v>
                </c:pt>
                <c:pt idx="5">
                  <c:v>1266</c:v>
                </c:pt>
                <c:pt idx="6">
                  <c:v>1138</c:v>
                </c:pt>
                <c:pt idx="7">
                  <c:v>947</c:v>
                </c:pt>
                <c:pt idx="8">
                  <c:v>921</c:v>
                </c:pt>
                <c:pt idx="9">
                  <c:v>826</c:v>
                </c:pt>
                <c:pt idx="10">
                  <c:v>784</c:v>
                </c:pt>
                <c:pt idx="11">
                  <c:v>932</c:v>
                </c:pt>
                <c:pt idx="12">
                  <c:v>755</c:v>
                </c:pt>
                <c:pt idx="13">
                  <c:v>998</c:v>
                </c:pt>
                <c:pt idx="14">
                  <c:v>1047</c:v>
                </c:pt>
                <c:pt idx="15">
                  <c:v>1143</c:v>
                </c:pt>
                <c:pt idx="16">
                  <c:v>805</c:v>
                </c:pt>
                <c:pt idx="17">
                  <c:v>969</c:v>
                </c:pt>
                <c:pt idx="18">
                  <c:v>907</c:v>
                </c:pt>
                <c:pt idx="19">
                  <c:v>1017</c:v>
                </c:pt>
                <c:pt idx="20">
                  <c:v>1125</c:v>
                </c:pt>
                <c:pt idx="21">
                  <c:v>1177</c:v>
                </c:pt>
                <c:pt idx="22">
                  <c:v>758</c:v>
                </c:pt>
                <c:pt idx="23">
                  <c:v>1000</c:v>
                </c:pt>
                <c:pt idx="24">
                  <c:v>819</c:v>
                </c:pt>
                <c:pt idx="25">
                  <c:v>837</c:v>
                </c:pt>
                <c:pt idx="26">
                  <c:v>1249</c:v>
                </c:pt>
                <c:pt idx="27">
                  <c:v>1089</c:v>
                </c:pt>
                <c:pt idx="28">
                  <c:v>1045</c:v>
                </c:pt>
                <c:pt idx="29">
                  <c:v>1245</c:v>
                </c:pt>
                <c:pt idx="30">
                  <c:v>284</c:v>
                </c:pt>
                <c:pt idx="31">
                  <c:v>467</c:v>
                </c:pt>
                <c:pt idx="32">
                  <c:v>292</c:v>
                </c:pt>
                <c:pt idx="33">
                  <c:v>332</c:v>
                </c:pt>
                <c:pt idx="34">
                  <c:v>290</c:v>
                </c:pt>
                <c:pt idx="35">
                  <c:v>263</c:v>
                </c:pt>
                <c:pt idx="36">
                  <c:v>323</c:v>
                </c:pt>
                <c:pt idx="37">
                  <c:v>367</c:v>
                </c:pt>
                <c:pt idx="38">
                  <c:v>249</c:v>
                </c:pt>
                <c:pt idx="39">
                  <c:v>214</c:v>
                </c:pt>
                <c:pt idx="40">
                  <c:v>451</c:v>
                </c:pt>
                <c:pt idx="41">
                  <c:v>421</c:v>
                </c:pt>
                <c:pt idx="42">
                  <c:v>236</c:v>
                </c:pt>
                <c:pt idx="43">
                  <c:v>418</c:v>
                </c:pt>
                <c:pt idx="44">
                  <c:v>272</c:v>
                </c:pt>
                <c:pt idx="45">
                  <c:v>321</c:v>
                </c:pt>
                <c:pt idx="46">
                  <c:v>295</c:v>
                </c:pt>
                <c:pt idx="47">
                  <c:v>424</c:v>
                </c:pt>
                <c:pt idx="48">
                  <c:v>449</c:v>
                </c:pt>
                <c:pt idx="49">
                  <c:v>394</c:v>
                </c:pt>
              </c:numCache>
            </c:numRef>
          </c:xVal>
          <c:yVal>
            <c:numRef>
              <c:f>'Задание №3'!$U$2:$U$51</c:f>
              <c:numCache>
                <c:formatCode>General</c:formatCode>
                <c:ptCount val="50"/>
                <c:pt idx="0">
                  <c:v>23.263278281835561</c:v>
                </c:pt>
                <c:pt idx="1">
                  <c:v>18.029116072650815</c:v>
                </c:pt>
                <c:pt idx="2">
                  <c:v>17.73588412456775</c:v>
                </c:pt>
                <c:pt idx="3">
                  <c:v>18.704557534046085</c:v>
                </c:pt>
                <c:pt idx="4">
                  <c:v>20.887249674941927</c:v>
                </c:pt>
                <c:pt idx="5">
                  <c:v>15.275950330314055</c:v>
                </c:pt>
                <c:pt idx="6">
                  <c:v>14.346553760080962</c:v>
                </c:pt>
                <c:pt idx="7">
                  <c:v>12.964777066953095</c:v>
                </c:pt>
                <c:pt idx="8">
                  <c:v>12.777150109679143</c:v>
                </c:pt>
                <c:pt idx="9">
                  <c:v>12.092544185750727</c:v>
                </c:pt>
                <c:pt idx="10">
                  <c:v>11.790353899240747</c:v>
                </c:pt>
                <c:pt idx="11">
                  <c:v>12.856517050057532</c:v>
                </c:pt>
                <c:pt idx="12">
                  <c:v>11.58186960329615</c:v>
                </c:pt>
                <c:pt idx="13">
                  <c:v>13.333140510381792</c:v>
                </c:pt>
                <c:pt idx="14">
                  <c:v>13.68746504020025</c:v>
                </c:pt>
                <c:pt idx="15">
                  <c:v>14.38280726714698</c:v>
                </c:pt>
                <c:pt idx="16">
                  <c:v>11.941412438449735</c:v>
                </c:pt>
                <c:pt idx="17">
                  <c:v>13.123625988997308</c:v>
                </c:pt>
                <c:pt idx="18">
                  <c:v>12.676166690936814</c:v>
                </c:pt>
                <c:pt idx="19">
                  <c:v>13.470484343245136</c:v>
                </c:pt>
                <c:pt idx="20">
                  <c:v>14.252314064264336</c:v>
                </c:pt>
                <c:pt idx="21">
                  <c:v>14.629441176341031</c:v>
                </c:pt>
                <c:pt idx="22">
                  <c:v>11.603430470070927</c:v>
                </c:pt>
                <c:pt idx="23">
                  <c:v>13.347594933865711</c:v>
                </c:pt>
                <c:pt idx="24">
                  <c:v>12.04215880241795</c:v>
                </c:pt>
                <c:pt idx="25">
                  <c:v>12.171737651171863</c:v>
                </c:pt>
                <c:pt idx="26">
                  <c:v>15.152358222854218</c:v>
                </c:pt>
                <c:pt idx="27">
                  <c:v>13.991489015109998</c:v>
                </c:pt>
                <c:pt idx="28">
                  <c:v>13.672995012270416</c:v>
                </c:pt>
                <c:pt idx="29">
                  <c:v>15.123284699180555</c:v>
                </c:pt>
                <c:pt idx="30">
                  <c:v>8.2153441311896174</c:v>
                </c:pt>
                <c:pt idx="31">
                  <c:v>9.5189826557006754</c:v>
                </c:pt>
                <c:pt idx="32">
                  <c:v>8.2722175901426791</c:v>
                </c:pt>
                <c:pt idx="33">
                  <c:v>8.5567442494620209</c:v>
                </c:pt>
                <c:pt idx="34">
                  <c:v>8.2579982293759517</c:v>
                </c:pt>
                <c:pt idx="35">
                  <c:v>8.0661018498823083</c:v>
                </c:pt>
                <c:pt idx="36">
                  <c:v>8.4927025934534122</c:v>
                </c:pt>
                <c:pt idx="37">
                  <c:v>8.805922957592653</c:v>
                </c:pt>
                <c:pt idx="38">
                  <c:v>7.96664766683966</c:v>
                </c:pt>
                <c:pt idx="39">
                  <c:v>7.7181545583008333</c:v>
                </c:pt>
                <c:pt idx="40">
                  <c:v>9.4047815488155724</c:v>
                </c:pt>
                <c:pt idx="41">
                  <c:v>9.1907690166792122</c:v>
                </c:pt>
                <c:pt idx="42">
                  <c:v>7.8743264878468775</c:v>
                </c:pt>
                <c:pt idx="43">
                  <c:v>9.1693759807003925</c:v>
                </c:pt>
                <c:pt idx="44">
                  <c:v>8.1300538633292767</c:v>
                </c:pt>
                <c:pt idx="45">
                  <c:v>8.4784729403925692</c:v>
                </c:pt>
                <c:pt idx="46">
                  <c:v>8.2935478763283506</c:v>
                </c:pt>
                <c:pt idx="47">
                  <c:v>9.2121635467007259</c:v>
                </c:pt>
                <c:pt idx="48">
                  <c:v>9.3905093985403223</c:v>
                </c:pt>
                <c:pt idx="49">
                  <c:v>8.9982854784068245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6C7E-4F64-A786-7BC655A48425}"/>
            </c:ext>
          </c:extLst>
        </c:ser>
        <c:ser>
          <c:idx val="2"/>
          <c:order val="2"/>
          <c:tx>
            <c:strRef>
              <c:f>'Задание №3'!$V$1</c:f>
              <c:strCache>
                <c:ptCount val="1"/>
                <c:pt idx="0">
                  <c:v>Верх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'Задание №3'!$S$2:$S$51</c:f>
              <c:numCache>
                <c:formatCode>General</c:formatCode>
                <c:ptCount val="50"/>
                <c:pt idx="0">
                  <c:v>2351</c:v>
                </c:pt>
                <c:pt idx="1">
                  <c:v>1643</c:v>
                </c:pt>
                <c:pt idx="2">
                  <c:v>1603</c:v>
                </c:pt>
                <c:pt idx="3">
                  <c:v>1735</c:v>
                </c:pt>
                <c:pt idx="4">
                  <c:v>2031</c:v>
                </c:pt>
                <c:pt idx="5">
                  <c:v>1266</c:v>
                </c:pt>
                <c:pt idx="6">
                  <c:v>1138</c:v>
                </c:pt>
                <c:pt idx="7">
                  <c:v>947</c:v>
                </c:pt>
                <c:pt idx="8">
                  <c:v>921</c:v>
                </c:pt>
                <c:pt idx="9">
                  <c:v>826</c:v>
                </c:pt>
                <c:pt idx="10">
                  <c:v>784</c:v>
                </c:pt>
                <c:pt idx="11">
                  <c:v>932</c:v>
                </c:pt>
                <c:pt idx="12">
                  <c:v>755</c:v>
                </c:pt>
                <c:pt idx="13">
                  <c:v>998</c:v>
                </c:pt>
                <c:pt idx="14">
                  <c:v>1047</c:v>
                </c:pt>
                <c:pt idx="15">
                  <c:v>1143</c:v>
                </c:pt>
                <c:pt idx="16">
                  <c:v>805</c:v>
                </c:pt>
                <c:pt idx="17">
                  <c:v>969</c:v>
                </c:pt>
                <c:pt idx="18">
                  <c:v>907</c:v>
                </c:pt>
                <c:pt idx="19">
                  <c:v>1017</c:v>
                </c:pt>
                <c:pt idx="20">
                  <c:v>1125</c:v>
                </c:pt>
                <c:pt idx="21">
                  <c:v>1177</c:v>
                </c:pt>
                <c:pt idx="22">
                  <c:v>758</c:v>
                </c:pt>
                <c:pt idx="23">
                  <c:v>1000</c:v>
                </c:pt>
                <c:pt idx="24">
                  <c:v>819</c:v>
                </c:pt>
                <c:pt idx="25">
                  <c:v>837</c:v>
                </c:pt>
                <c:pt idx="26">
                  <c:v>1249</c:v>
                </c:pt>
                <c:pt idx="27">
                  <c:v>1089</c:v>
                </c:pt>
                <c:pt idx="28">
                  <c:v>1045</c:v>
                </c:pt>
                <c:pt idx="29">
                  <c:v>1245</c:v>
                </c:pt>
                <c:pt idx="30">
                  <c:v>284</c:v>
                </c:pt>
                <c:pt idx="31">
                  <c:v>467</c:v>
                </c:pt>
                <c:pt idx="32">
                  <c:v>292</c:v>
                </c:pt>
                <c:pt idx="33">
                  <c:v>332</c:v>
                </c:pt>
                <c:pt idx="34">
                  <c:v>290</c:v>
                </c:pt>
                <c:pt idx="35">
                  <c:v>263</c:v>
                </c:pt>
                <c:pt idx="36">
                  <c:v>323</c:v>
                </c:pt>
                <c:pt idx="37">
                  <c:v>367</c:v>
                </c:pt>
                <c:pt idx="38">
                  <c:v>249</c:v>
                </c:pt>
                <c:pt idx="39">
                  <c:v>214</c:v>
                </c:pt>
                <c:pt idx="40">
                  <c:v>451</c:v>
                </c:pt>
                <c:pt idx="41">
                  <c:v>421</c:v>
                </c:pt>
                <c:pt idx="42">
                  <c:v>236</c:v>
                </c:pt>
                <c:pt idx="43">
                  <c:v>418</c:v>
                </c:pt>
                <c:pt idx="44">
                  <c:v>272</c:v>
                </c:pt>
                <c:pt idx="45">
                  <c:v>321</c:v>
                </c:pt>
                <c:pt idx="46">
                  <c:v>295</c:v>
                </c:pt>
                <c:pt idx="47">
                  <c:v>424</c:v>
                </c:pt>
                <c:pt idx="48">
                  <c:v>449</c:v>
                </c:pt>
                <c:pt idx="49">
                  <c:v>394</c:v>
                </c:pt>
              </c:numCache>
            </c:numRef>
          </c:xVal>
          <c:yVal>
            <c:numRef>
              <c:f>'Задание №3'!$V$2:$V$51</c:f>
              <c:numCache>
                <c:formatCode>General</c:formatCode>
                <c:ptCount val="50"/>
                <c:pt idx="0">
                  <c:v>24.010445856235584</c:v>
                </c:pt>
                <c:pt idx="1">
                  <c:v>18.776283647050839</c:v>
                </c:pt>
                <c:pt idx="2">
                  <c:v>18.483051698967767</c:v>
                </c:pt>
                <c:pt idx="3">
                  <c:v>19.451725108446102</c:v>
                </c:pt>
                <c:pt idx="4">
                  <c:v>21.634417249341951</c:v>
                </c:pt>
                <c:pt idx="5">
                  <c:v>16.023117904714077</c:v>
                </c:pt>
                <c:pt idx="6">
                  <c:v>15.093721334480982</c:v>
                </c:pt>
                <c:pt idx="7">
                  <c:v>13.711944641353115</c:v>
                </c:pt>
                <c:pt idx="8">
                  <c:v>13.524317684079163</c:v>
                </c:pt>
                <c:pt idx="9">
                  <c:v>12.839711760150747</c:v>
                </c:pt>
                <c:pt idx="10">
                  <c:v>12.537521473640767</c:v>
                </c:pt>
                <c:pt idx="11">
                  <c:v>13.603684624457552</c:v>
                </c:pt>
                <c:pt idx="12">
                  <c:v>12.32903717769617</c:v>
                </c:pt>
                <c:pt idx="13">
                  <c:v>14.080308084781812</c:v>
                </c:pt>
                <c:pt idx="14">
                  <c:v>14.43463261460027</c:v>
                </c:pt>
                <c:pt idx="15">
                  <c:v>15.129974841547</c:v>
                </c:pt>
                <c:pt idx="16">
                  <c:v>12.688580012849755</c:v>
                </c:pt>
                <c:pt idx="17">
                  <c:v>13.870793563397328</c:v>
                </c:pt>
                <c:pt idx="18">
                  <c:v>13.423334265336834</c:v>
                </c:pt>
                <c:pt idx="19">
                  <c:v>14.217651917645156</c:v>
                </c:pt>
                <c:pt idx="20">
                  <c:v>14.999481638664356</c:v>
                </c:pt>
                <c:pt idx="21">
                  <c:v>15.376608750741051</c:v>
                </c:pt>
                <c:pt idx="22">
                  <c:v>12.350598044470948</c:v>
                </c:pt>
                <c:pt idx="23">
                  <c:v>14.094762508265731</c:v>
                </c:pt>
                <c:pt idx="24">
                  <c:v>12.78932637681797</c:v>
                </c:pt>
                <c:pt idx="25">
                  <c:v>12.918905225571883</c:v>
                </c:pt>
                <c:pt idx="26">
                  <c:v>15.899525797254238</c:v>
                </c:pt>
                <c:pt idx="27">
                  <c:v>14.738656589510018</c:v>
                </c:pt>
                <c:pt idx="28">
                  <c:v>14.420162586670436</c:v>
                </c:pt>
                <c:pt idx="29">
                  <c:v>15.870452273580575</c:v>
                </c:pt>
                <c:pt idx="30">
                  <c:v>8.9625117055896375</c:v>
                </c:pt>
                <c:pt idx="31">
                  <c:v>10.266150230100695</c:v>
                </c:pt>
                <c:pt idx="32">
                  <c:v>9.0193851645426992</c:v>
                </c:pt>
                <c:pt idx="33">
                  <c:v>9.3039118238620411</c:v>
                </c:pt>
                <c:pt idx="34">
                  <c:v>9.0051658037759719</c:v>
                </c:pt>
                <c:pt idx="35">
                  <c:v>8.8132694242823284</c:v>
                </c:pt>
                <c:pt idx="36">
                  <c:v>9.2398701678534323</c:v>
                </c:pt>
                <c:pt idx="37">
                  <c:v>9.5530905319926731</c:v>
                </c:pt>
                <c:pt idx="38">
                  <c:v>8.713815241239681</c:v>
                </c:pt>
                <c:pt idx="39">
                  <c:v>8.4653221327008534</c:v>
                </c:pt>
                <c:pt idx="40">
                  <c:v>10.151949123215593</c:v>
                </c:pt>
                <c:pt idx="41">
                  <c:v>9.9379365910792323</c:v>
                </c:pt>
                <c:pt idx="42">
                  <c:v>8.6214940622468976</c:v>
                </c:pt>
                <c:pt idx="43">
                  <c:v>9.9165435551004126</c:v>
                </c:pt>
                <c:pt idx="44">
                  <c:v>8.8772214377292968</c:v>
                </c:pt>
                <c:pt idx="45">
                  <c:v>9.2256405147925893</c:v>
                </c:pt>
                <c:pt idx="46">
                  <c:v>9.0407154507283707</c:v>
                </c:pt>
                <c:pt idx="47">
                  <c:v>9.959331121100746</c:v>
                </c:pt>
                <c:pt idx="48">
                  <c:v>10.137676972940342</c:v>
                </c:pt>
                <c:pt idx="49">
                  <c:v>9.7454530528068446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6C7E-4F64-A786-7BC655A48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4530896"/>
        <c:axId val="1840148512"/>
      </c:scatterChart>
      <c:valAx>
        <c:axId val="163453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0148512"/>
        <c:crosses val="autoZero"/>
        <c:crossBetween val="midCat"/>
      </c:valAx>
      <c:valAx>
        <c:axId val="1840148512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4530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Линейная регрессия и 95% доверительный интервал</a:t>
            </a:r>
            <a:endParaRPr lang="ru-RU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4914260717410336E-2"/>
          <c:y val="0.20412037037037037"/>
          <c:w val="0.87753018372703417"/>
          <c:h val="0.61498432487605714"/>
        </c:manualLayout>
      </c:layout>
      <c:scatterChart>
        <c:scatterStyle val="lineMarker"/>
        <c:varyColors val="0"/>
        <c:ser>
          <c:idx val="0"/>
          <c:order val="0"/>
          <c:tx>
            <c:strRef>
              <c:f>'Задание №3'!$T$1</c:f>
              <c:strCache>
                <c:ptCount val="1"/>
                <c:pt idx="0">
                  <c:v>Лин. Регр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333FF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№3'!$S$2:$S$51</c:f>
              <c:numCache>
                <c:formatCode>General</c:formatCode>
                <c:ptCount val="50"/>
                <c:pt idx="0">
                  <c:v>2351</c:v>
                </c:pt>
                <c:pt idx="1">
                  <c:v>1643</c:v>
                </c:pt>
                <c:pt idx="2">
                  <c:v>1603</c:v>
                </c:pt>
                <c:pt idx="3">
                  <c:v>1735</c:v>
                </c:pt>
                <c:pt idx="4">
                  <c:v>2031</c:v>
                </c:pt>
                <c:pt idx="5">
                  <c:v>1266</c:v>
                </c:pt>
                <c:pt idx="6">
                  <c:v>1138</c:v>
                </c:pt>
                <c:pt idx="7">
                  <c:v>947</c:v>
                </c:pt>
                <c:pt idx="8">
                  <c:v>921</c:v>
                </c:pt>
                <c:pt idx="9">
                  <c:v>826</c:v>
                </c:pt>
                <c:pt idx="10">
                  <c:v>784</c:v>
                </c:pt>
                <c:pt idx="11">
                  <c:v>932</c:v>
                </c:pt>
                <c:pt idx="12">
                  <c:v>755</c:v>
                </c:pt>
                <c:pt idx="13">
                  <c:v>998</c:v>
                </c:pt>
                <c:pt idx="14">
                  <c:v>1047</c:v>
                </c:pt>
                <c:pt idx="15">
                  <c:v>1143</c:v>
                </c:pt>
                <c:pt idx="16">
                  <c:v>805</c:v>
                </c:pt>
                <c:pt idx="17">
                  <c:v>969</c:v>
                </c:pt>
                <c:pt idx="18">
                  <c:v>907</c:v>
                </c:pt>
                <c:pt idx="19">
                  <c:v>1017</c:v>
                </c:pt>
                <c:pt idx="20">
                  <c:v>1125</c:v>
                </c:pt>
                <c:pt idx="21">
                  <c:v>1177</c:v>
                </c:pt>
                <c:pt idx="22">
                  <c:v>758</c:v>
                </c:pt>
                <c:pt idx="23">
                  <c:v>1000</c:v>
                </c:pt>
                <c:pt idx="24">
                  <c:v>819</c:v>
                </c:pt>
                <c:pt idx="25">
                  <c:v>837</c:v>
                </c:pt>
                <c:pt idx="26">
                  <c:v>1249</c:v>
                </c:pt>
                <c:pt idx="27">
                  <c:v>1089</c:v>
                </c:pt>
                <c:pt idx="28">
                  <c:v>1045</c:v>
                </c:pt>
                <c:pt idx="29">
                  <c:v>1245</c:v>
                </c:pt>
                <c:pt idx="30">
                  <c:v>284</c:v>
                </c:pt>
                <c:pt idx="31">
                  <c:v>467</c:v>
                </c:pt>
                <c:pt idx="32">
                  <c:v>292</c:v>
                </c:pt>
                <c:pt idx="33">
                  <c:v>332</c:v>
                </c:pt>
                <c:pt idx="34">
                  <c:v>290</c:v>
                </c:pt>
                <c:pt idx="35">
                  <c:v>263</c:v>
                </c:pt>
                <c:pt idx="36">
                  <c:v>323</c:v>
                </c:pt>
                <c:pt idx="37">
                  <c:v>367</c:v>
                </c:pt>
                <c:pt idx="38">
                  <c:v>249</c:v>
                </c:pt>
                <c:pt idx="39">
                  <c:v>214</c:v>
                </c:pt>
                <c:pt idx="40">
                  <c:v>451</c:v>
                </c:pt>
                <c:pt idx="41">
                  <c:v>421</c:v>
                </c:pt>
                <c:pt idx="42">
                  <c:v>236</c:v>
                </c:pt>
                <c:pt idx="43">
                  <c:v>418</c:v>
                </c:pt>
                <c:pt idx="44">
                  <c:v>272</c:v>
                </c:pt>
                <c:pt idx="45">
                  <c:v>321</c:v>
                </c:pt>
                <c:pt idx="46">
                  <c:v>295</c:v>
                </c:pt>
                <c:pt idx="47">
                  <c:v>424</c:v>
                </c:pt>
                <c:pt idx="48">
                  <c:v>449</c:v>
                </c:pt>
                <c:pt idx="49">
                  <c:v>394</c:v>
                </c:pt>
              </c:numCache>
            </c:numRef>
          </c:xVal>
          <c:yVal>
            <c:numRef>
              <c:f>'Задание №3'!$T$2:$T$51</c:f>
              <c:numCache>
                <c:formatCode>General</c:formatCode>
                <c:ptCount val="50"/>
                <c:pt idx="0">
                  <c:v>23.4419212416921</c:v>
                </c:pt>
                <c:pt idx="1">
                  <c:v>18.346272089238624</c:v>
                </c:pt>
                <c:pt idx="2">
                  <c:v>18.058382306614131</c:v>
                </c:pt>
                <c:pt idx="3">
                  <c:v>19.00841858927495</c:v>
                </c:pt>
                <c:pt idx="4">
                  <c:v>21.138802980696177</c:v>
                </c:pt>
                <c:pt idx="5">
                  <c:v>15.632910888002799</c:v>
                </c:pt>
                <c:pt idx="6">
                  <c:v>14.71166358360443</c:v>
                </c:pt>
                <c:pt idx="7">
                  <c:v>13.336989871572488</c:v>
                </c:pt>
                <c:pt idx="8">
                  <c:v>13.149861512866568</c:v>
                </c:pt>
                <c:pt idx="9">
                  <c:v>12.466123279133406</c:v>
                </c:pt>
                <c:pt idx="10">
                  <c:v>12.163839007377689</c:v>
                </c:pt>
                <c:pt idx="11">
                  <c:v>13.229031203088304</c:v>
                </c:pt>
                <c:pt idx="12">
                  <c:v>11.955118914974934</c:v>
                </c:pt>
                <c:pt idx="13">
                  <c:v>13.704049344418713</c:v>
                </c:pt>
                <c:pt idx="14">
                  <c:v>14.056714328133715</c:v>
                </c:pt>
                <c:pt idx="15">
                  <c:v>14.747649806432491</c:v>
                </c:pt>
                <c:pt idx="16">
                  <c:v>12.314981143255547</c:v>
                </c:pt>
                <c:pt idx="17">
                  <c:v>13.495329252015958</c:v>
                </c:pt>
                <c:pt idx="18">
                  <c:v>13.049100088947998</c:v>
                </c:pt>
                <c:pt idx="19">
                  <c:v>13.840796991165346</c:v>
                </c:pt>
                <c:pt idx="20">
                  <c:v>14.61809940425147</c:v>
                </c:pt>
                <c:pt idx="21">
                  <c:v>14.992356121663308</c:v>
                </c:pt>
                <c:pt idx="22">
                  <c:v>11.976710648671769</c:v>
                </c:pt>
                <c:pt idx="23">
                  <c:v>13.718443833549937</c:v>
                </c:pt>
                <c:pt idx="24">
                  <c:v>12.415742567174119</c:v>
                </c:pt>
                <c:pt idx="25">
                  <c:v>12.545292969355138</c:v>
                </c:pt>
                <c:pt idx="26">
                  <c:v>15.510557730387392</c:v>
                </c:pt>
                <c:pt idx="27">
                  <c:v>14.358998599889429</c:v>
                </c:pt>
                <c:pt idx="28">
                  <c:v>14.04231983900249</c:v>
                </c:pt>
                <c:pt idx="29">
                  <c:v>15.481768752124943</c:v>
                </c:pt>
                <c:pt idx="30">
                  <c:v>8.5652167245715596</c:v>
                </c:pt>
                <c:pt idx="31">
                  <c:v>9.8823124800786033</c:v>
                </c:pt>
                <c:pt idx="32">
                  <c:v>8.6227946810964564</c:v>
                </c:pt>
                <c:pt idx="33">
                  <c:v>8.9106844637209477</c:v>
                </c:pt>
                <c:pt idx="34">
                  <c:v>8.6084001919652327</c:v>
                </c:pt>
                <c:pt idx="35">
                  <c:v>8.4140745886937012</c:v>
                </c:pt>
                <c:pt idx="36">
                  <c:v>8.8459092626304372</c:v>
                </c:pt>
                <c:pt idx="37">
                  <c:v>9.162588023517376</c:v>
                </c:pt>
                <c:pt idx="38">
                  <c:v>8.3133131647751295</c:v>
                </c:pt>
                <c:pt idx="39">
                  <c:v>8.0614096049787012</c:v>
                </c:pt>
                <c:pt idx="40">
                  <c:v>9.7671565670288061</c:v>
                </c:pt>
                <c:pt idx="41">
                  <c:v>9.551239230060439</c:v>
                </c:pt>
                <c:pt idx="42">
                  <c:v>8.2197489854221697</c:v>
                </c:pt>
                <c:pt idx="43">
                  <c:v>9.5296474963636015</c:v>
                </c:pt>
                <c:pt idx="44">
                  <c:v>8.4788497897842117</c:v>
                </c:pt>
                <c:pt idx="45">
                  <c:v>8.8315147734992117</c:v>
                </c:pt>
                <c:pt idx="46">
                  <c:v>8.6443864147932938</c:v>
                </c:pt>
                <c:pt idx="47">
                  <c:v>9.5728309637572764</c:v>
                </c:pt>
                <c:pt idx="48">
                  <c:v>9.7527620778975823</c:v>
                </c:pt>
                <c:pt idx="49">
                  <c:v>9.3569136267889075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53-4D54-A97D-F6146112F979}"/>
            </c:ext>
          </c:extLst>
        </c:ser>
        <c:ser>
          <c:idx val="1"/>
          <c:order val="1"/>
          <c:tx>
            <c:strRef>
              <c:f>'Задание №3'!$U$1</c:f>
              <c:strCache>
                <c:ptCount val="1"/>
                <c:pt idx="0">
                  <c:v>Низ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'Задание №3'!$S$2:$S$51</c:f>
              <c:numCache>
                <c:formatCode>General</c:formatCode>
                <c:ptCount val="50"/>
                <c:pt idx="0">
                  <c:v>2351</c:v>
                </c:pt>
                <c:pt idx="1">
                  <c:v>1643</c:v>
                </c:pt>
                <c:pt idx="2">
                  <c:v>1603</c:v>
                </c:pt>
                <c:pt idx="3">
                  <c:v>1735</c:v>
                </c:pt>
                <c:pt idx="4">
                  <c:v>2031</c:v>
                </c:pt>
                <c:pt idx="5">
                  <c:v>1266</c:v>
                </c:pt>
                <c:pt idx="6">
                  <c:v>1138</c:v>
                </c:pt>
                <c:pt idx="7">
                  <c:v>947</c:v>
                </c:pt>
                <c:pt idx="8">
                  <c:v>921</c:v>
                </c:pt>
                <c:pt idx="9">
                  <c:v>826</c:v>
                </c:pt>
                <c:pt idx="10">
                  <c:v>784</c:v>
                </c:pt>
                <c:pt idx="11">
                  <c:v>932</c:v>
                </c:pt>
                <c:pt idx="12">
                  <c:v>755</c:v>
                </c:pt>
                <c:pt idx="13">
                  <c:v>998</c:v>
                </c:pt>
                <c:pt idx="14">
                  <c:v>1047</c:v>
                </c:pt>
                <c:pt idx="15">
                  <c:v>1143</c:v>
                </c:pt>
                <c:pt idx="16">
                  <c:v>805</c:v>
                </c:pt>
                <c:pt idx="17">
                  <c:v>969</c:v>
                </c:pt>
                <c:pt idx="18">
                  <c:v>907</c:v>
                </c:pt>
                <c:pt idx="19">
                  <c:v>1017</c:v>
                </c:pt>
                <c:pt idx="20">
                  <c:v>1125</c:v>
                </c:pt>
                <c:pt idx="21">
                  <c:v>1177</c:v>
                </c:pt>
                <c:pt idx="22">
                  <c:v>758</c:v>
                </c:pt>
                <c:pt idx="23">
                  <c:v>1000</c:v>
                </c:pt>
                <c:pt idx="24">
                  <c:v>819</c:v>
                </c:pt>
                <c:pt idx="25">
                  <c:v>837</c:v>
                </c:pt>
                <c:pt idx="26">
                  <c:v>1249</c:v>
                </c:pt>
                <c:pt idx="27">
                  <c:v>1089</c:v>
                </c:pt>
                <c:pt idx="28">
                  <c:v>1045</c:v>
                </c:pt>
                <c:pt idx="29">
                  <c:v>1245</c:v>
                </c:pt>
                <c:pt idx="30">
                  <c:v>284</c:v>
                </c:pt>
                <c:pt idx="31">
                  <c:v>467</c:v>
                </c:pt>
                <c:pt idx="32">
                  <c:v>292</c:v>
                </c:pt>
                <c:pt idx="33">
                  <c:v>332</c:v>
                </c:pt>
                <c:pt idx="34">
                  <c:v>290</c:v>
                </c:pt>
                <c:pt idx="35">
                  <c:v>263</c:v>
                </c:pt>
                <c:pt idx="36">
                  <c:v>323</c:v>
                </c:pt>
                <c:pt idx="37">
                  <c:v>367</c:v>
                </c:pt>
                <c:pt idx="38">
                  <c:v>249</c:v>
                </c:pt>
                <c:pt idx="39">
                  <c:v>214</c:v>
                </c:pt>
                <c:pt idx="40">
                  <c:v>451</c:v>
                </c:pt>
                <c:pt idx="41">
                  <c:v>421</c:v>
                </c:pt>
                <c:pt idx="42">
                  <c:v>236</c:v>
                </c:pt>
                <c:pt idx="43">
                  <c:v>418</c:v>
                </c:pt>
                <c:pt idx="44">
                  <c:v>272</c:v>
                </c:pt>
                <c:pt idx="45">
                  <c:v>321</c:v>
                </c:pt>
                <c:pt idx="46">
                  <c:v>295</c:v>
                </c:pt>
                <c:pt idx="47">
                  <c:v>424</c:v>
                </c:pt>
                <c:pt idx="48">
                  <c:v>449</c:v>
                </c:pt>
                <c:pt idx="49">
                  <c:v>394</c:v>
                </c:pt>
              </c:numCache>
            </c:numRef>
          </c:xVal>
          <c:yVal>
            <c:numRef>
              <c:f>'Задание №3'!$U$2:$U$51</c:f>
              <c:numCache>
                <c:formatCode>General</c:formatCode>
                <c:ptCount val="50"/>
                <c:pt idx="0">
                  <c:v>23.263278281835561</c:v>
                </c:pt>
                <c:pt idx="1">
                  <c:v>18.029116072650815</c:v>
                </c:pt>
                <c:pt idx="2">
                  <c:v>17.73588412456775</c:v>
                </c:pt>
                <c:pt idx="3">
                  <c:v>18.704557534046085</c:v>
                </c:pt>
                <c:pt idx="4">
                  <c:v>20.887249674941927</c:v>
                </c:pt>
                <c:pt idx="5">
                  <c:v>15.275950330314055</c:v>
                </c:pt>
                <c:pt idx="6">
                  <c:v>14.346553760080962</c:v>
                </c:pt>
                <c:pt idx="7">
                  <c:v>12.964777066953095</c:v>
                </c:pt>
                <c:pt idx="8">
                  <c:v>12.777150109679143</c:v>
                </c:pt>
                <c:pt idx="9">
                  <c:v>12.092544185750727</c:v>
                </c:pt>
                <c:pt idx="10">
                  <c:v>11.790353899240747</c:v>
                </c:pt>
                <c:pt idx="11">
                  <c:v>12.856517050057532</c:v>
                </c:pt>
                <c:pt idx="12">
                  <c:v>11.58186960329615</c:v>
                </c:pt>
                <c:pt idx="13">
                  <c:v>13.333140510381792</c:v>
                </c:pt>
                <c:pt idx="14">
                  <c:v>13.68746504020025</c:v>
                </c:pt>
                <c:pt idx="15">
                  <c:v>14.38280726714698</c:v>
                </c:pt>
                <c:pt idx="16">
                  <c:v>11.941412438449735</c:v>
                </c:pt>
                <c:pt idx="17">
                  <c:v>13.123625988997308</c:v>
                </c:pt>
                <c:pt idx="18">
                  <c:v>12.676166690936814</c:v>
                </c:pt>
                <c:pt idx="19">
                  <c:v>13.470484343245136</c:v>
                </c:pt>
                <c:pt idx="20">
                  <c:v>14.252314064264336</c:v>
                </c:pt>
                <c:pt idx="21">
                  <c:v>14.629441176341031</c:v>
                </c:pt>
                <c:pt idx="22">
                  <c:v>11.603430470070927</c:v>
                </c:pt>
                <c:pt idx="23">
                  <c:v>13.347594933865711</c:v>
                </c:pt>
                <c:pt idx="24">
                  <c:v>12.04215880241795</c:v>
                </c:pt>
                <c:pt idx="25">
                  <c:v>12.171737651171863</c:v>
                </c:pt>
                <c:pt idx="26">
                  <c:v>15.152358222854218</c:v>
                </c:pt>
                <c:pt idx="27">
                  <c:v>13.991489015109998</c:v>
                </c:pt>
                <c:pt idx="28">
                  <c:v>13.672995012270416</c:v>
                </c:pt>
                <c:pt idx="29">
                  <c:v>15.123284699180555</c:v>
                </c:pt>
                <c:pt idx="30">
                  <c:v>8.2153441311896174</c:v>
                </c:pt>
                <c:pt idx="31">
                  <c:v>9.5189826557006754</c:v>
                </c:pt>
                <c:pt idx="32">
                  <c:v>8.2722175901426791</c:v>
                </c:pt>
                <c:pt idx="33">
                  <c:v>8.5567442494620209</c:v>
                </c:pt>
                <c:pt idx="34">
                  <c:v>8.2579982293759517</c:v>
                </c:pt>
                <c:pt idx="35">
                  <c:v>8.0661018498823083</c:v>
                </c:pt>
                <c:pt idx="36">
                  <c:v>8.4927025934534122</c:v>
                </c:pt>
                <c:pt idx="37">
                  <c:v>8.805922957592653</c:v>
                </c:pt>
                <c:pt idx="38">
                  <c:v>7.96664766683966</c:v>
                </c:pt>
                <c:pt idx="39">
                  <c:v>7.7181545583008333</c:v>
                </c:pt>
                <c:pt idx="40">
                  <c:v>9.4047815488155724</c:v>
                </c:pt>
                <c:pt idx="41">
                  <c:v>9.1907690166792122</c:v>
                </c:pt>
                <c:pt idx="42">
                  <c:v>7.8743264878468775</c:v>
                </c:pt>
                <c:pt idx="43">
                  <c:v>9.1693759807003925</c:v>
                </c:pt>
                <c:pt idx="44">
                  <c:v>8.1300538633292767</c:v>
                </c:pt>
                <c:pt idx="45">
                  <c:v>8.4784729403925692</c:v>
                </c:pt>
                <c:pt idx="46">
                  <c:v>8.2935478763283506</c:v>
                </c:pt>
                <c:pt idx="47">
                  <c:v>9.2121635467007259</c:v>
                </c:pt>
                <c:pt idx="48">
                  <c:v>9.3905093985403223</c:v>
                </c:pt>
                <c:pt idx="49">
                  <c:v>8.9982854784068245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53-4D54-A97D-F6146112F979}"/>
            </c:ext>
          </c:extLst>
        </c:ser>
        <c:ser>
          <c:idx val="2"/>
          <c:order val="2"/>
          <c:tx>
            <c:strRef>
              <c:f>'Задание №3'!$V$1</c:f>
              <c:strCache>
                <c:ptCount val="1"/>
                <c:pt idx="0">
                  <c:v>Верх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'Задание №3'!$S$2:$S$51</c:f>
              <c:numCache>
                <c:formatCode>General</c:formatCode>
                <c:ptCount val="50"/>
                <c:pt idx="0">
                  <c:v>2351</c:v>
                </c:pt>
                <c:pt idx="1">
                  <c:v>1643</c:v>
                </c:pt>
                <c:pt idx="2">
                  <c:v>1603</c:v>
                </c:pt>
                <c:pt idx="3">
                  <c:v>1735</c:v>
                </c:pt>
                <c:pt idx="4">
                  <c:v>2031</c:v>
                </c:pt>
                <c:pt idx="5">
                  <c:v>1266</c:v>
                </c:pt>
                <c:pt idx="6">
                  <c:v>1138</c:v>
                </c:pt>
                <c:pt idx="7">
                  <c:v>947</c:v>
                </c:pt>
                <c:pt idx="8">
                  <c:v>921</c:v>
                </c:pt>
                <c:pt idx="9">
                  <c:v>826</c:v>
                </c:pt>
                <c:pt idx="10">
                  <c:v>784</c:v>
                </c:pt>
                <c:pt idx="11">
                  <c:v>932</c:v>
                </c:pt>
                <c:pt idx="12">
                  <c:v>755</c:v>
                </c:pt>
                <c:pt idx="13">
                  <c:v>998</c:v>
                </c:pt>
                <c:pt idx="14">
                  <c:v>1047</c:v>
                </c:pt>
                <c:pt idx="15">
                  <c:v>1143</c:v>
                </c:pt>
                <c:pt idx="16">
                  <c:v>805</c:v>
                </c:pt>
                <c:pt idx="17">
                  <c:v>969</c:v>
                </c:pt>
                <c:pt idx="18">
                  <c:v>907</c:v>
                </c:pt>
                <c:pt idx="19">
                  <c:v>1017</c:v>
                </c:pt>
                <c:pt idx="20">
                  <c:v>1125</c:v>
                </c:pt>
                <c:pt idx="21">
                  <c:v>1177</c:v>
                </c:pt>
                <c:pt idx="22">
                  <c:v>758</c:v>
                </c:pt>
                <c:pt idx="23">
                  <c:v>1000</c:v>
                </c:pt>
                <c:pt idx="24">
                  <c:v>819</c:v>
                </c:pt>
                <c:pt idx="25">
                  <c:v>837</c:v>
                </c:pt>
                <c:pt idx="26">
                  <c:v>1249</c:v>
                </c:pt>
                <c:pt idx="27">
                  <c:v>1089</c:v>
                </c:pt>
                <c:pt idx="28">
                  <c:v>1045</c:v>
                </c:pt>
                <c:pt idx="29">
                  <c:v>1245</c:v>
                </c:pt>
                <c:pt idx="30">
                  <c:v>284</c:v>
                </c:pt>
                <c:pt idx="31">
                  <c:v>467</c:v>
                </c:pt>
                <c:pt idx="32">
                  <c:v>292</c:v>
                </c:pt>
                <c:pt idx="33">
                  <c:v>332</c:v>
                </c:pt>
                <c:pt idx="34">
                  <c:v>290</c:v>
                </c:pt>
                <c:pt idx="35">
                  <c:v>263</c:v>
                </c:pt>
                <c:pt idx="36">
                  <c:v>323</c:v>
                </c:pt>
                <c:pt idx="37">
                  <c:v>367</c:v>
                </c:pt>
                <c:pt idx="38">
                  <c:v>249</c:v>
                </c:pt>
                <c:pt idx="39">
                  <c:v>214</c:v>
                </c:pt>
                <c:pt idx="40">
                  <c:v>451</c:v>
                </c:pt>
                <c:pt idx="41">
                  <c:v>421</c:v>
                </c:pt>
                <c:pt idx="42">
                  <c:v>236</c:v>
                </c:pt>
                <c:pt idx="43">
                  <c:v>418</c:v>
                </c:pt>
                <c:pt idx="44">
                  <c:v>272</c:v>
                </c:pt>
                <c:pt idx="45">
                  <c:v>321</c:v>
                </c:pt>
                <c:pt idx="46">
                  <c:v>295</c:v>
                </c:pt>
                <c:pt idx="47">
                  <c:v>424</c:v>
                </c:pt>
                <c:pt idx="48">
                  <c:v>449</c:v>
                </c:pt>
                <c:pt idx="49">
                  <c:v>394</c:v>
                </c:pt>
              </c:numCache>
            </c:numRef>
          </c:xVal>
          <c:yVal>
            <c:numRef>
              <c:f>'Задание №3'!$V$2:$V$51</c:f>
              <c:numCache>
                <c:formatCode>General</c:formatCode>
                <c:ptCount val="50"/>
                <c:pt idx="0">
                  <c:v>24.010445856235584</c:v>
                </c:pt>
                <c:pt idx="1">
                  <c:v>18.776283647050839</c:v>
                </c:pt>
                <c:pt idx="2">
                  <c:v>18.483051698967767</c:v>
                </c:pt>
                <c:pt idx="3">
                  <c:v>19.451725108446102</c:v>
                </c:pt>
                <c:pt idx="4">
                  <c:v>21.634417249341951</c:v>
                </c:pt>
                <c:pt idx="5">
                  <c:v>16.023117904714077</c:v>
                </c:pt>
                <c:pt idx="6">
                  <c:v>15.093721334480982</c:v>
                </c:pt>
                <c:pt idx="7">
                  <c:v>13.711944641353115</c:v>
                </c:pt>
                <c:pt idx="8">
                  <c:v>13.524317684079163</c:v>
                </c:pt>
                <c:pt idx="9">
                  <c:v>12.839711760150747</c:v>
                </c:pt>
                <c:pt idx="10">
                  <c:v>12.537521473640767</c:v>
                </c:pt>
                <c:pt idx="11">
                  <c:v>13.603684624457552</c:v>
                </c:pt>
                <c:pt idx="12">
                  <c:v>12.32903717769617</c:v>
                </c:pt>
                <c:pt idx="13">
                  <c:v>14.080308084781812</c:v>
                </c:pt>
                <c:pt idx="14">
                  <c:v>14.43463261460027</c:v>
                </c:pt>
                <c:pt idx="15">
                  <c:v>15.129974841547</c:v>
                </c:pt>
                <c:pt idx="16">
                  <c:v>12.688580012849755</c:v>
                </c:pt>
                <c:pt idx="17">
                  <c:v>13.870793563397328</c:v>
                </c:pt>
                <c:pt idx="18">
                  <c:v>13.423334265336834</c:v>
                </c:pt>
                <c:pt idx="19">
                  <c:v>14.217651917645156</c:v>
                </c:pt>
                <c:pt idx="20">
                  <c:v>14.999481638664356</c:v>
                </c:pt>
                <c:pt idx="21">
                  <c:v>15.376608750741051</c:v>
                </c:pt>
                <c:pt idx="22">
                  <c:v>12.350598044470948</c:v>
                </c:pt>
                <c:pt idx="23">
                  <c:v>14.094762508265731</c:v>
                </c:pt>
                <c:pt idx="24">
                  <c:v>12.78932637681797</c:v>
                </c:pt>
                <c:pt idx="25">
                  <c:v>12.918905225571883</c:v>
                </c:pt>
                <c:pt idx="26">
                  <c:v>15.899525797254238</c:v>
                </c:pt>
                <c:pt idx="27">
                  <c:v>14.738656589510018</c:v>
                </c:pt>
                <c:pt idx="28">
                  <c:v>14.420162586670436</c:v>
                </c:pt>
                <c:pt idx="29">
                  <c:v>15.870452273580575</c:v>
                </c:pt>
                <c:pt idx="30">
                  <c:v>8.9625117055896375</c:v>
                </c:pt>
                <c:pt idx="31">
                  <c:v>10.266150230100695</c:v>
                </c:pt>
                <c:pt idx="32">
                  <c:v>9.0193851645426992</c:v>
                </c:pt>
                <c:pt idx="33">
                  <c:v>9.3039118238620411</c:v>
                </c:pt>
                <c:pt idx="34">
                  <c:v>9.0051658037759719</c:v>
                </c:pt>
                <c:pt idx="35">
                  <c:v>8.8132694242823284</c:v>
                </c:pt>
                <c:pt idx="36">
                  <c:v>9.2398701678534323</c:v>
                </c:pt>
                <c:pt idx="37">
                  <c:v>9.5530905319926731</c:v>
                </c:pt>
                <c:pt idx="38">
                  <c:v>8.713815241239681</c:v>
                </c:pt>
                <c:pt idx="39">
                  <c:v>8.4653221327008534</c:v>
                </c:pt>
                <c:pt idx="40">
                  <c:v>10.151949123215593</c:v>
                </c:pt>
                <c:pt idx="41">
                  <c:v>9.9379365910792323</c:v>
                </c:pt>
                <c:pt idx="42">
                  <c:v>8.6214940622468976</c:v>
                </c:pt>
                <c:pt idx="43">
                  <c:v>9.9165435551004126</c:v>
                </c:pt>
                <c:pt idx="44">
                  <c:v>8.8772214377292968</c:v>
                </c:pt>
                <c:pt idx="45">
                  <c:v>9.2256405147925893</c:v>
                </c:pt>
                <c:pt idx="46">
                  <c:v>9.0407154507283707</c:v>
                </c:pt>
                <c:pt idx="47">
                  <c:v>9.959331121100746</c:v>
                </c:pt>
                <c:pt idx="48">
                  <c:v>10.137676972940342</c:v>
                </c:pt>
                <c:pt idx="49">
                  <c:v>9.7454530528068446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53-4D54-A97D-F6146112F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9385824"/>
        <c:axId val="2109386784"/>
      </c:scatterChart>
      <c:valAx>
        <c:axId val="210938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9386784"/>
        <c:crosses val="autoZero"/>
        <c:crossBetween val="midCat"/>
      </c:valAx>
      <c:valAx>
        <c:axId val="210938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9385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1.xml"/><Relationship Id="rId18" Type="http://schemas.openxmlformats.org/officeDocument/2006/relationships/image" Target="../media/image3.png"/><Relationship Id="rId3" Type="http://schemas.openxmlformats.org/officeDocument/2006/relationships/chart" Target="../charts/chart3.xml"/><Relationship Id="rId21" Type="http://schemas.openxmlformats.org/officeDocument/2006/relationships/image" Target="../media/image6.png"/><Relationship Id="rId7" Type="http://schemas.openxmlformats.org/officeDocument/2006/relationships/chart" Target="../charts/chart7.xml"/><Relationship Id="rId12" Type="http://schemas.openxmlformats.org/officeDocument/2006/relationships/image" Target="../media/image2.png"/><Relationship Id="rId17" Type="http://schemas.openxmlformats.org/officeDocument/2006/relationships/chart" Target="../charts/chart15.xml"/><Relationship Id="rId2" Type="http://schemas.openxmlformats.org/officeDocument/2006/relationships/chart" Target="../charts/chart2.xml"/><Relationship Id="rId16" Type="http://schemas.openxmlformats.org/officeDocument/2006/relationships/chart" Target="../charts/chart14.xml"/><Relationship Id="rId20" Type="http://schemas.openxmlformats.org/officeDocument/2006/relationships/image" Target="../media/image5.png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1.png"/><Relationship Id="rId24" Type="http://schemas.openxmlformats.org/officeDocument/2006/relationships/image" Target="../media/image9.png"/><Relationship Id="rId5" Type="http://schemas.openxmlformats.org/officeDocument/2006/relationships/chart" Target="../charts/chart5.xml"/><Relationship Id="rId15" Type="http://schemas.openxmlformats.org/officeDocument/2006/relationships/chart" Target="../charts/chart13.xml"/><Relationship Id="rId23" Type="http://schemas.openxmlformats.org/officeDocument/2006/relationships/image" Target="../media/image8.png"/><Relationship Id="rId10" Type="http://schemas.openxmlformats.org/officeDocument/2006/relationships/chart" Target="../charts/chart10.xml"/><Relationship Id="rId19" Type="http://schemas.openxmlformats.org/officeDocument/2006/relationships/image" Target="../media/image4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2.xml"/><Relationship Id="rId22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</xdr:colOff>
      <xdr:row>1</xdr:row>
      <xdr:rowOff>3810</xdr:rowOff>
    </xdr:from>
    <xdr:to>
      <xdr:col>14</xdr:col>
      <xdr:colOff>300990</xdr:colOff>
      <xdr:row>16</xdr:row>
      <xdr:rowOff>3810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56D6E338-BA1A-483A-975F-D562240AA3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</xdr:colOff>
      <xdr:row>17</xdr:row>
      <xdr:rowOff>3810</xdr:rowOff>
    </xdr:from>
    <xdr:to>
      <xdr:col>14</xdr:col>
      <xdr:colOff>300990</xdr:colOff>
      <xdr:row>32</xdr:row>
      <xdr:rowOff>3810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79C2E69E-5E50-4912-B236-603310E50A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3810</xdr:colOff>
      <xdr:row>33</xdr:row>
      <xdr:rowOff>3810</xdr:rowOff>
    </xdr:from>
    <xdr:to>
      <xdr:col>14</xdr:col>
      <xdr:colOff>300990</xdr:colOff>
      <xdr:row>48</xdr:row>
      <xdr:rowOff>3810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3CF704C8-EE7D-48DB-9722-FF8CF8CCB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3810</xdr:colOff>
      <xdr:row>49</xdr:row>
      <xdr:rowOff>3810</xdr:rowOff>
    </xdr:from>
    <xdr:to>
      <xdr:col>14</xdr:col>
      <xdr:colOff>300990</xdr:colOff>
      <xdr:row>62</xdr:row>
      <xdr:rowOff>186690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E7E3FAEA-127E-4DD9-ACCD-2578AECF5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3810</xdr:colOff>
      <xdr:row>1</xdr:row>
      <xdr:rowOff>3810</xdr:rowOff>
    </xdr:from>
    <xdr:to>
      <xdr:col>22</xdr:col>
      <xdr:colOff>133350</xdr:colOff>
      <xdr:row>16</xdr:row>
      <xdr:rowOff>3810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C01B384F-E5F3-428C-97AF-F7307318B3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3810</xdr:colOff>
      <xdr:row>17</xdr:row>
      <xdr:rowOff>3810</xdr:rowOff>
    </xdr:from>
    <xdr:to>
      <xdr:col>22</xdr:col>
      <xdr:colOff>133350</xdr:colOff>
      <xdr:row>32</xdr:row>
      <xdr:rowOff>3810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E03456C4-EA8E-4FFA-8A2A-09D38FF7F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3810</xdr:colOff>
      <xdr:row>33</xdr:row>
      <xdr:rowOff>3810</xdr:rowOff>
    </xdr:from>
    <xdr:to>
      <xdr:col>22</xdr:col>
      <xdr:colOff>133350</xdr:colOff>
      <xdr:row>48</xdr:row>
      <xdr:rowOff>3810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C098490F-8CF7-4755-A914-DAECF919D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3810</xdr:colOff>
      <xdr:row>1</xdr:row>
      <xdr:rowOff>3810</xdr:rowOff>
    </xdr:from>
    <xdr:to>
      <xdr:col>30</xdr:col>
      <xdr:colOff>300990</xdr:colOff>
      <xdr:row>16</xdr:row>
      <xdr:rowOff>3810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4E46775E-177D-43D1-93CD-D9A537A667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3810</xdr:colOff>
      <xdr:row>17</xdr:row>
      <xdr:rowOff>3810</xdr:rowOff>
    </xdr:from>
    <xdr:to>
      <xdr:col>30</xdr:col>
      <xdr:colOff>300990</xdr:colOff>
      <xdr:row>32</xdr:row>
      <xdr:rowOff>3810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38B4F28A-380C-44DC-B561-E8D1CC2F3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31</xdr:col>
      <xdr:colOff>3810</xdr:colOff>
      <xdr:row>1</xdr:row>
      <xdr:rowOff>3810</xdr:rowOff>
    </xdr:from>
    <xdr:to>
      <xdr:col>38</xdr:col>
      <xdr:colOff>133350</xdr:colOff>
      <xdr:row>16</xdr:row>
      <xdr:rowOff>3810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BCB469B4-1D49-4C0B-BEF3-50D211A48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7</xdr:col>
      <xdr:colOff>348288</xdr:colOff>
      <xdr:row>77</xdr:row>
      <xdr:rowOff>212437</xdr:rowOff>
    </xdr:from>
    <xdr:to>
      <xdr:col>8</xdr:col>
      <xdr:colOff>932488</xdr:colOff>
      <xdr:row>81</xdr:row>
      <xdr:rowOff>41926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2BEB2F08-0812-2010-3162-3D21FCCC8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963583" y="15565005"/>
          <a:ext cx="1545360" cy="699473"/>
        </a:xfrm>
        <a:prstGeom prst="rect">
          <a:avLst/>
        </a:prstGeom>
      </xdr:spPr>
    </xdr:pic>
    <xdr:clientData/>
  </xdr:twoCellAnchor>
  <xdr:twoCellAnchor editAs="oneCell">
    <xdr:from>
      <xdr:col>10</xdr:col>
      <xdr:colOff>354444</xdr:colOff>
      <xdr:row>95</xdr:row>
      <xdr:rowOff>36476</xdr:rowOff>
    </xdr:from>
    <xdr:to>
      <xdr:col>16</xdr:col>
      <xdr:colOff>478939</xdr:colOff>
      <xdr:row>110</xdr:row>
      <xdr:rowOff>50800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58190A42-4857-06C1-A2C1-A7EEEBF3E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122524" y="19563996"/>
          <a:ext cx="4645695" cy="2909924"/>
        </a:xfrm>
        <a:prstGeom prst="rect">
          <a:avLst/>
        </a:prstGeom>
      </xdr:spPr>
    </xdr:pic>
    <xdr:clientData/>
  </xdr:twoCellAnchor>
  <xdr:twoCellAnchor>
    <xdr:from>
      <xdr:col>50</xdr:col>
      <xdr:colOff>46305</xdr:colOff>
      <xdr:row>0</xdr:row>
      <xdr:rowOff>142240</xdr:rowOff>
    </xdr:from>
    <xdr:to>
      <xdr:col>59</xdr:col>
      <xdr:colOff>344939</xdr:colOff>
      <xdr:row>15</xdr:row>
      <xdr:rowOff>33867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93DEC3E8-0AF3-498F-8F2D-B5C6D1F20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59</xdr:col>
      <xdr:colOff>513079</xdr:colOff>
      <xdr:row>0</xdr:row>
      <xdr:rowOff>101600</xdr:rowOff>
    </xdr:from>
    <xdr:to>
      <xdr:col>68</xdr:col>
      <xdr:colOff>335280</xdr:colOff>
      <xdr:row>14</xdr:row>
      <xdr:rowOff>186267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8F4D7326-1B3A-4D3A-99C4-2CCF293FF8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50</xdr:col>
      <xdr:colOff>38210</xdr:colOff>
      <xdr:row>15</xdr:row>
      <xdr:rowOff>40160</xdr:rowOff>
    </xdr:from>
    <xdr:to>
      <xdr:col>59</xdr:col>
      <xdr:colOff>359868</xdr:colOff>
      <xdr:row>28</xdr:row>
      <xdr:rowOff>155021</xdr:rowOff>
    </xdr:to>
    <xdr:graphicFrame macro="">
      <xdr:nvGraphicFramePr>
        <xdr:cNvPr id="21" name="Диаграмма 20">
          <a:extLst>
            <a:ext uri="{FF2B5EF4-FFF2-40B4-BE49-F238E27FC236}">
              <a16:creationId xmlns:a16="http://schemas.microsoft.com/office/drawing/2014/main" id="{A806A8FD-43DD-4443-9A4E-C991B71CB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50</xdr:col>
      <xdr:colOff>48710</xdr:colOff>
      <xdr:row>28</xdr:row>
      <xdr:rowOff>151144</xdr:rowOff>
    </xdr:from>
    <xdr:to>
      <xdr:col>59</xdr:col>
      <xdr:colOff>391975</xdr:colOff>
      <xdr:row>44</xdr:row>
      <xdr:rowOff>32613</xdr:rowOff>
    </xdr:to>
    <xdr:graphicFrame macro="">
      <xdr:nvGraphicFramePr>
        <xdr:cNvPr id="22" name="Диаграмма 21">
          <a:extLst>
            <a:ext uri="{FF2B5EF4-FFF2-40B4-BE49-F238E27FC236}">
              <a16:creationId xmlns:a16="http://schemas.microsoft.com/office/drawing/2014/main" id="{55FD8CC1-70C2-4218-8093-1FDB400FAB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59</xdr:col>
      <xdr:colOff>484480</xdr:colOff>
      <xdr:row>15</xdr:row>
      <xdr:rowOff>1253</xdr:rowOff>
    </xdr:from>
    <xdr:to>
      <xdr:col>68</xdr:col>
      <xdr:colOff>332081</xdr:colOff>
      <xdr:row>29</xdr:row>
      <xdr:rowOff>9721</xdr:rowOff>
    </xdr:to>
    <xdr:graphicFrame macro="">
      <xdr:nvGraphicFramePr>
        <xdr:cNvPr id="23" name="Диаграмма 22">
          <a:extLst>
            <a:ext uri="{FF2B5EF4-FFF2-40B4-BE49-F238E27FC236}">
              <a16:creationId xmlns:a16="http://schemas.microsoft.com/office/drawing/2014/main" id="{5C904A0E-02CB-439C-989E-1FDA311196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10</xdr:col>
      <xdr:colOff>12825</xdr:colOff>
      <xdr:row>87</xdr:row>
      <xdr:rowOff>58542</xdr:rowOff>
    </xdr:from>
    <xdr:to>
      <xdr:col>12</xdr:col>
      <xdr:colOff>636712</xdr:colOff>
      <xdr:row>87</xdr:row>
      <xdr:rowOff>566517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1D9F45C6-D28D-F351-9175-F51C56388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84780" y="17368065"/>
          <a:ext cx="1914091" cy="507975"/>
        </a:xfrm>
        <a:prstGeom prst="rect">
          <a:avLst/>
        </a:prstGeom>
      </xdr:spPr>
    </xdr:pic>
    <xdr:clientData/>
  </xdr:twoCellAnchor>
  <xdr:twoCellAnchor editAs="oneCell">
    <xdr:from>
      <xdr:col>9</xdr:col>
      <xdr:colOff>137390</xdr:colOff>
      <xdr:row>115</xdr:row>
      <xdr:rowOff>57727</xdr:rowOff>
    </xdr:from>
    <xdr:to>
      <xdr:col>10</xdr:col>
      <xdr:colOff>395476</xdr:colOff>
      <xdr:row>118</xdr:row>
      <xdr:rowOff>167003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767C7045-050B-0A45-C054-C2FB4FC10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692322" y="23082250"/>
          <a:ext cx="1375109" cy="680776"/>
        </a:xfrm>
        <a:prstGeom prst="rect">
          <a:avLst/>
        </a:prstGeom>
      </xdr:spPr>
    </xdr:pic>
    <xdr:clientData/>
  </xdr:twoCellAnchor>
  <xdr:twoCellAnchor editAs="oneCell">
    <xdr:from>
      <xdr:col>9</xdr:col>
      <xdr:colOff>135081</xdr:colOff>
      <xdr:row>119</xdr:row>
      <xdr:rowOff>86014</xdr:rowOff>
    </xdr:from>
    <xdr:to>
      <xdr:col>11</xdr:col>
      <xdr:colOff>736252</xdr:colOff>
      <xdr:row>122</xdr:row>
      <xdr:rowOff>152109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C20E7FA-0BB3-86DF-5903-0B1FED7B8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690013" y="23872537"/>
          <a:ext cx="2151148" cy="637595"/>
        </a:xfrm>
        <a:prstGeom prst="rect">
          <a:avLst/>
        </a:prstGeom>
      </xdr:spPr>
    </xdr:pic>
    <xdr:clientData/>
  </xdr:twoCellAnchor>
  <xdr:twoCellAnchor editAs="oneCell">
    <xdr:from>
      <xdr:col>9</xdr:col>
      <xdr:colOff>153939</xdr:colOff>
      <xdr:row>123</xdr:row>
      <xdr:rowOff>94866</xdr:rowOff>
    </xdr:from>
    <xdr:to>
      <xdr:col>11</xdr:col>
      <xdr:colOff>139105</xdr:colOff>
      <xdr:row>126</xdr:row>
      <xdr:rowOff>92374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4743E10F-023E-175F-258E-76DC07BA9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708871" y="24643389"/>
          <a:ext cx="1535143" cy="569008"/>
        </a:xfrm>
        <a:prstGeom prst="rect">
          <a:avLst/>
        </a:prstGeom>
      </xdr:spPr>
    </xdr:pic>
    <xdr:clientData/>
  </xdr:twoCellAnchor>
  <xdr:twoCellAnchor editAs="oneCell">
    <xdr:from>
      <xdr:col>9</xdr:col>
      <xdr:colOff>131618</xdr:colOff>
      <xdr:row>126</xdr:row>
      <xdr:rowOff>159711</xdr:rowOff>
    </xdr:from>
    <xdr:to>
      <xdr:col>11</xdr:col>
      <xdr:colOff>115937</xdr:colOff>
      <xdr:row>129</xdr:row>
      <xdr:rowOff>150443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1604762C-C051-B62D-4774-179075EDC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686550" y="25279734"/>
          <a:ext cx="1534296" cy="562232"/>
        </a:xfrm>
        <a:prstGeom prst="rect">
          <a:avLst/>
        </a:prstGeom>
      </xdr:spPr>
    </xdr:pic>
    <xdr:clientData/>
  </xdr:twoCellAnchor>
  <xdr:twoCellAnchor editAs="oneCell">
    <xdr:from>
      <xdr:col>9</xdr:col>
      <xdr:colOff>43295</xdr:colOff>
      <xdr:row>131</xdr:row>
      <xdr:rowOff>129886</xdr:rowOff>
    </xdr:from>
    <xdr:to>
      <xdr:col>15</xdr:col>
      <xdr:colOff>112396</xdr:colOff>
      <xdr:row>135</xdr:row>
      <xdr:rowOff>23259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4B27EE76-231F-0FD1-1D44-9E315DBD4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598227" y="26202409"/>
          <a:ext cx="4571828" cy="655373"/>
        </a:xfrm>
        <a:prstGeom prst="rect">
          <a:avLst/>
        </a:prstGeom>
      </xdr:spPr>
    </xdr:pic>
    <xdr:clientData/>
  </xdr:twoCellAnchor>
  <xdr:twoCellAnchor editAs="oneCell">
    <xdr:from>
      <xdr:col>12</xdr:col>
      <xdr:colOff>544092</xdr:colOff>
      <xdr:row>89</xdr:row>
      <xdr:rowOff>176344</xdr:rowOff>
    </xdr:from>
    <xdr:to>
      <xdr:col>16</xdr:col>
      <xdr:colOff>167798</xdr:colOff>
      <xdr:row>93</xdr:row>
      <xdr:rowOff>127703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7A75D00-734B-9F93-FC0A-8D5DEBA41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506251" y="18247867"/>
          <a:ext cx="2290706" cy="7133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33</xdr:row>
      <xdr:rowOff>0</xdr:rowOff>
    </xdr:from>
    <xdr:to>
      <xdr:col>7</xdr:col>
      <xdr:colOff>734786</xdr:colOff>
      <xdr:row>35</xdr:row>
      <xdr:rowOff>15639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31F1929-D11A-4108-88E1-4BBD5193B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0" y="6286500"/>
          <a:ext cx="1673679" cy="39663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1347540</xdr:colOff>
      <xdr:row>14</xdr:row>
      <xdr:rowOff>25165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88C9466-477E-4A4C-9C2E-211444B3C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61071" y="2286000"/>
          <a:ext cx="1347540" cy="40616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10</xdr:col>
      <xdr:colOff>1191524</xdr:colOff>
      <xdr:row>19</xdr:row>
      <xdr:rowOff>88437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67F07EA-8143-4F37-A0DB-B92DE41E4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61071" y="2857500"/>
          <a:ext cx="2933239" cy="85043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10</xdr:col>
      <xdr:colOff>593965</xdr:colOff>
      <xdr:row>26</xdr:row>
      <xdr:rowOff>13933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EBD03D8-0916-4DAC-BD91-38BCBE15A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61071" y="4381500"/>
          <a:ext cx="2335680" cy="585433"/>
        </a:xfrm>
        <a:prstGeom prst="rect">
          <a:avLst/>
        </a:prstGeom>
      </xdr:spPr>
    </xdr:pic>
    <xdr:clientData/>
  </xdr:twoCellAnchor>
  <xdr:twoCellAnchor>
    <xdr:from>
      <xdr:col>22</xdr:col>
      <xdr:colOff>421341</xdr:colOff>
      <xdr:row>6</xdr:row>
      <xdr:rowOff>0</xdr:rowOff>
    </xdr:from>
    <xdr:to>
      <xdr:col>30</xdr:col>
      <xdr:colOff>109817</xdr:colOff>
      <xdr:row>20</xdr:row>
      <xdr:rowOff>170330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52F52E9A-630E-4354-828B-6749857B4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335280</xdr:colOff>
      <xdr:row>23</xdr:row>
      <xdr:rowOff>80010</xdr:rowOff>
    </xdr:from>
    <xdr:to>
      <xdr:col>30</xdr:col>
      <xdr:colOff>91440</xdr:colOff>
      <xdr:row>38</xdr:row>
      <xdr:rowOff>80010</xdr:rowOff>
    </xdr:to>
    <xdr:graphicFrame macro="">
      <xdr:nvGraphicFramePr>
        <xdr:cNvPr id="21" name="Диаграмма 20">
          <a:extLst>
            <a:ext uri="{FF2B5EF4-FFF2-40B4-BE49-F238E27FC236}">
              <a16:creationId xmlns:a16="http://schemas.microsoft.com/office/drawing/2014/main" id="{0AFC08EB-2372-86D7-969D-4920142146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41"/>
  <sheetViews>
    <sheetView zoomScale="81" zoomScaleNormal="85" workbookViewId="0">
      <pane xSplit="1" topLeftCell="B1" activePane="topRight" state="frozen"/>
      <selection pane="topRight" activeCell="F52" sqref="F2:F52"/>
    </sheetView>
  </sheetViews>
  <sheetFormatPr defaultColWidth="8.7109375" defaultRowHeight="15"/>
  <cols>
    <col min="1" max="1" width="14.140625" style="1" bestFit="1" customWidth="1"/>
    <col min="2" max="2" width="12.7109375" style="1" bestFit="1" customWidth="1"/>
    <col min="3" max="3" width="9.28515625" style="1" bestFit="1" customWidth="1"/>
    <col min="4" max="4" width="8.42578125" style="1" customWidth="1"/>
    <col min="5" max="6" width="8.7109375" style="1" bestFit="1" customWidth="1"/>
    <col min="7" max="7" width="7.140625" style="1" bestFit="1" customWidth="1"/>
    <col min="8" max="8" width="14.42578125" style="1" customWidth="1"/>
    <col min="9" max="9" width="14.7109375" style="1" customWidth="1"/>
    <col min="10" max="10" width="16.7109375" style="1" customWidth="1"/>
    <col min="11" max="11" width="6.42578125" style="1" customWidth="1"/>
    <col min="12" max="12" width="12.7109375" style="1" customWidth="1"/>
    <col min="13" max="13" width="11.7109375" style="1" customWidth="1"/>
    <col min="14" max="14" width="11.140625" style="1" customWidth="1"/>
    <col min="15" max="16" width="8.42578125" style="1" bestFit="1" customWidth="1"/>
    <col min="17" max="17" width="11" style="1" bestFit="1" customWidth="1"/>
    <col min="18" max="21" width="8.42578125" style="1" bestFit="1" customWidth="1"/>
    <col min="22" max="22" width="16" style="1" customWidth="1"/>
    <col min="23" max="26" width="8.42578125" style="1" bestFit="1" customWidth="1"/>
    <col min="27" max="27" width="11" style="1" bestFit="1" customWidth="1"/>
    <col min="28" max="31" width="8.42578125" style="1" bestFit="1" customWidth="1"/>
    <col min="32" max="32" width="11" style="1" bestFit="1" customWidth="1"/>
    <col min="33" max="36" width="8.42578125" style="1" bestFit="1" customWidth="1"/>
    <col min="37" max="37" width="11" style="1" bestFit="1" customWidth="1"/>
    <col min="38" max="39" width="8.42578125" style="1" bestFit="1" customWidth="1"/>
    <col min="40" max="40" width="13.42578125" style="1" customWidth="1"/>
    <col min="41" max="41" width="8.42578125" style="1" bestFit="1" customWidth="1"/>
    <col min="42" max="42" width="11" style="1" bestFit="1" customWidth="1"/>
    <col min="43" max="43" width="10.42578125" style="1" customWidth="1"/>
    <col min="44" max="46" width="8.42578125" style="1" bestFit="1" customWidth="1"/>
    <col min="47" max="47" width="11" style="1" bestFit="1" customWidth="1"/>
    <col min="48" max="51" width="8.42578125" style="1" bestFit="1" customWidth="1"/>
    <col min="52" max="52" width="11" style="1" bestFit="1" customWidth="1"/>
    <col min="53" max="56" width="8.42578125" style="1" bestFit="1" customWidth="1"/>
    <col min="57" max="57" width="11" style="1" bestFit="1" customWidth="1"/>
    <col min="58" max="61" width="8.42578125" style="1" bestFit="1" customWidth="1"/>
    <col min="62" max="62" width="11" style="1" bestFit="1" customWidth="1"/>
    <col min="63" max="66" width="8.42578125" style="1" bestFit="1" customWidth="1"/>
    <col min="67" max="67" width="11" style="1" bestFit="1" customWidth="1"/>
    <col min="68" max="71" width="8.42578125" style="1" bestFit="1" customWidth="1"/>
    <col min="72" max="72" width="11" style="1" bestFit="1" customWidth="1"/>
    <col min="73" max="76" width="8.42578125" style="1" bestFit="1" customWidth="1"/>
    <col min="77" max="77" width="11" style="1" bestFit="1" customWidth="1"/>
    <col min="78" max="81" width="8.42578125" style="1" bestFit="1" customWidth="1"/>
    <col min="82" max="82" width="11" style="1" bestFit="1" customWidth="1"/>
    <col min="83" max="86" width="8.42578125" style="1" bestFit="1" customWidth="1"/>
    <col min="87" max="87" width="11" style="1" bestFit="1" customWidth="1"/>
    <col min="88" max="91" width="8.42578125" style="1" bestFit="1" customWidth="1"/>
    <col min="92" max="92" width="11" style="1" bestFit="1" customWidth="1"/>
    <col min="93" max="96" width="8.42578125" style="1" bestFit="1" customWidth="1"/>
    <col min="97" max="97" width="11" style="1" bestFit="1" customWidth="1"/>
    <col min="98" max="101" width="8.42578125" style="1" bestFit="1" customWidth="1"/>
    <col min="102" max="102" width="11" style="1" bestFit="1" customWidth="1"/>
    <col min="103" max="106" width="8.42578125" style="1" bestFit="1" customWidth="1"/>
    <col min="107" max="107" width="11" style="1" bestFit="1" customWidth="1"/>
    <col min="108" max="111" width="8.42578125" style="1" bestFit="1" customWidth="1"/>
    <col min="112" max="112" width="11" style="1" bestFit="1" customWidth="1"/>
    <col min="113" max="116" width="8.42578125" style="1" bestFit="1" customWidth="1"/>
    <col min="117" max="117" width="11" style="1" bestFit="1" customWidth="1"/>
    <col min="118" max="121" width="8.42578125" style="1" bestFit="1" customWidth="1"/>
    <col min="122" max="122" width="11" style="1" bestFit="1" customWidth="1"/>
    <col min="123" max="126" width="8.42578125" style="1" bestFit="1" customWidth="1"/>
    <col min="127" max="127" width="11" style="1" bestFit="1" customWidth="1"/>
    <col min="128" max="131" width="8.42578125" style="1" bestFit="1" customWidth="1"/>
    <col min="132" max="132" width="11" style="1" bestFit="1" customWidth="1"/>
    <col min="133" max="136" width="8.42578125" style="1" bestFit="1" customWidth="1"/>
    <col min="137" max="137" width="11" style="1" bestFit="1" customWidth="1"/>
    <col min="138" max="141" width="8.42578125" style="1" bestFit="1" customWidth="1"/>
    <col min="142" max="142" width="11" style="1" bestFit="1" customWidth="1"/>
    <col min="143" max="146" width="8.42578125" style="1" bestFit="1" customWidth="1"/>
    <col min="147" max="147" width="11" style="1" bestFit="1" customWidth="1"/>
    <col min="148" max="151" width="8.42578125" style="1" bestFit="1" customWidth="1"/>
    <col min="152" max="152" width="11" style="1" bestFit="1" customWidth="1"/>
    <col min="153" max="156" width="8.42578125" style="1" bestFit="1" customWidth="1"/>
    <col min="157" max="157" width="11" style="1" bestFit="1" customWidth="1"/>
    <col min="158" max="161" width="8.42578125" style="1" bestFit="1" customWidth="1"/>
    <col min="162" max="162" width="11" style="1" bestFit="1" customWidth="1"/>
    <col min="163" max="166" width="8.42578125" style="1" bestFit="1" customWidth="1"/>
    <col min="167" max="167" width="11" style="1" bestFit="1" customWidth="1"/>
    <col min="168" max="171" width="8.42578125" style="1" bestFit="1" customWidth="1"/>
    <col min="172" max="172" width="11" style="1" bestFit="1" customWidth="1"/>
    <col min="173" max="176" width="8.42578125" style="1" bestFit="1" customWidth="1"/>
    <col min="177" max="177" width="11" style="1" bestFit="1" customWidth="1"/>
    <col min="178" max="181" width="8.42578125" style="1" bestFit="1" customWidth="1"/>
    <col min="182" max="182" width="11" style="1" bestFit="1" customWidth="1"/>
    <col min="183" max="186" width="8.42578125" style="1" bestFit="1" customWidth="1"/>
    <col min="187" max="187" width="11" style="1" bestFit="1" customWidth="1"/>
    <col min="188" max="191" width="8.42578125" style="1" bestFit="1" customWidth="1"/>
    <col min="192" max="192" width="11" style="1" bestFit="1" customWidth="1"/>
    <col min="193" max="196" width="8.42578125" style="1" bestFit="1" customWidth="1"/>
    <col min="197" max="197" width="11" style="1" bestFit="1" customWidth="1"/>
    <col min="198" max="201" width="8.42578125" style="1" bestFit="1" customWidth="1"/>
    <col min="202" max="202" width="11" style="1" bestFit="1" customWidth="1"/>
    <col min="203" max="206" width="8.42578125" style="1" bestFit="1" customWidth="1"/>
    <col min="207" max="207" width="11" style="1" bestFit="1" customWidth="1"/>
    <col min="208" max="211" width="8.42578125" style="1" bestFit="1" customWidth="1"/>
    <col min="212" max="212" width="11" style="1" bestFit="1" customWidth="1"/>
    <col min="213" max="216" width="8.42578125" style="1" bestFit="1" customWidth="1"/>
    <col min="217" max="217" width="11" style="1" bestFit="1" customWidth="1"/>
    <col min="218" max="221" width="8.42578125" style="1" bestFit="1" customWidth="1"/>
    <col min="222" max="222" width="11" style="1" bestFit="1" customWidth="1"/>
    <col min="223" max="226" width="8.42578125" style="1" bestFit="1" customWidth="1"/>
    <col min="227" max="227" width="11" style="1" bestFit="1" customWidth="1"/>
    <col min="228" max="231" width="8.42578125" style="1" bestFit="1" customWidth="1"/>
    <col min="232" max="232" width="11" style="1" bestFit="1" customWidth="1"/>
    <col min="233" max="236" width="8.42578125" style="1" bestFit="1" customWidth="1"/>
    <col min="237" max="237" width="11" style="1" bestFit="1" customWidth="1"/>
    <col min="238" max="241" width="8.42578125" style="1" bestFit="1" customWidth="1"/>
    <col min="242" max="242" width="11" style="1" bestFit="1" customWidth="1"/>
    <col min="243" max="246" width="8.42578125" style="1" bestFit="1" customWidth="1"/>
    <col min="247" max="247" width="11" style="1" bestFit="1" customWidth="1"/>
    <col min="248" max="251" width="8.42578125" style="1" bestFit="1" customWidth="1"/>
    <col min="252" max="252" width="11" style="1" bestFit="1" customWidth="1"/>
    <col min="253" max="256" width="8.42578125" style="1" bestFit="1" customWidth="1"/>
    <col min="257" max="257" width="11" style="1" bestFit="1" customWidth="1"/>
    <col min="258" max="261" width="8.42578125" style="1" bestFit="1" customWidth="1"/>
    <col min="262" max="262" width="11" style="1" bestFit="1" customWidth="1"/>
    <col min="263" max="266" width="8.42578125" style="1" bestFit="1" customWidth="1"/>
    <col min="267" max="267" width="11" style="1" bestFit="1" customWidth="1"/>
    <col min="268" max="271" width="8.42578125" style="1" bestFit="1" customWidth="1"/>
    <col min="272" max="16384" width="8.7109375" style="1"/>
  </cols>
  <sheetData>
    <row r="1" spans="1:50">
      <c r="B1" s="1" t="s">
        <v>22</v>
      </c>
      <c r="AQ1" s="9" t="s">
        <v>60</v>
      </c>
      <c r="AR1" s="9" t="s">
        <v>148</v>
      </c>
      <c r="AS1" s="9" t="s">
        <v>149</v>
      </c>
      <c r="AT1" s="9" t="s">
        <v>150</v>
      </c>
      <c r="AU1" s="9" t="s">
        <v>151</v>
      </c>
      <c r="AV1" s="9" t="s">
        <v>152</v>
      </c>
      <c r="AW1" s="9" t="s">
        <v>153</v>
      </c>
      <c r="AX1" s="9" t="s">
        <v>154</v>
      </c>
    </row>
    <row r="2" spans="1:50" ht="34.9" customHeight="1">
      <c r="A2" s="11" t="s">
        <v>162</v>
      </c>
      <c r="B2" s="12" t="s">
        <v>161</v>
      </c>
      <c r="C2" s="11" t="s">
        <v>163</v>
      </c>
      <c r="D2" s="11" t="s">
        <v>164</v>
      </c>
      <c r="E2" s="11" t="s">
        <v>165</v>
      </c>
      <c r="F2" s="11" t="s">
        <v>166</v>
      </c>
      <c r="AN2" s="9" t="s">
        <v>155</v>
      </c>
      <c r="AO2" s="9">
        <v>6.64058041439558</v>
      </c>
      <c r="AQ2" s="9">
        <v>1</v>
      </c>
      <c r="AR2" s="9">
        <v>214</v>
      </c>
      <c r="AS2" s="9">
        <f>214+AO5</f>
        <v>535.80921947234765</v>
      </c>
      <c r="AT2" s="9">
        <f>COUNTIFS($B$2:$B$52, "&gt;="&amp;AR2, $B$2:$B$52, "&lt;="&amp;AS2)</f>
        <v>20</v>
      </c>
      <c r="AU2" s="9">
        <f>50 * (_xlfn.NORM.S.DIST((AS2- $AO$6)/$AO$7, TRUE) - _xlfn.NORM.S.DIST((AR2-$AO$6)/$AO$7, TRUE))</f>
        <v>8.6453124480221959</v>
      </c>
      <c r="AV2" s="9">
        <f>(AT2-AU2)^2/AU2</f>
        <v>14.913160186886595</v>
      </c>
      <c r="AW2" s="9">
        <f>AS2</f>
        <v>535.80921947234765</v>
      </c>
      <c r="AX2" s="9">
        <f>AT2</f>
        <v>20</v>
      </c>
    </row>
    <row r="3" spans="1:50">
      <c r="A3" s="9">
        <v>1</v>
      </c>
      <c r="B3" s="1">
        <v>2351</v>
      </c>
      <c r="C3" s="1">
        <v>68.5</v>
      </c>
      <c r="D3" s="1">
        <v>20.5</v>
      </c>
      <c r="E3" s="1">
        <v>8.6999999999999993</v>
      </c>
      <c r="F3" s="1">
        <v>22.2</v>
      </c>
      <c r="AN3" s="9" t="s">
        <v>156</v>
      </c>
      <c r="AO3" s="9">
        <f>MIN(B3:B52)</f>
        <v>214</v>
      </c>
      <c r="AQ3" s="9">
        <v>2</v>
      </c>
      <c r="AR3" s="9">
        <f>AS2</f>
        <v>535.80921947234765</v>
      </c>
      <c r="AS3" s="9">
        <f>AR3+$AO$5</f>
        <v>857.6184389446953</v>
      </c>
      <c r="AT3" s="9">
        <f t="shared" ref="AT3:AT8" si="0">COUNTIFS($B$2:$B$52, "&gt;="&amp;AR3, $B$2:$B$52, "&lt;="&amp;AS3)</f>
        <v>7</v>
      </c>
      <c r="AU3" s="9">
        <f t="shared" ref="AU3:AU8" si="1">50 * (_xlfn.NORM.S.DIST((AS3- $AO$6)/$AO$7, TRUE) - _xlfn.NORM.S.DIST((AR3-$AO$6)/$AO$7, TRUE))</f>
        <v>12.356965357179622</v>
      </c>
      <c r="AV3" s="9">
        <f t="shared" ref="AV3:AV8" si="2">(AT3-AU3)^2/AU3</f>
        <v>2.322340235529516</v>
      </c>
      <c r="AW3" s="9">
        <f t="shared" ref="AW3:AW7" si="3">AS3</f>
        <v>857.6184389446953</v>
      </c>
      <c r="AX3" s="9">
        <f t="shared" ref="AX3:AX8" si="4">AT3</f>
        <v>7</v>
      </c>
    </row>
    <row r="4" spans="1:50">
      <c r="A4" s="9">
        <v>2</v>
      </c>
      <c r="B4" s="1">
        <v>1643</v>
      </c>
      <c r="C4" s="1">
        <v>52.8</v>
      </c>
      <c r="D4" s="1">
        <v>17.100000000000001</v>
      </c>
      <c r="E4" s="1">
        <v>10.3</v>
      </c>
      <c r="F4" s="1">
        <v>18</v>
      </c>
      <c r="AN4" s="9" t="s">
        <v>157</v>
      </c>
      <c r="AO4" s="9">
        <f>MAX(B3:B52)</f>
        <v>2351</v>
      </c>
      <c r="AQ4" s="9">
        <v>3</v>
      </c>
      <c r="AR4" s="9">
        <f t="shared" ref="AR4:AR8" si="5">AS3</f>
        <v>857.6184389446953</v>
      </c>
      <c r="AS4" s="9">
        <f t="shared" ref="AS4:AS7" si="6">AR4+$AO$5</f>
        <v>1179.4276584170429</v>
      </c>
      <c r="AT4" s="9">
        <f t="shared" si="0"/>
        <v>15</v>
      </c>
      <c r="AU4" s="9">
        <f t="shared" si="1"/>
        <v>11.760725826535412</v>
      </c>
      <c r="AV4" s="9">
        <f t="shared" si="2"/>
        <v>0.89219809437270015</v>
      </c>
      <c r="AW4" s="9">
        <f t="shared" si="3"/>
        <v>1179.4276584170429</v>
      </c>
      <c r="AX4" s="9">
        <f t="shared" si="4"/>
        <v>15</v>
      </c>
    </row>
    <row r="5" spans="1:50">
      <c r="A5" s="9">
        <v>3</v>
      </c>
      <c r="B5" s="1">
        <v>1603</v>
      </c>
      <c r="C5" s="1">
        <v>65.7</v>
      </c>
      <c r="D5" s="1">
        <v>16.8</v>
      </c>
      <c r="E5" s="1">
        <v>8.3000000000000007</v>
      </c>
      <c r="F5" s="1">
        <v>19.100000000000001</v>
      </c>
      <c r="AN5" s="9" t="s">
        <v>158</v>
      </c>
      <c r="AO5" s="9">
        <f>(AO4-AO3)/AO2</f>
        <v>321.80921947234759</v>
      </c>
      <c r="AQ5" s="9">
        <v>4</v>
      </c>
      <c r="AR5" s="9">
        <f t="shared" si="5"/>
        <v>1179.4276584170429</v>
      </c>
      <c r="AS5" s="9">
        <f t="shared" si="6"/>
        <v>1501.2368778893906</v>
      </c>
      <c r="AT5" s="9">
        <f t="shared" si="0"/>
        <v>3</v>
      </c>
      <c r="AU5" s="9">
        <f t="shared" si="1"/>
        <v>7.4530565330483132</v>
      </c>
      <c r="AV5" s="9">
        <f t="shared" si="2"/>
        <v>2.6606147959022493</v>
      </c>
      <c r="AW5" s="9">
        <f t="shared" si="3"/>
        <v>1501.2368778893906</v>
      </c>
      <c r="AX5" s="9">
        <f t="shared" si="4"/>
        <v>3</v>
      </c>
    </row>
    <row r="6" spans="1:50">
      <c r="A6" s="9">
        <v>4</v>
      </c>
      <c r="B6" s="1">
        <v>1735</v>
      </c>
      <c r="C6" s="1">
        <v>42.7</v>
      </c>
      <c r="D6" s="1">
        <v>15.8</v>
      </c>
      <c r="E6" s="1">
        <v>9.5</v>
      </c>
      <c r="F6" s="1">
        <v>21.6</v>
      </c>
      <c r="AN6" s="9" t="s">
        <v>159</v>
      </c>
      <c r="AO6" s="9">
        <f>AVERAGE(B3:B52)</f>
        <v>818.48</v>
      </c>
      <c r="AQ6" s="9">
        <v>5</v>
      </c>
      <c r="AR6" s="9">
        <f t="shared" si="5"/>
        <v>1501.2368778893906</v>
      </c>
      <c r="AS6" s="9">
        <f t="shared" si="6"/>
        <v>1823.0460973617382</v>
      </c>
      <c r="AT6" s="9">
        <f t="shared" si="0"/>
        <v>3</v>
      </c>
      <c r="AU6" s="9">
        <f t="shared" si="1"/>
        <v>3.1440778669038769</v>
      </c>
      <c r="AV6" s="9">
        <f t="shared" si="2"/>
        <v>6.6023911017232808E-3</v>
      </c>
      <c r="AW6" s="9">
        <f t="shared" si="3"/>
        <v>1823.0460973617382</v>
      </c>
      <c r="AX6" s="9">
        <f t="shared" si="4"/>
        <v>3</v>
      </c>
    </row>
    <row r="7" spans="1:50">
      <c r="A7" s="9">
        <v>5</v>
      </c>
      <c r="B7" s="1">
        <v>2031</v>
      </c>
      <c r="C7" s="1">
        <v>71.900000000000006</v>
      </c>
      <c r="D7" s="1">
        <v>16.8</v>
      </c>
      <c r="E7" s="1">
        <v>11.7</v>
      </c>
      <c r="F7" s="1">
        <v>22.5</v>
      </c>
      <c r="AN7" s="9" t="s">
        <v>160</v>
      </c>
      <c r="AO7" s="9">
        <f>STDEV(B3:B52)</f>
        <v>495.85729678558755</v>
      </c>
      <c r="AQ7" s="9">
        <v>6</v>
      </c>
      <c r="AR7" s="9">
        <f t="shared" si="5"/>
        <v>1823.0460973617382</v>
      </c>
      <c r="AS7" s="9">
        <f t="shared" si="6"/>
        <v>2144.8553168340859</v>
      </c>
      <c r="AT7" s="9">
        <f t="shared" si="0"/>
        <v>1</v>
      </c>
      <c r="AU7" s="9">
        <f t="shared" si="1"/>
        <v>0.8824589562401286</v>
      </c>
      <c r="AV7" s="9">
        <f t="shared" si="2"/>
        <v>1.5656135472889368E-2</v>
      </c>
      <c r="AW7" s="9">
        <f t="shared" si="3"/>
        <v>2144.8553168340859</v>
      </c>
      <c r="AX7" s="9">
        <f t="shared" si="4"/>
        <v>1</v>
      </c>
    </row>
    <row r="8" spans="1:50">
      <c r="A8" s="9">
        <v>6</v>
      </c>
      <c r="B8" s="1">
        <v>1266</v>
      </c>
      <c r="C8" s="1">
        <v>36.9</v>
      </c>
      <c r="D8" s="1">
        <v>10.5</v>
      </c>
      <c r="E8" s="1">
        <v>7.7</v>
      </c>
      <c r="F8" s="1">
        <v>14.4</v>
      </c>
      <c r="AQ8" s="9">
        <v>7</v>
      </c>
      <c r="AR8" s="9">
        <f t="shared" si="5"/>
        <v>2144.8553168340859</v>
      </c>
      <c r="AS8" s="9">
        <f>AO4</f>
        <v>2351</v>
      </c>
      <c r="AT8" s="9">
        <f t="shared" si="0"/>
        <v>1</v>
      </c>
      <c r="AU8" s="9">
        <f t="shared" si="1"/>
        <v>0.13694121775988943</v>
      </c>
      <c r="AV8" s="9">
        <f t="shared" si="2"/>
        <v>5.4393445142851489</v>
      </c>
      <c r="AW8" s="9">
        <f>AS8</f>
        <v>2351</v>
      </c>
      <c r="AX8" s="9">
        <f t="shared" si="4"/>
        <v>1</v>
      </c>
    </row>
    <row r="9" spans="1:50">
      <c r="A9" s="9">
        <v>7</v>
      </c>
      <c r="B9" s="1">
        <v>1138</v>
      </c>
      <c r="C9" s="1">
        <v>55.3</v>
      </c>
      <c r="D9" s="1">
        <v>13.2</v>
      </c>
      <c r="E9" s="1">
        <v>6.8</v>
      </c>
      <c r="F9" s="1">
        <v>14.8</v>
      </c>
      <c r="AU9" s="10">
        <f>SUM(AU2:AU8)</f>
        <v>44.379538205689435</v>
      </c>
      <c r="AV9" s="7">
        <f>SUM(AV2:AV8)</f>
        <v>26.249916353550816</v>
      </c>
    </row>
    <row r="10" spans="1:50">
      <c r="A10" s="9">
        <v>8</v>
      </c>
      <c r="B10" s="1">
        <v>947</v>
      </c>
      <c r="C10" s="1">
        <v>34.299999999999997</v>
      </c>
      <c r="D10" s="1">
        <v>11.1</v>
      </c>
      <c r="E10" s="1">
        <v>8.6999999999999993</v>
      </c>
      <c r="F10" s="1">
        <v>13.6</v>
      </c>
      <c r="AN10" s="9" t="s">
        <v>155</v>
      </c>
      <c r="AO10" s="9">
        <v>6.6405804143955818</v>
      </c>
      <c r="AQ10" s="9" t="s">
        <v>61</v>
      </c>
      <c r="AR10" s="9" t="s">
        <v>148</v>
      </c>
      <c r="AS10" s="9" t="s">
        <v>149</v>
      </c>
      <c r="AT10" s="9" t="s">
        <v>150</v>
      </c>
      <c r="AU10" s="9" t="s">
        <v>151</v>
      </c>
      <c r="AV10" s="9" t="s">
        <v>152</v>
      </c>
      <c r="AW10" s="9" t="s">
        <v>153</v>
      </c>
      <c r="AX10" s="9" t="s">
        <v>154</v>
      </c>
    </row>
    <row r="11" spans="1:50">
      <c r="A11" s="9">
        <v>9</v>
      </c>
      <c r="B11" s="1">
        <v>921</v>
      </c>
      <c r="C11" s="1">
        <v>35.4</v>
      </c>
      <c r="D11" s="1">
        <v>12.2</v>
      </c>
      <c r="E11" s="1">
        <v>7.3</v>
      </c>
      <c r="F11" s="1">
        <v>14.8</v>
      </c>
      <c r="AN11" s="9" t="s">
        <v>156</v>
      </c>
      <c r="AO11" s="9">
        <f>MIN($C$3:$C$52)</f>
        <v>6.4</v>
      </c>
      <c r="AQ11" s="9">
        <v>1</v>
      </c>
      <c r="AR11" s="9">
        <f>AO11</f>
        <v>6.4</v>
      </c>
      <c r="AS11" s="9">
        <f>AR11+$AO$13</f>
        <v>16.263595636611498</v>
      </c>
      <c r="AT11" s="9">
        <f>COUNTIFS($C$2:$C$52, "&gt;="&amp;AR11, $C$2:$C$52, "&lt;="&amp;AS11)</f>
        <v>6</v>
      </c>
      <c r="AU11" s="9">
        <f>50 * (_xlfn.NORM.S.DIST((AS11- $AO$14)/$AO$15, TRUE) - _xlfn.NORM.S.DIST((AR11-$AO$14)/$AO$15, TRUE))</f>
        <v>4.3406851351325155</v>
      </c>
      <c r="AV11" s="9">
        <f>(AT11-AU11)^2/AU11</f>
        <v>0.63430673616139699</v>
      </c>
      <c r="AW11" s="9">
        <f>AS11</f>
        <v>16.263595636611498</v>
      </c>
      <c r="AX11" s="9">
        <v>12</v>
      </c>
    </row>
    <row r="12" spans="1:50">
      <c r="A12" s="9">
        <v>10</v>
      </c>
      <c r="B12" s="1">
        <v>826</v>
      </c>
      <c r="C12" s="1">
        <v>34.299999999999997</v>
      </c>
      <c r="D12" s="1">
        <v>8.8000000000000007</v>
      </c>
      <c r="E12" s="1">
        <v>7.4</v>
      </c>
      <c r="F12" s="1">
        <v>13.6</v>
      </c>
      <c r="AN12" s="9" t="s">
        <v>157</v>
      </c>
      <c r="AO12" s="9">
        <f>MAX($C$3:$C$52)</f>
        <v>71.900000000000006</v>
      </c>
      <c r="AQ12" s="9">
        <v>2</v>
      </c>
      <c r="AR12" s="9">
        <f>AS11</f>
        <v>16.263595636611498</v>
      </c>
      <c r="AS12" s="9">
        <f t="shared" ref="AS12:AS16" si="7">AR12+$AO$13</f>
        <v>26.127191273222994</v>
      </c>
      <c r="AT12" s="9">
        <f t="shared" ref="AT12:AT17" si="8">COUNTIFS($C$2:$C$52, "&gt;="&amp;AR12, $C$2:$C$52, "&lt;="&amp;AS12)</f>
        <v>10</v>
      </c>
      <c r="AU12" s="9">
        <f t="shared" ref="AU12:AU16" si="9">50 * (_xlfn.NORM.S.DIST((AS12- $AO$14)/$AO$15, TRUE) - _xlfn.NORM.S.DIST((AR12-$AO$14)/$AO$15, TRUE))</f>
        <v>9.1589358914282268</v>
      </c>
      <c r="AV12" s="9">
        <f t="shared" ref="AV12:AV17" si="10">(AT12-AU12)^2/AU12</f>
        <v>7.7234827616783616E-2</v>
      </c>
      <c r="AW12" s="9">
        <f t="shared" ref="AW12:AW17" si="11">AS12</f>
        <v>26.127191273222994</v>
      </c>
      <c r="AX12" s="9">
        <v>10</v>
      </c>
    </row>
    <row r="13" spans="1:50">
      <c r="A13" s="9">
        <v>11</v>
      </c>
      <c r="B13" s="1">
        <v>784</v>
      </c>
      <c r="C13" s="1">
        <v>41.7</v>
      </c>
      <c r="D13" s="1">
        <v>10.9</v>
      </c>
      <c r="E13" s="1">
        <v>7.2</v>
      </c>
      <c r="F13" s="1">
        <v>13.5</v>
      </c>
      <c r="AN13" s="9" t="s">
        <v>158</v>
      </c>
      <c r="AO13" s="9">
        <f>(AO12-AO11)/AO2</f>
        <v>9.8635956366114961</v>
      </c>
      <c r="AQ13" s="9">
        <v>3</v>
      </c>
      <c r="AR13" s="9">
        <f t="shared" ref="AR13:AR17" si="12">AS12</f>
        <v>26.127191273222994</v>
      </c>
      <c r="AS13" s="9">
        <f t="shared" si="7"/>
        <v>35.99078690983449</v>
      </c>
      <c r="AT13" s="9">
        <f t="shared" si="8"/>
        <v>15</v>
      </c>
      <c r="AU13" s="9">
        <f t="shared" si="9"/>
        <v>12.70522701857923</v>
      </c>
      <c r="AV13" s="9">
        <f t="shared" si="10"/>
        <v>0.41447374600691261</v>
      </c>
      <c r="AW13" s="9">
        <f t="shared" si="11"/>
        <v>35.99078690983449</v>
      </c>
      <c r="AX13" s="9">
        <v>13</v>
      </c>
    </row>
    <row r="14" spans="1:50">
      <c r="A14" s="9">
        <v>12</v>
      </c>
      <c r="B14" s="1">
        <v>932</v>
      </c>
      <c r="C14" s="1">
        <v>34.5</v>
      </c>
      <c r="D14" s="1">
        <v>10.8</v>
      </c>
      <c r="E14" s="1">
        <v>9.6</v>
      </c>
      <c r="F14" s="1">
        <v>13</v>
      </c>
      <c r="AN14" s="9" t="s">
        <v>159</v>
      </c>
      <c r="AO14" s="9">
        <f>AVERAGE(C3:C52)</f>
        <v>33.828000000000003</v>
      </c>
      <c r="AQ14" s="9">
        <v>4</v>
      </c>
      <c r="AR14" s="9">
        <f t="shared" si="12"/>
        <v>35.99078690983449</v>
      </c>
      <c r="AS14" s="9">
        <f t="shared" si="7"/>
        <v>45.85438254644599</v>
      </c>
      <c r="AT14" s="9">
        <f t="shared" si="8"/>
        <v>9</v>
      </c>
      <c r="AU14" s="9">
        <f t="shared" si="9"/>
        <v>11.58951846055788</v>
      </c>
      <c r="AV14" s="9">
        <f t="shared" si="10"/>
        <v>0.5785922754591537</v>
      </c>
      <c r="AW14" s="9">
        <f t="shared" si="11"/>
        <v>45.85438254644599</v>
      </c>
      <c r="AX14" s="9">
        <v>8</v>
      </c>
    </row>
    <row r="15" spans="1:50">
      <c r="A15" s="9">
        <v>13</v>
      </c>
      <c r="B15" s="1">
        <v>755</v>
      </c>
      <c r="C15" s="1">
        <v>27.3</v>
      </c>
      <c r="D15" s="1">
        <v>10.4</v>
      </c>
      <c r="E15" s="1">
        <v>4.9000000000000004</v>
      </c>
      <c r="F15" s="1">
        <v>14.1</v>
      </c>
      <c r="AN15" s="9" t="s">
        <v>160</v>
      </c>
      <c r="AO15" s="9">
        <f>STDEV(C3:C53)</f>
        <v>14.960656429994186</v>
      </c>
      <c r="AQ15" s="9">
        <v>5</v>
      </c>
      <c r="AR15" s="9">
        <f t="shared" si="12"/>
        <v>45.85438254644599</v>
      </c>
      <c r="AS15" s="9">
        <f t="shared" si="7"/>
        <v>55.717978183057483</v>
      </c>
      <c r="AT15" s="9">
        <f t="shared" si="8"/>
        <v>7</v>
      </c>
      <c r="AU15" s="9">
        <f t="shared" si="9"/>
        <v>6.9513161752926935</v>
      </c>
      <c r="AV15" s="9">
        <f t="shared" si="10"/>
        <v>3.4095914045111726E-4</v>
      </c>
      <c r="AW15" s="9">
        <f t="shared" si="11"/>
        <v>55.717978183057483</v>
      </c>
      <c r="AX15" s="9">
        <v>10</v>
      </c>
    </row>
    <row r="16" spans="1:50">
      <c r="A16" s="9">
        <v>14</v>
      </c>
      <c r="B16" s="1">
        <v>998</v>
      </c>
      <c r="C16" s="1">
        <v>36.9</v>
      </c>
      <c r="D16" s="1">
        <v>12.1</v>
      </c>
      <c r="E16" s="1">
        <v>8.9</v>
      </c>
      <c r="F16" s="1">
        <v>11.3</v>
      </c>
      <c r="AQ16" s="9">
        <v>6</v>
      </c>
      <c r="AR16" s="9">
        <f t="shared" si="12"/>
        <v>55.717978183057483</v>
      </c>
      <c r="AS16" s="9">
        <f t="shared" si="7"/>
        <v>65.581573819668975</v>
      </c>
      <c r="AT16" s="9">
        <f t="shared" si="8"/>
        <v>0</v>
      </c>
      <c r="AU16" s="9">
        <f t="shared" si="9"/>
        <v>2.7405710783106274</v>
      </c>
      <c r="AV16" s="9">
        <f t="shared" si="10"/>
        <v>2.7405710783106274</v>
      </c>
      <c r="AW16" s="9">
        <f t="shared" si="11"/>
        <v>65.581573819668975</v>
      </c>
      <c r="AX16" s="9">
        <v>2</v>
      </c>
    </row>
    <row r="17" spans="1:50">
      <c r="A17" s="9">
        <v>15</v>
      </c>
      <c r="B17" s="1">
        <v>1047</v>
      </c>
      <c r="C17" s="1">
        <v>37.299999999999997</v>
      </c>
      <c r="D17" s="1">
        <v>11.8</v>
      </c>
      <c r="E17" s="1">
        <v>6.7</v>
      </c>
      <c r="F17" s="1">
        <v>14.6</v>
      </c>
      <c r="AQ17" s="9">
        <v>7</v>
      </c>
      <c r="AR17" s="9">
        <f t="shared" si="12"/>
        <v>65.581573819668975</v>
      </c>
      <c r="AS17" s="9">
        <f>AR17+$AO$13</f>
        <v>75.445169456280468</v>
      </c>
      <c r="AT17" s="9">
        <f t="shared" si="8"/>
        <v>3</v>
      </c>
      <c r="AU17" s="9">
        <f>50 * (_xlfn.NORM.S.DIST((AS17- $AO$14)/$AO$15, TRUE) - _xlfn.NORM.S.DIST((AR17-$AO$14)/$AO$15, TRUE))</f>
        <v>0.70979655626787208</v>
      </c>
      <c r="AV17" s="9">
        <f t="shared" si="10"/>
        <v>7.389486138480307</v>
      </c>
      <c r="AW17" s="9">
        <f t="shared" si="11"/>
        <v>75.445169456280468</v>
      </c>
      <c r="AX17" s="9">
        <v>3</v>
      </c>
    </row>
    <row r="18" spans="1:50">
      <c r="A18" s="9">
        <v>16</v>
      </c>
      <c r="B18" s="1">
        <v>1143</v>
      </c>
      <c r="C18" s="1">
        <v>51.3</v>
      </c>
      <c r="D18" s="1">
        <v>14.1</v>
      </c>
      <c r="E18" s="1">
        <v>8</v>
      </c>
      <c r="F18" s="1">
        <v>13.6</v>
      </c>
      <c r="AU18" s="10">
        <f>SUM(AU11:AU17)</f>
        <v>48.196050315569053</v>
      </c>
      <c r="AV18" s="7">
        <f>SUM(AV11:AV17)</f>
        <v>11.835005761175633</v>
      </c>
    </row>
    <row r="19" spans="1:50">
      <c r="A19" s="9">
        <v>17</v>
      </c>
      <c r="B19" s="1">
        <v>805</v>
      </c>
      <c r="C19" s="1">
        <v>31.3</v>
      </c>
      <c r="D19" s="1">
        <v>12.3</v>
      </c>
      <c r="E19" s="1">
        <v>6.3</v>
      </c>
      <c r="F19" s="1">
        <v>12.8</v>
      </c>
      <c r="AN19" s="9" t="s">
        <v>155</v>
      </c>
      <c r="AO19" s="9">
        <v>6.6405804143955818</v>
      </c>
      <c r="AQ19" s="9" t="s">
        <v>62</v>
      </c>
      <c r="AR19" s="9" t="s">
        <v>148</v>
      </c>
      <c r="AS19" s="9" t="s">
        <v>149</v>
      </c>
      <c r="AT19" s="9" t="s">
        <v>150</v>
      </c>
      <c r="AU19" s="9" t="s">
        <v>151</v>
      </c>
      <c r="AV19" s="9" t="s">
        <v>152</v>
      </c>
      <c r="AW19" s="9" t="s">
        <v>153</v>
      </c>
      <c r="AX19" s="9" t="s">
        <v>154</v>
      </c>
    </row>
    <row r="20" spans="1:50">
      <c r="A20" s="9">
        <v>18</v>
      </c>
      <c r="B20" s="1">
        <v>969</v>
      </c>
      <c r="C20" s="1">
        <v>26.2</v>
      </c>
      <c r="D20" s="1">
        <v>12.5</v>
      </c>
      <c r="E20" s="1">
        <v>6.2</v>
      </c>
      <c r="F20" s="1">
        <v>13.2</v>
      </c>
      <c r="AN20" s="9" t="s">
        <v>156</v>
      </c>
      <c r="AO20" s="9">
        <f>MIN($D$3:$D$52)</f>
        <v>5.7</v>
      </c>
      <c r="AQ20" s="9">
        <v>1</v>
      </c>
      <c r="AR20" s="9">
        <f>AO20</f>
        <v>5.7</v>
      </c>
      <c r="AS20" s="9">
        <f>AR20+$AO$22</f>
        <v>7.9287208461351169</v>
      </c>
      <c r="AT20" s="9">
        <f>COUNTIFS($D$2:$D$52, "&gt;="&amp;AR20, $D$2:$D$52, "&lt;="&amp;AS20)</f>
        <v>12</v>
      </c>
      <c r="AU20" s="34">
        <f>50 * (_xlfn.NORM.S.DIST((AS20- $AO$23)/$AO$24, TRUE) - _xlfn.NORM.S.DIST((AR20-$AO$23)/$AO$24, TRUE))</f>
        <v>6.9714489782192386</v>
      </c>
      <c r="AV20" s="9">
        <f>(AT20-AU20)^2/AU20</f>
        <v>3.627126219764917</v>
      </c>
      <c r="AW20" s="9">
        <f>AS20</f>
        <v>7.9287208461351169</v>
      </c>
      <c r="AX20" s="9">
        <f>AT20</f>
        <v>12</v>
      </c>
    </row>
    <row r="21" spans="1:50">
      <c r="A21" s="9">
        <v>19</v>
      </c>
      <c r="B21" s="1">
        <v>907</v>
      </c>
      <c r="C21" s="1">
        <v>31.4</v>
      </c>
      <c r="D21" s="1">
        <v>11.2</v>
      </c>
      <c r="E21" s="1">
        <v>5.9</v>
      </c>
      <c r="F21" s="1">
        <v>13.4</v>
      </c>
      <c r="AN21" s="9" t="s">
        <v>157</v>
      </c>
      <c r="AO21" s="9">
        <f>MAX($D$3:$D$52)</f>
        <v>20.5</v>
      </c>
      <c r="AQ21" s="9">
        <v>2</v>
      </c>
      <c r="AR21" s="9">
        <f>AS20</f>
        <v>7.9287208461351169</v>
      </c>
      <c r="AS21" s="9">
        <f t="shared" ref="AS21:AS25" si="13">AR21+$AO$22</f>
        <v>10.157441692270233</v>
      </c>
      <c r="AT21" s="9">
        <f t="shared" ref="AT21:AT26" si="14">COUNTIFS($D$2:$D$52, "&gt;="&amp;AR21, $D$2:$D$52, "&lt;="&amp;AS21)</f>
        <v>9</v>
      </c>
      <c r="AU21" s="34">
        <f t="shared" ref="AU21:AU26" si="15">50 * (_xlfn.NORM.S.DIST((AS21- $AO$23)/$AO$24, TRUE) - _xlfn.NORM.S.DIST((AR21-$AO$23)/$AO$24, TRUE))</f>
        <v>11.72984782246345</v>
      </c>
      <c r="AV21" s="9">
        <f t="shared" ref="AV21:AV26" si="16">(AT21-AU21)^2/AU21</f>
        <v>0.63530825349133879</v>
      </c>
      <c r="AW21" s="9">
        <f t="shared" ref="AW21:AW26" si="17">AS21</f>
        <v>10.157441692270233</v>
      </c>
      <c r="AX21" s="9">
        <f t="shared" ref="AX21:AX26" si="18">AT21</f>
        <v>9</v>
      </c>
    </row>
    <row r="22" spans="1:50">
      <c r="A22" s="9">
        <v>20</v>
      </c>
      <c r="B22" s="1">
        <v>1017</v>
      </c>
      <c r="C22" s="1">
        <v>34.6</v>
      </c>
      <c r="D22" s="1">
        <v>10.4</v>
      </c>
      <c r="E22" s="1">
        <v>8.4</v>
      </c>
      <c r="F22" s="1">
        <v>13</v>
      </c>
      <c r="AN22" s="9" t="s">
        <v>158</v>
      </c>
      <c r="AO22" s="9">
        <f>(AO21-AO20)/$AO$2</f>
        <v>2.2287208461351167</v>
      </c>
      <c r="AQ22" s="9">
        <v>3</v>
      </c>
      <c r="AR22" s="9">
        <f t="shared" ref="AR22:AR26" si="19">AS21</f>
        <v>10.157441692270233</v>
      </c>
      <c r="AS22" s="9">
        <f t="shared" si="13"/>
        <v>12.386162538405349</v>
      </c>
      <c r="AT22" s="9">
        <f t="shared" si="14"/>
        <v>14</v>
      </c>
      <c r="AU22" s="34">
        <f t="shared" si="15"/>
        <v>12.843347627171489</v>
      </c>
      <c r="AV22" s="9">
        <f t="shared" si="16"/>
        <v>0.10416635525300807</v>
      </c>
      <c r="AW22" s="9">
        <f t="shared" si="17"/>
        <v>12.386162538405349</v>
      </c>
      <c r="AX22" s="9">
        <f t="shared" si="18"/>
        <v>14</v>
      </c>
    </row>
    <row r="23" spans="1:50">
      <c r="A23" s="9">
        <v>21</v>
      </c>
      <c r="B23" s="1">
        <v>1125</v>
      </c>
      <c r="C23" s="1">
        <v>51.2</v>
      </c>
      <c r="D23" s="1">
        <v>13.3</v>
      </c>
      <c r="E23" s="1">
        <v>8.6</v>
      </c>
      <c r="F23" s="1">
        <v>13.2</v>
      </c>
      <c r="AN23" s="9" t="s">
        <v>159</v>
      </c>
      <c r="AO23" s="9">
        <f>AVERAGE($D$3:$D$52)</f>
        <v>10.628000000000002</v>
      </c>
      <c r="AQ23" s="9">
        <v>4</v>
      </c>
      <c r="AR23" s="9">
        <f t="shared" si="19"/>
        <v>12.386162538405349</v>
      </c>
      <c r="AS23" s="9">
        <f t="shared" si="13"/>
        <v>14.614883384540466</v>
      </c>
      <c r="AT23" s="9">
        <f t="shared" si="14"/>
        <v>10</v>
      </c>
      <c r="AU23" s="34">
        <f t="shared" si="15"/>
        <v>9.151856736568293</v>
      </c>
      <c r="AV23" s="9">
        <f t="shared" si="16"/>
        <v>7.86012080401427E-2</v>
      </c>
      <c r="AW23" s="9">
        <f t="shared" si="17"/>
        <v>14.614883384540466</v>
      </c>
      <c r="AX23" s="9">
        <f t="shared" si="18"/>
        <v>10</v>
      </c>
    </row>
    <row r="24" spans="1:50">
      <c r="A24" s="9">
        <v>22</v>
      </c>
      <c r="B24" s="1">
        <v>1177</v>
      </c>
      <c r="C24" s="1">
        <v>45.6</v>
      </c>
      <c r="D24" s="1">
        <v>12.4</v>
      </c>
      <c r="E24" s="1">
        <v>7.7</v>
      </c>
      <c r="F24" s="1">
        <v>14.9</v>
      </c>
      <c r="AN24" s="9" t="s">
        <v>160</v>
      </c>
      <c r="AO24" s="9">
        <f>STDEV($D$3:$D$52)</f>
        <v>3.3378497294405678</v>
      </c>
      <c r="AQ24" s="9">
        <v>5</v>
      </c>
      <c r="AR24" s="9">
        <f t="shared" si="19"/>
        <v>14.614883384540466</v>
      </c>
      <c r="AS24" s="9">
        <f t="shared" si="13"/>
        <v>16.843604230675581</v>
      </c>
      <c r="AT24" s="9">
        <f t="shared" si="14"/>
        <v>3</v>
      </c>
      <c r="AU24" s="34">
        <f t="shared" si="15"/>
        <v>4.2430626994849732</v>
      </c>
      <c r="AV24" s="9">
        <f t="shared" si="16"/>
        <v>0.36417205784831486</v>
      </c>
      <c r="AW24" s="9">
        <f t="shared" si="17"/>
        <v>16.843604230675581</v>
      </c>
      <c r="AX24" s="9">
        <f t="shared" si="18"/>
        <v>3</v>
      </c>
    </row>
    <row r="25" spans="1:50">
      <c r="A25" s="9">
        <v>23</v>
      </c>
      <c r="B25" s="1">
        <v>758</v>
      </c>
      <c r="C25" s="1">
        <v>25.5</v>
      </c>
      <c r="D25" s="1">
        <v>12.5</v>
      </c>
      <c r="E25" s="1">
        <v>7</v>
      </c>
      <c r="F25" s="1">
        <v>12.9</v>
      </c>
      <c r="AQ25" s="9">
        <v>6</v>
      </c>
      <c r="AR25" s="9">
        <f t="shared" si="19"/>
        <v>16.843604230675581</v>
      </c>
      <c r="AS25" s="9">
        <f t="shared" si="13"/>
        <v>19.072325076810699</v>
      </c>
      <c r="AT25" s="9">
        <f t="shared" si="14"/>
        <v>1</v>
      </c>
      <c r="AU25" s="34">
        <f t="shared" si="15"/>
        <v>1.2792576870658434</v>
      </c>
      <c r="AV25" s="9">
        <f t="shared" si="16"/>
        <v>6.096102182839621E-2</v>
      </c>
      <c r="AW25" s="9">
        <f t="shared" si="17"/>
        <v>19.072325076810699</v>
      </c>
      <c r="AX25" s="9">
        <f t="shared" si="18"/>
        <v>1</v>
      </c>
    </row>
    <row r="26" spans="1:50">
      <c r="A26" s="9">
        <v>24</v>
      </c>
      <c r="B26" s="1">
        <v>1000</v>
      </c>
      <c r="C26" s="1">
        <v>32.700000000000003</v>
      </c>
      <c r="D26" s="1">
        <v>13.1</v>
      </c>
      <c r="E26" s="1">
        <v>6.2</v>
      </c>
      <c r="F26" s="1">
        <v>12.6</v>
      </c>
      <c r="AQ26" s="9">
        <v>7</v>
      </c>
      <c r="AR26" s="9">
        <f t="shared" si="19"/>
        <v>19.072325076810699</v>
      </c>
      <c r="AS26" s="9">
        <f>AO21</f>
        <v>20.5</v>
      </c>
      <c r="AT26" s="9">
        <f t="shared" si="14"/>
        <v>1</v>
      </c>
      <c r="AU26" s="34">
        <f t="shared" si="15"/>
        <v>0.20774931117968354</v>
      </c>
      <c r="AV26" s="9">
        <f t="shared" si="16"/>
        <v>3.0212430085671778</v>
      </c>
      <c r="AW26" s="9">
        <f t="shared" si="17"/>
        <v>20.5</v>
      </c>
      <c r="AX26" s="9">
        <f t="shared" si="18"/>
        <v>1</v>
      </c>
    </row>
    <row r="27" spans="1:50">
      <c r="A27" s="9">
        <v>25</v>
      </c>
      <c r="B27" s="1">
        <v>819</v>
      </c>
      <c r="C27" s="1">
        <v>39.200000000000003</v>
      </c>
      <c r="D27" s="1">
        <v>12.9</v>
      </c>
      <c r="E27" s="1">
        <v>5.6</v>
      </c>
      <c r="F27" s="1">
        <v>13.1</v>
      </c>
      <c r="AU27" s="10">
        <f>SUM(AU20:AU26)</f>
        <v>46.426570862152971</v>
      </c>
      <c r="AV27" s="7">
        <f>SUM(AV20:AV26)</f>
        <v>7.8915781247932948</v>
      </c>
    </row>
    <row r="28" spans="1:50">
      <c r="A28" s="9">
        <v>26</v>
      </c>
      <c r="B28" s="1">
        <v>837</v>
      </c>
      <c r="C28" s="1">
        <v>44.6</v>
      </c>
      <c r="D28" s="1">
        <v>10</v>
      </c>
      <c r="E28" s="1">
        <v>7.8</v>
      </c>
      <c r="F28" s="1">
        <v>11.4</v>
      </c>
      <c r="AN28" s="9" t="s">
        <v>155</v>
      </c>
      <c r="AO28" s="9">
        <v>6.6405804143955818</v>
      </c>
      <c r="AQ28" s="9" t="s">
        <v>63</v>
      </c>
      <c r="AR28" s="9" t="s">
        <v>148</v>
      </c>
      <c r="AS28" s="9" t="s">
        <v>149</v>
      </c>
      <c r="AT28" s="9" t="s">
        <v>150</v>
      </c>
      <c r="AU28" s="9" t="s">
        <v>151</v>
      </c>
      <c r="AV28" s="9" t="s">
        <v>152</v>
      </c>
      <c r="AW28" s="9" t="s">
        <v>153</v>
      </c>
      <c r="AX28" s="9" t="s">
        <v>154</v>
      </c>
    </row>
    <row r="29" spans="1:50">
      <c r="A29" s="9">
        <v>27</v>
      </c>
      <c r="B29" s="1">
        <v>1249</v>
      </c>
      <c r="C29" s="1">
        <v>49.4</v>
      </c>
      <c r="D29" s="1">
        <v>12.9</v>
      </c>
      <c r="E29" s="1">
        <v>8.1</v>
      </c>
      <c r="F29" s="1">
        <v>16.600000000000001</v>
      </c>
      <c r="AN29" s="9" t="s">
        <v>156</v>
      </c>
      <c r="AO29" s="9">
        <f>MIN($E$3:$E$52)</f>
        <v>3.8</v>
      </c>
      <c r="AQ29" s="9">
        <v>1</v>
      </c>
      <c r="AR29" s="9">
        <f>AO29</f>
        <v>3.8</v>
      </c>
      <c r="AS29" s="9">
        <f>AR29+$AO$31</f>
        <v>4.9896550462477984</v>
      </c>
      <c r="AT29" s="9">
        <f>COUNTIFS($E$2:$E$52, "&gt;="&amp;AR29, $E$2:$E$52, "&lt;="&amp;AS29)</f>
        <v>4</v>
      </c>
      <c r="AU29" s="34">
        <f>50 * (_xlfn.NORM.S.DIST((AS29- $AO$32)/$AO$33, TRUE) - _xlfn.NORM.S.DIST((AR29-$AO$32)/$AO$33, TRUE))</f>
        <v>4.1604977239924317</v>
      </c>
      <c r="AV29" s="9">
        <f>(AT29-AU29)^2/AU29</f>
        <v>6.1914513877036398E-3</v>
      </c>
      <c r="AW29" s="9">
        <f>AS29</f>
        <v>4.9896550462477984</v>
      </c>
      <c r="AX29" s="9">
        <f>AT29</f>
        <v>4</v>
      </c>
    </row>
    <row r="30" spans="1:50">
      <c r="A30" s="9">
        <v>28</v>
      </c>
      <c r="B30" s="1">
        <v>1089</v>
      </c>
      <c r="C30" s="1">
        <v>47</v>
      </c>
      <c r="D30" s="1">
        <v>10.4</v>
      </c>
      <c r="E30" s="1">
        <v>8.6999999999999993</v>
      </c>
      <c r="F30" s="1">
        <v>13.2</v>
      </c>
      <c r="AN30" s="9" t="s">
        <v>157</v>
      </c>
      <c r="AO30" s="9">
        <f>MAX($E$3:$E$52)</f>
        <v>11.7</v>
      </c>
      <c r="AQ30" s="9">
        <v>2</v>
      </c>
      <c r="AR30" s="9">
        <f>AS29</f>
        <v>4.9896550462477984</v>
      </c>
      <c r="AS30" s="9">
        <f t="shared" ref="AS30:AS34" si="20">AR30+$AO$31</f>
        <v>6.179310092495597</v>
      </c>
      <c r="AT30" s="9">
        <f t="shared" ref="AT30:AT35" si="21">COUNTIFS($E$2:$E$52, "&gt;="&amp;AR30, $E$2:$E$52, "&lt;="&amp;AS30)</f>
        <v>10</v>
      </c>
      <c r="AU30" s="34">
        <f t="shared" ref="AU30:AU34" si="22">50 * (_xlfn.NORM.S.DIST((AS30- $AO$32)/$AO$33, TRUE) - _xlfn.NORM.S.DIST((AR30-$AO$32)/$AO$33, TRUE))</f>
        <v>10.014064510709774</v>
      </c>
      <c r="AV30" s="9">
        <f t="shared" ref="AV30:AV34" si="23">(AT30-AU30)^2/AU30</f>
        <v>1.9753264151015174E-5</v>
      </c>
      <c r="AW30" s="9">
        <f t="shared" ref="AW30:AW35" si="24">AS30</f>
        <v>6.179310092495597</v>
      </c>
      <c r="AX30" s="9">
        <f t="shared" ref="AX30:AX35" si="25">AT30</f>
        <v>10</v>
      </c>
    </row>
    <row r="31" spans="1:50">
      <c r="A31" s="9">
        <v>29</v>
      </c>
      <c r="B31" s="1">
        <v>1045</v>
      </c>
      <c r="C31" s="1">
        <v>39.799999999999997</v>
      </c>
      <c r="D31" s="1">
        <v>13</v>
      </c>
      <c r="E31" s="1">
        <v>6.3</v>
      </c>
      <c r="F31" s="1">
        <v>11.5</v>
      </c>
      <c r="AN31" s="9" t="s">
        <v>158</v>
      </c>
      <c r="AO31" s="9">
        <f>(AO30-AO29)/$AO$2</f>
        <v>1.1896550462477986</v>
      </c>
      <c r="AQ31" s="9">
        <v>3</v>
      </c>
      <c r="AR31" s="9">
        <f t="shared" ref="AR31:AR35" si="26">AS30</f>
        <v>6.179310092495597</v>
      </c>
      <c r="AS31" s="9">
        <f t="shared" si="20"/>
        <v>7.3689651387433956</v>
      </c>
      <c r="AT31" s="9">
        <f t="shared" si="21"/>
        <v>17</v>
      </c>
      <c r="AU31" s="34">
        <f t="shared" si="22"/>
        <v>14.293176402134591</v>
      </c>
      <c r="AV31" s="9">
        <f t="shared" si="23"/>
        <v>0.51261481589682278</v>
      </c>
      <c r="AW31" s="9">
        <f t="shared" si="24"/>
        <v>7.3689651387433956</v>
      </c>
      <c r="AX31" s="9">
        <f t="shared" si="25"/>
        <v>17</v>
      </c>
    </row>
    <row r="32" spans="1:50">
      <c r="A32" s="9">
        <v>30</v>
      </c>
      <c r="B32" s="1">
        <v>1245</v>
      </c>
      <c r="C32" s="1">
        <v>50.4</v>
      </c>
      <c r="D32" s="1">
        <v>11.6</v>
      </c>
      <c r="E32" s="1">
        <v>8.6</v>
      </c>
      <c r="F32" s="1">
        <v>14.3</v>
      </c>
      <c r="AN32" s="9" t="s">
        <v>159</v>
      </c>
      <c r="AO32" s="9">
        <f>AVERAGE($E$3:$E$52)</f>
        <v>6.99</v>
      </c>
      <c r="AQ32" s="9">
        <v>4</v>
      </c>
      <c r="AR32" s="9">
        <f t="shared" si="26"/>
        <v>7.3689651387433956</v>
      </c>
      <c r="AS32" s="9">
        <f t="shared" si="20"/>
        <v>8.5586201849911951</v>
      </c>
      <c r="AT32" s="9">
        <f t="shared" si="21"/>
        <v>9</v>
      </c>
      <c r="AU32" s="34">
        <f t="shared" si="22"/>
        <v>12.103289878358403</v>
      </c>
      <c r="AV32" s="9">
        <f t="shared" si="23"/>
        <v>0.79568515386395966</v>
      </c>
      <c r="AW32" s="9">
        <f t="shared" si="24"/>
        <v>8.5586201849911951</v>
      </c>
      <c r="AX32" s="9">
        <f t="shared" si="25"/>
        <v>9</v>
      </c>
    </row>
    <row r="33" spans="1:50">
      <c r="A33" s="9">
        <v>31</v>
      </c>
      <c r="B33" s="1">
        <v>284</v>
      </c>
      <c r="C33" s="1">
        <v>26.6</v>
      </c>
      <c r="D33" s="1">
        <v>7.5</v>
      </c>
      <c r="E33" s="1">
        <v>6.3</v>
      </c>
      <c r="F33" s="1">
        <v>8.4</v>
      </c>
      <c r="AN33" s="9" t="s">
        <v>160</v>
      </c>
      <c r="AO33" s="9">
        <f>STDEV($E$3:$E$52)</f>
        <v>1.6093159910917674</v>
      </c>
      <c r="AQ33" s="9">
        <v>5</v>
      </c>
      <c r="AR33" s="9">
        <f t="shared" si="26"/>
        <v>8.5586201849911951</v>
      </c>
      <c r="AS33" s="9">
        <f t="shared" si="20"/>
        <v>9.7482752312389938</v>
      </c>
      <c r="AT33" s="9">
        <f t="shared" si="21"/>
        <v>8</v>
      </c>
      <c r="AU33" s="34">
        <f t="shared" si="22"/>
        <v>6.0790923108265176</v>
      </c>
      <c r="AV33" s="9">
        <f t="shared" si="23"/>
        <v>0.6069798189697384</v>
      </c>
      <c r="AW33" s="9">
        <f t="shared" si="24"/>
        <v>9.7482752312389938</v>
      </c>
      <c r="AX33" s="9">
        <f t="shared" si="25"/>
        <v>8</v>
      </c>
    </row>
    <row r="34" spans="1:50">
      <c r="A34" s="9">
        <v>32</v>
      </c>
      <c r="B34" s="1">
        <v>467</v>
      </c>
      <c r="C34" s="1">
        <v>20.8</v>
      </c>
      <c r="D34" s="1">
        <v>9.1999999999999993</v>
      </c>
      <c r="E34" s="1">
        <v>6.7</v>
      </c>
      <c r="F34" s="1">
        <v>9.3000000000000007</v>
      </c>
      <c r="AQ34" s="9">
        <v>6</v>
      </c>
      <c r="AR34" s="9">
        <f t="shared" si="26"/>
        <v>9.7482752312389938</v>
      </c>
      <c r="AS34" s="9">
        <f t="shared" si="20"/>
        <v>10.937930277486792</v>
      </c>
      <c r="AT34" s="9">
        <f t="shared" si="21"/>
        <v>1</v>
      </c>
      <c r="AU34" s="34">
        <f t="shared" si="22"/>
        <v>1.8094760080355654</v>
      </c>
      <c r="AV34" s="9">
        <f t="shared" si="23"/>
        <v>0.3621221860225492</v>
      </c>
      <c r="AW34" s="9">
        <f t="shared" si="24"/>
        <v>10.937930277486792</v>
      </c>
      <c r="AX34" s="9">
        <f t="shared" si="25"/>
        <v>1</v>
      </c>
    </row>
    <row r="35" spans="1:50">
      <c r="A35" s="9">
        <v>33</v>
      </c>
      <c r="B35" s="1">
        <v>292</v>
      </c>
      <c r="C35" s="1">
        <v>15.7</v>
      </c>
      <c r="D35" s="1">
        <v>6.8</v>
      </c>
      <c r="E35" s="1">
        <v>6.7</v>
      </c>
      <c r="F35" s="1">
        <v>8.9</v>
      </c>
      <c r="AQ35" s="9">
        <v>7</v>
      </c>
      <c r="AR35" s="9">
        <f t="shared" si="26"/>
        <v>10.937930277486792</v>
      </c>
      <c r="AS35" s="9">
        <f>AO30</f>
        <v>11.7</v>
      </c>
      <c r="AT35" s="9">
        <f t="shared" si="21"/>
        <v>1</v>
      </c>
      <c r="AU35" s="34">
        <f>50 * (_xlfn.NORM.S.DIST((AS35- $AO$32)/$AO$33, TRUE) - _xlfn.NORM.S.DIST((AR35-$AO$32)/$AO$33, TRUE))</f>
        <v>0.26836346388375287</v>
      </c>
      <c r="AV35" s="9">
        <f>(AT35-AU35)^2/AU35</f>
        <v>1.9946531216784908</v>
      </c>
      <c r="AW35" s="9">
        <f t="shared" si="24"/>
        <v>11.7</v>
      </c>
      <c r="AX35" s="9">
        <f t="shared" si="25"/>
        <v>1</v>
      </c>
    </row>
    <row r="36" spans="1:50">
      <c r="A36" s="9">
        <v>34</v>
      </c>
      <c r="B36" s="1">
        <v>332</v>
      </c>
      <c r="C36" s="1">
        <v>24.9</v>
      </c>
      <c r="D36" s="1">
        <v>8.5</v>
      </c>
      <c r="E36" s="1">
        <v>5.2</v>
      </c>
      <c r="F36" s="1">
        <v>10.4</v>
      </c>
      <c r="AU36" s="10">
        <f>SUM(AU29:AU35)</f>
        <v>48.727960297941038</v>
      </c>
      <c r="AV36" s="7">
        <f>SUM(AV29:AV35)</f>
        <v>4.2782663010834154</v>
      </c>
    </row>
    <row r="37" spans="1:50">
      <c r="A37" s="9">
        <v>35</v>
      </c>
      <c r="B37" s="1">
        <v>290</v>
      </c>
      <c r="C37" s="1">
        <v>13.1</v>
      </c>
      <c r="D37" s="1">
        <v>8</v>
      </c>
      <c r="E37" s="1">
        <v>5.6</v>
      </c>
      <c r="F37" s="1">
        <v>7.7</v>
      </c>
      <c r="AN37" s="9" t="s">
        <v>155</v>
      </c>
      <c r="AO37" s="9">
        <v>6.6405804143955818</v>
      </c>
      <c r="AQ37" s="9" t="s">
        <v>64</v>
      </c>
      <c r="AR37" s="9" t="s">
        <v>148</v>
      </c>
      <c r="AS37" s="9" t="s">
        <v>149</v>
      </c>
      <c r="AT37" s="9" t="s">
        <v>150</v>
      </c>
      <c r="AU37" s="9" t="s">
        <v>151</v>
      </c>
      <c r="AV37" s="9" t="s">
        <v>152</v>
      </c>
      <c r="AW37" s="9" t="s">
        <v>153</v>
      </c>
      <c r="AX37" s="9" t="s">
        <v>154</v>
      </c>
    </row>
    <row r="38" spans="1:50">
      <c r="A38" s="9">
        <v>36</v>
      </c>
      <c r="B38" s="1">
        <v>263</v>
      </c>
      <c r="C38" s="1">
        <v>7.3</v>
      </c>
      <c r="D38" s="1">
        <v>8.6</v>
      </c>
      <c r="E38" s="1">
        <v>5</v>
      </c>
      <c r="F38" s="1">
        <v>8.6999999999999993</v>
      </c>
      <c r="AN38" s="9" t="s">
        <v>156</v>
      </c>
      <c r="AO38" s="9">
        <f>MIN($F$3:$F$52)</f>
        <v>5.5</v>
      </c>
      <c r="AQ38" s="9">
        <v>1</v>
      </c>
      <c r="AR38" s="9">
        <f>AO38</f>
        <v>5.5</v>
      </c>
      <c r="AS38" s="9">
        <f>AR38+$AO$40</f>
        <v>8.0600171881281746</v>
      </c>
      <c r="AT38" s="9">
        <f>COUNTIFS($F$2:$F$52, "&gt;="&amp;AR38, $F$2:$F$52, "&lt;="&amp;AS38)</f>
        <v>4</v>
      </c>
      <c r="AU38" s="34">
        <f>50 * (_xlfn.NORM.S.DIST((AS38- $AO$41)/$AO$42, TRUE) - _xlfn.NORM.S.DIST((AR38-$AO$41)/$AO$42, TRUE))</f>
        <v>4.5764066666180163</v>
      </c>
      <c r="AV38" s="9">
        <f>(AT38-AU38)^2/AU38</f>
        <v>7.259945837969492E-2</v>
      </c>
      <c r="AW38" s="9">
        <f>AS38</f>
        <v>8.0600171881281746</v>
      </c>
      <c r="AX38" s="9">
        <f>AT38</f>
        <v>4</v>
      </c>
    </row>
    <row r="39" spans="1:50">
      <c r="A39" s="9">
        <v>37</v>
      </c>
      <c r="B39" s="1">
        <v>323</v>
      </c>
      <c r="C39" s="1">
        <v>35.700000000000003</v>
      </c>
      <c r="D39" s="1">
        <v>10.199999999999999</v>
      </c>
      <c r="E39" s="1">
        <v>3.8</v>
      </c>
      <c r="F39" s="1">
        <v>10.3</v>
      </c>
      <c r="AN39" s="9" t="s">
        <v>157</v>
      </c>
      <c r="AO39" s="9">
        <f>MAX($F$3:$F$52)</f>
        <v>22.5</v>
      </c>
      <c r="AQ39" s="9">
        <v>2</v>
      </c>
      <c r="AR39" s="9">
        <f>AS38</f>
        <v>8.0600171881281746</v>
      </c>
      <c r="AS39" s="9">
        <f t="shared" ref="AS39:AS43" si="27">AR39+$AO$40</f>
        <v>10.620034376256349</v>
      </c>
      <c r="AT39" s="9">
        <f t="shared" ref="AT39:AT43" si="28">COUNTIFS($F$2:$F$52, "&gt;="&amp;AR39, $F$2:$F$52, "&lt;="&amp;AS39)</f>
        <v>15</v>
      </c>
      <c r="AU39" s="34">
        <f t="shared" ref="AU39:AU44" si="29">50 * (_xlfn.NORM.S.DIST((AS39- $AO$41)/$AO$42, TRUE) - _xlfn.NORM.S.DIST((AR39-$AO$41)/$AO$42, TRUE))</f>
        <v>9.6304992450877283</v>
      </c>
      <c r="AV39" s="9">
        <f t="shared" ref="AV39:AV43" si="30">(AT39-AU39)^2/AU39</f>
        <v>2.9937740114262184</v>
      </c>
      <c r="AW39" s="9">
        <f t="shared" ref="AW39:AW44" si="31">AS39</f>
        <v>10.620034376256349</v>
      </c>
      <c r="AX39" s="9">
        <f t="shared" ref="AX39:AX44" si="32">AT39</f>
        <v>15</v>
      </c>
    </row>
    <row r="40" spans="1:50">
      <c r="A40" s="9">
        <v>38</v>
      </c>
      <c r="B40" s="1">
        <v>367</v>
      </c>
      <c r="C40" s="1">
        <v>30</v>
      </c>
      <c r="D40" s="1">
        <v>6.5</v>
      </c>
      <c r="E40" s="1">
        <v>6.7</v>
      </c>
      <c r="F40" s="1">
        <v>10</v>
      </c>
      <c r="AN40" s="9" t="s">
        <v>158</v>
      </c>
      <c r="AO40" s="9">
        <f>(AO39-AO38)/$AO$2</f>
        <v>2.5600171881281746</v>
      </c>
      <c r="AQ40" s="9">
        <v>3</v>
      </c>
      <c r="AR40" s="9">
        <f t="shared" ref="AR40:AR44" si="33">AS39</f>
        <v>10.620034376256349</v>
      </c>
      <c r="AS40" s="9">
        <f t="shared" si="27"/>
        <v>13.180051564384524</v>
      </c>
      <c r="AT40" s="9">
        <f t="shared" si="28"/>
        <v>10</v>
      </c>
      <c r="AU40" s="34">
        <f t="shared" si="29"/>
        <v>13.081494260293509</v>
      </c>
      <c r="AV40" s="9">
        <f t="shared" si="30"/>
        <v>0.72588090376219649</v>
      </c>
      <c r="AW40" s="9">
        <f t="shared" si="31"/>
        <v>13.180051564384524</v>
      </c>
      <c r="AX40" s="9">
        <f t="shared" si="32"/>
        <v>10</v>
      </c>
    </row>
    <row r="41" spans="1:50">
      <c r="A41" s="9">
        <v>39</v>
      </c>
      <c r="B41" s="1">
        <v>249</v>
      </c>
      <c r="C41" s="1">
        <v>17.2</v>
      </c>
      <c r="D41" s="1">
        <v>7.1</v>
      </c>
      <c r="E41" s="1">
        <v>5.2</v>
      </c>
      <c r="F41" s="1">
        <v>8.6999999999999993</v>
      </c>
      <c r="AN41" s="9" t="s">
        <v>159</v>
      </c>
      <c r="AO41" s="9">
        <f>AVERAGE($F$3:$F$52)</f>
        <v>12.412000000000001</v>
      </c>
      <c r="AQ41" s="9">
        <v>4</v>
      </c>
      <c r="AR41" s="9">
        <f t="shared" si="33"/>
        <v>13.180051564384524</v>
      </c>
      <c r="AS41" s="9">
        <f t="shared" si="27"/>
        <v>15.740068752512698</v>
      </c>
      <c r="AT41" s="9">
        <f t="shared" si="28"/>
        <v>15</v>
      </c>
      <c r="AU41" s="34">
        <f t="shared" si="29"/>
        <v>11.472331930038271</v>
      </c>
      <c r="AV41" s="9">
        <f t="shared" si="30"/>
        <v>1.0847351774440854</v>
      </c>
      <c r="AW41" s="9">
        <f t="shared" si="31"/>
        <v>15.740068752512698</v>
      </c>
      <c r="AX41" s="9">
        <f t="shared" si="32"/>
        <v>15</v>
      </c>
    </row>
    <row r="42" spans="1:50">
      <c r="A42" s="9">
        <v>40</v>
      </c>
      <c r="B42" s="1">
        <v>214</v>
      </c>
      <c r="C42" s="1">
        <v>18.8</v>
      </c>
      <c r="D42" s="1">
        <v>10</v>
      </c>
      <c r="E42" s="1">
        <v>4.7</v>
      </c>
      <c r="F42" s="1">
        <v>5.5</v>
      </c>
      <c r="AN42" s="9" t="s">
        <v>160</v>
      </c>
      <c r="AO42" s="9">
        <f>STDEV($F$3:$F$52)</f>
        <v>3.797563128413493</v>
      </c>
      <c r="AQ42" s="9">
        <v>5</v>
      </c>
      <c r="AR42" s="9">
        <f t="shared" si="33"/>
        <v>15.740068752512698</v>
      </c>
      <c r="AS42" s="9">
        <f t="shared" si="27"/>
        <v>18.300085940640873</v>
      </c>
      <c r="AT42" s="9">
        <f t="shared" si="28"/>
        <v>2</v>
      </c>
      <c r="AU42" s="34">
        <f t="shared" si="29"/>
        <v>6.4951337492833163</v>
      </c>
      <c r="AV42" s="9">
        <f t="shared" si="30"/>
        <v>3.1109794199658278</v>
      </c>
      <c r="AW42" s="9">
        <f t="shared" si="31"/>
        <v>18.300085940640873</v>
      </c>
      <c r="AX42" s="9">
        <f t="shared" si="32"/>
        <v>2</v>
      </c>
    </row>
    <row r="43" spans="1:50">
      <c r="A43" s="9">
        <v>41</v>
      </c>
      <c r="B43" s="1">
        <v>451</v>
      </c>
      <c r="C43" s="1">
        <v>20.7</v>
      </c>
      <c r="D43" s="1">
        <v>7.9</v>
      </c>
      <c r="E43" s="1">
        <v>4.9000000000000004</v>
      </c>
      <c r="F43" s="1">
        <v>9.5</v>
      </c>
      <c r="AQ43" s="9">
        <v>6</v>
      </c>
      <c r="AR43" s="9">
        <f t="shared" si="33"/>
        <v>18.300085940640873</v>
      </c>
      <c r="AS43" s="9">
        <f t="shared" si="27"/>
        <v>20.860103128769047</v>
      </c>
      <c r="AT43" s="9">
        <f t="shared" si="28"/>
        <v>1</v>
      </c>
      <c r="AU43" s="34">
        <f t="shared" si="29"/>
        <v>2.3729121688063568</v>
      </c>
      <c r="AV43" s="9">
        <f t="shared" si="30"/>
        <v>0.79433526787665609</v>
      </c>
      <c r="AW43" s="9">
        <f t="shared" si="31"/>
        <v>20.860103128769047</v>
      </c>
      <c r="AX43" s="9">
        <f t="shared" si="32"/>
        <v>1</v>
      </c>
    </row>
    <row r="44" spans="1:50">
      <c r="A44" s="9">
        <v>42</v>
      </c>
      <c r="B44" s="1">
        <v>421</v>
      </c>
      <c r="C44" s="1">
        <v>24.3</v>
      </c>
      <c r="D44" s="1">
        <v>5.9</v>
      </c>
      <c r="E44" s="1">
        <v>6.4</v>
      </c>
      <c r="F44" s="1">
        <v>11.8</v>
      </c>
      <c r="AQ44" s="9">
        <v>7</v>
      </c>
      <c r="AR44" s="9">
        <f t="shared" si="33"/>
        <v>20.860103128769047</v>
      </c>
      <c r="AS44" s="9">
        <v>22.5</v>
      </c>
      <c r="AT44" s="9">
        <f>COUNTIFS($F$2:$F$52, "&gt;="&amp;AR44, $F$2:$F$52, "&lt;="&amp;AS44)</f>
        <v>3</v>
      </c>
      <c r="AU44" s="34">
        <f t="shared" si="29"/>
        <v>0.45525697885381855</v>
      </c>
      <c r="AV44" s="9">
        <f>(AT44-AU44)^2/AU44</f>
        <v>14.224311420718546</v>
      </c>
      <c r="AW44" s="9">
        <f t="shared" si="31"/>
        <v>22.5</v>
      </c>
      <c r="AX44" s="9">
        <f t="shared" si="32"/>
        <v>3</v>
      </c>
    </row>
    <row r="45" spans="1:50">
      <c r="A45" s="9">
        <v>43</v>
      </c>
      <c r="B45" s="1">
        <v>236</v>
      </c>
      <c r="C45" s="1">
        <v>23.6</v>
      </c>
      <c r="D45" s="1">
        <v>5.7</v>
      </c>
      <c r="E45" s="1">
        <v>7.1</v>
      </c>
      <c r="F45" s="1">
        <v>6.7</v>
      </c>
      <c r="AU45" s="10">
        <f>SUM(AU38:AU44)</f>
        <v>48.084034998981018</v>
      </c>
      <c r="AV45" s="7">
        <f>SUM(AV38:AV44)</f>
        <v>23.006615659573225</v>
      </c>
    </row>
    <row r="46" spans="1:50">
      <c r="A46" s="9">
        <v>44</v>
      </c>
      <c r="B46" s="1">
        <v>418</v>
      </c>
      <c r="C46" s="1">
        <v>15.4</v>
      </c>
      <c r="D46" s="1">
        <v>6.8</v>
      </c>
      <c r="E46" s="1">
        <v>5</v>
      </c>
      <c r="F46" s="1">
        <v>10.6</v>
      </c>
    </row>
    <row r="47" spans="1:50">
      <c r="A47" s="9">
        <v>45</v>
      </c>
      <c r="B47" s="1">
        <v>272</v>
      </c>
      <c r="C47" s="1">
        <v>6.4</v>
      </c>
      <c r="D47" s="1">
        <v>6.1</v>
      </c>
      <c r="E47" s="1">
        <v>5.2</v>
      </c>
      <c r="F47" s="1">
        <v>9.1999999999999993</v>
      </c>
    </row>
    <row r="48" spans="1:50">
      <c r="A48" s="9">
        <v>46</v>
      </c>
      <c r="B48" s="1">
        <v>321</v>
      </c>
      <c r="C48" s="1">
        <v>17.7</v>
      </c>
      <c r="D48" s="1">
        <v>8</v>
      </c>
      <c r="E48" s="1">
        <v>6.3</v>
      </c>
      <c r="F48" s="1">
        <v>5.7</v>
      </c>
      <c r="AO48" s="1" t="s">
        <v>177</v>
      </c>
    </row>
    <row r="49" spans="1:42">
      <c r="A49" s="9">
        <v>47</v>
      </c>
      <c r="B49" s="1">
        <v>295</v>
      </c>
      <c r="C49" s="1">
        <v>15.5</v>
      </c>
      <c r="D49" s="1">
        <v>6.8</v>
      </c>
      <c r="E49" s="1">
        <v>6</v>
      </c>
      <c r="F49" s="1">
        <v>8.1</v>
      </c>
      <c r="AO49" s="1">
        <f>_xlfn.CHISQ.INV(0.95,4)</f>
        <v>9.4877290367811575</v>
      </c>
    </row>
    <row r="50" spans="1:42">
      <c r="A50" s="9">
        <v>48</v>
      </c>
      <c r="B50" s="1">
        <v>424</v>
      </c>
      <c r="C50" s="1">
        <v>22.9</v>
      </c>
      <c r="D50" s="1">
        <v>8.5</v>
      </c>
      <c r="E50" s="1">
        <v>6.6</v>
      </c>
      <c r="F50" s="1">
        <v>10.5</v>
      </c>
    </row>
    <row r="51" spans="1:42">
      <c r="A51" s="9">
        <v>49</v>
      </c>
      <c r="B51" s="1">
        <v>449</v>
      </c>
      <c r="C51" s="1">
        <v>27.7</v>
      </c>
      <c r="D51" s="1">
        <v>5.7</v>
      </c>
      <c r="E51" s="1">
        <v>7.7</v>
      </c>
      <c r="F51" s="1">
        <v>9.4</v>
      </c>
    </row>
    <row r="52" spans="1:42">
      <c r="A52" s="9">
        <v>50</v>
      </c>
      <c r="B52" s="1">
        <v>394</v>
      </c>
      <c r="C52" s="1">
        <v>31.4</v>
      </c>
      <c r="D52" s="1">
        <v>6.2</v>
      </c>
      <c r="E52" s="1">
        <v>5.3</v>
      </c>
      <c r="F52" s="1">
        <v>10.4</v>
      </c>
    </row>
    <row r="53" spans="1:42" ht="20.25">
      <c r="AN53" s="30" t="s">
        <v>176</v>
      </c>
    </row>
    <row r="54" spans="1:42" ht="18.75">
      <c r="B54" s="38" t="s">
        <v>129</v>
      </c>
      <c r="C54" s="38"/>
      <c r="D54" s="38"/>
      <c r="E54" s="38"/>
      <c r="F54" s="38"/>
      <c r="AN54" s="31"/>
    </row>
    <row r="55" spans="1:42" ht="23.25">
      <c r="B55" s="9" t="s">
        <v>60</v>
      </c>
      <c r="C55" s="9" t="s">
        <v>169</v>
      </c>
      <c r="D55" s="9" t="s">
        <v>170</v>
      </c>
      <c r="E55" s="9" t="s">
        <v>171</v>
      </c>
      <c r="F55" s="9" t="s">
        <v>172</v>
      </c>
      <c r="AN55" s="32" t="s">
        <v>174</v>
      </c>
      <c r="AP55" s="1" t="s">
        <v>128</v>
      </c>
    </row>
    <row r="56" spans="1:42" ht="18">
      <c r="B56" s="9">
        <f>AVERAGE(B3:B52)</f>
        <v>818.48</v>
      </c>
      <c r="C56" s="9">
        <f>AVERAGE(C3:C52)</f>
        <v>33.828000000000003</v>
      </c>
      <c r="D56" s="9">
        <f>AVERAGE(D3:D52)</f>
        <v>10.628000000000002</v>
      </c>
      <c r="E56" s="9">
        <f>AVERAGE(E3:E52)</f>
        <v>6.99</v>
      </c>
      <c r="F56" s="9">
        <f>AVERAGE(F3:F52)</f>
        <v>12.412000000000001</v>
      </c>
      <c r="AN56" s="33" t="s">
        <v>175</v>
      </c>
    </row>
    <row r="57" spans="1:42" ht="18.75">
      <c r="B57" s="38" t="s">
        <v>130</v>
      </c>
      <c r="C57" s="40"/>
      <c r="D57" s="40"/>
      <c r="E57" s="40"/>
      <c r="F57" s="40"/>
    </row>
    <row r="58" spans="1:42">
      <c r="B58" s="9">
        <f>MEDIAN(B3:B52)</f>
        <v>822.5</v>
      </c>
      <c r="C58" s="9">
        <f>MEDIAN(C3:C52)</f>
        <v>33.5</v>
      </c>
      <c r="D58" s="9">
        <f>MEDIAN(D3:D52)</f>
        <v>10.45</v>
      </c>
      <c r="E58" s="9">
        <f>MEDIAN(E3:E52)</f>
        <v>6.7</v>
      </c>
      <c r="F58" s="9">
        <f>MEDIAN(F3:F52)</f>
        <v>12.850000000000001</v>
      </c>
    </row>
    <row r="59" spans="1:42" ht="18.75">
      <c r="B59" s="38" t="s">
        <v>131</v>
      </c>
      <c r="C59" s="38"/>
      <c r="D59" s="38"/>
      <c r="E59" s="38"/>
      <c r="F59" s="38"/>
    </row>
    <row r="60" spans="1:42">
      <c r="B60" s="13">
        <f>VAR(B3:B52)</f>
        <v>245874.45877551023</v>
      </c>
      <c r="C60" s="13">
        <f>VAR(C3:C52)</f>
        <v>223.82124081632637</v>
      </c>
      <c r="D60" s="13">
        <f>VAR(D3:D52)</f>
        <v>11.141240816326473</v>
      </c>
      <c r="E60" s="13">
        <f>VAR(E3:E52)</f>
        <v>2.5898979591836775</v>
      </c>
      <c r="F60" s="13">
        <f>VAR(F3:F52)</f>
        <v>14.421485714285675</v>
      </c>
    </row>
    <row r="61" spans="1:42" ht="18.75">
      <c r="B61" s="38" t="s">
        <v>132</v>
      </c>
      <c r="C61" s="40"/>
      <c r="D61" s="40"/>
      <c r="E61" s="40"/>
      <c r="F61" s="40"/>
    </row>
    <row r="62" spans="1:42">
      <c r="B62" s="14">
        <f>STDEV(B3:B52)</f>
        <v>495.85729678558755</v>
      </c>
      <c r="C62" s="14">
        <f>STDEV(C3:C52)</f>
        <v>14.960656429994186</v>
      </c>
      <c r="D62" s="14">
        <f>STDEV(D3:D52)</f>
        <v>3.3378497294405678</v>
      </c>
      <c r="E62" s="14">
        <f>STDEV(E3:E52)</f>
        <v>1.6093159910917674</v>
      </c>
      <c r="F62" s="14">
        <f>STDEV(F3:F52)</f>
        <v>3.797563128413493</v>
      </c>
    </row>
    <row r="63" spans="1:42" ht="18.75">
      <c r="B63" s="38" t="s">
        <v>133</v>
      </c>
      <c r="C63" s="40"/>
      <c r="D63" s="40"/>
      <c r="E63" s="40"/>
      <c r="F63" s="40"/>
    </row>
    <row r="64" spans="1:42">
      <c r="B64" s="15">
        <f>SKEW(B3:B52)</f>
        <v>0.9184506600743102</v>
      </c>
      <c r="C64" s="15">
        <f>SKEW(C3:C52)</f>
        <v>0.52378630113194102</v>
      </c>
      <c r="D64" s="15">
        <f>SKEW(D3:D52)</f>
        <v>0.61349640090734792</v>
      </c>
      <c r="E64" s="15">
        <f>SKEW(E3:E52)</f>
        <v>0.52531702419366277</v>
      </c>
      <c r="F64" s="15">
        <f>SKEW(F3:F52)</f>
        <v>0.77010165391512686</v>
      </c>
    </row>
    <row r="65" spans="1:17" ht="18.75">
      <c r="B65" s="38" t="s">
        <v>134</v>
      </c>
      <c r="C65" s="40"/>
      <c r="D65" s="40"/>
      <c r="E65" s="40"/>
      <c r="F65" s="40"/>
    </row>
    <row r="66" spans="1:17">
      <c r="B66" s="15">
        <f>KURT(B3:B52)</f>
        <v>0.86039788342596246</v>
      </c>
      <c r="C66" s="15">
        <f>KURT(C3:C52)</f>
        <v>0.12429806875034899</v>
      </c>
      <c r="D66" s="15">
        <f>KURT(D3:D52)</f>
        <v>0.37195283339934671</v>
      </c>
      <c r="E66" s="15">
        <f>KURT(E3:E52)</f>
        <v>0.28952278722862612</v>
      </c>
      <c r="F66" s="15">
        <f>KURT(F3:F52)</f>
        <v>0.97673361349945331</v>
      </c>
    </row>
    <row r="67" spans="1:17" ht="18.75">
      <c r="B67" s="38" t="s">
        <v>135</v>
      </c>
      <c r="C67" s="39"/>
      <c r="D67" s="39"/>
      <c r="E67" s="39"/>
      <c r="F67" s="39"/>
    </row>
    <row r="68" spans="1:17">
      <c r="B68" s="15">
        <f>B62/B56*100%</f>
        <v>0.6058270168917842</v>
      </c>
      <c r="C68" s="15">
        <f t="shared" ref="C68:F68" si="34">C62/C56*100%</f>
        <v>0.44225660488335655</v>
      </c>
      <c r="D68" s="15">
        <f t="shared" si="34"/>
        <v>0.31406188647351968</v>
      </c>
      <c r="E68" s="15">
        <f t="shared" si="34"/>
        <v>0.23023118613616128</v>
      </c>
      <c r="F68" s="15">
        <f t="shared" si="34"/>
        <v>0.30595900164465784</v>
      </c>
    </row>
    <row r="69" spans="1:17" ht="15.75" thickBot="1"/>
    <row r="70" spans="1:17" ht="18.75">
      <c r="A70" s="1" t="s">
        <v>173</v>
      </c>
      <c r="B70" s="38" t="s">
        <v>136</v>
      </c>
      <c r="C70" s="38"/>
      <c r="D70" s="38"/>
      <c r="E70" s="38"/>
      <c r="F70" s="38"/>
      <c r="G70" s="9"/>
      <c r="L70" s="22"/>
      <c r="M70" s="22"/>
      <c r="N70" s="22"/>
      <c r="O70" s="22"/>
      <c r="P70" s="22"/>
      <c r="Q70" s="22"/>
    </row>
    <row r="71" spans="1:17">
      <c r="B71" s="16"/>
      <c r="C71" s="9" t="s">
        <v>60</v>
      </c>
      <c r="D71" s="9" t="s">
        <v>61</v>
      </c>
      <c r="E71" s="9" t="s">
        <v>62</v>
      </c>
      <c r="F71" s="9" t="s">
        <v>63</v>
      </c>
      <c r="G71" s="9" t="s">
        <v>64</v>
      </c>
      <c r="L71"/>
      <c r="M71"/>
      <c r="N71"/>
      <c r="O71"/>
      <c r="P71"/>
      <c r="Q71"/>
    </row>
    <row r="72" spans="1:17">
      <c r="B72" s="9" t="s">
        <v>60</v>
      </c>
      <c r="C72" s="5">
        <f>CORREL(B3:B52,B3:B52)</f>
        <v>0.99999999999999989</v>
      </c>
      <c r="D72" s="4">
        <f>CORREL(B3:B52,C3:C52)</f>
        <v>0.88271595586114304</v>
      </c>
      <c r="E72" s="4">
        <f>CORREL(B3:B52,D3:D52)</f>
        <v>0.91140501467170809</v>
      </c>
      <c r="F72" s="4">
        <f>CORREL(B3:B52,E3:E52)</f>
        <v>0.76014966900265202</v>
      </c>
      <c r="G72" s="4">
        <f>CORREL(B3:B52,F3:F52)</f>
        <v>0.93976218799559319</v>
      </c>
      <c r="I72" s="8"/>
      <c r="J72" s="8"/>
      <c r="K72" s="8"/>
      <c r="L72"/>
      <c r="M72"/>
      <c r="N72"/>
      <c r="O72"/>
      <c r="P72"/>
      <c r="Q72"/>
    </row>
    <row r="73" spans="1:17">
      <c r="B73" s="9" t="s">
        <v>61</v>
      </c>
      <c r="C73" s="4">
        <f>CORREL(B3:B52,C3:C52)</f>
        <v>0.88271595586114304</v>
      </c>
      <c r="D73" s="6">
        <f>CORREL(C3:C52,C3:C52)</f>
        <v>1</v>
      </c>
      <c r="E73" s="4">
        <f>CORREL(C3:C52,D3:D52)</f>
        <v>0.81448904287396717</v>
      </c>
      <c r="F73" s="4">
        <f>CORREL(C3:C52,E3:E52)</f>
        <v>0.71096226061107504</v>
      </c>
      <c r="G73" s="4">
        <f>CORREL(C3:C52,F3:F52)</f>
        <v>0.82867678060459571</v>
      </c>
      <c r="I73"/>
      <c r="J73"/>
      <c r="K73"/>
      <c r="L73"/>
      <c r="M73"/>
      <c r="N73"/>
      <c r="O73"/>
      <c r="P73"/>
      <c r="Q73"/>
    </row>
    <row r="74" spans="1:17">
      <c r="B74" s="9" t="s">
        <v>62</v>
      </c>
      <c r="C74" s="4">
        <f>CORREL(B3:B52,D3:D52)</f>
        <v>0.91140501467170809</v>
      </c>
      <c r="D74" s="4">
        <f>CORREL(C3:C52, D3:D52)</f>
        <v>0.81448904287396717</v>
      </c>
      <c r="E74" s="5">
        <f>CORREL(D3:D52,D3:D52)</f>
        <v>0.99999999999999989</v>
      </c>
      <c r="F74" s="4">
        <f>CORREL(D3:D52,E3:E52)</f>
        <v>0.5827793906550135</v>
      </c>
      <c r="G74" s="4">
        <f>CORREL(D3:D52,F3:F52)</f>
        <v>0.84359291379281198</v>
      </c>
      <c r="I74"/>
      <c r="J74"/>
      <c r="K74"/>
      <c r="L74"/>
      <c r="M74"/>
      <c r="N74"/>
      <c r="O74"/>
      <c r="P74"/>
      <c r="Q74"/>
    </row>
    <row r="75" spans="1:17" ht="15.75" thickBot="1">
      <c r="B75" s="9" t="s">
        <v>63</v>
      </c>
      <c r="C75" s="4">
        <f>CORREL(B3:B52,E3:E52)</f>
        <v>0.76014966900265202</v>
      </c>
      <c r="D75" s="4">
        <f>CORREL(C3:C52,E3:E52)</f>
        <v>0.71096226061107504</v>
      </c>
      <c r="E75" s="4">
        <f>CORREL(D3:D52,E3:E52)</f>
        <v>0.5827793906550135</v>
      </c>
      <c r="F75" s="5">
        <f>CORREL(E3:E52,E3:E52)</f>
        <v>1</v>
      </c>
      <c r="G75" s="4">
        <f>CORREL(E3:E52,F3:F52)</f>
        <v>0.67896987893319671</v>
      </c>
      <c r="I75"/>
      <c r="J75"/>
      <c r="K75"/>
      <c r="L75" s="21"/>
      <c r="M75" s="21"/>
      <c r="N75" s="21"/>
      <c r="O75" s="21"/>
      <c r="P75" s="21"/>
      <c r="Q75" s="21"/>
    </row>
    <row r="76" spans="1:17">
      <c r="B76" s="9" t="s">
        <v>64</v>
      </c>
      <c r="C76" s="4">
        <f>CORREL(B3:B52,F3:F52)</f>
        <v>0.93976218799559319</v>
      </c>
      <c r="D76" s="4">
        <f>CORREL(C3:C52,F3:F52)</f>
        <v>0.82867678060459571</v>
      </c>
      <c r="E76" s="4">
        <f>CORREL(D3:D52,F3:F52)</f>
        <v>0.84359291379281198</v>
      </c>
      <c r="F76" s="4">
        <f>CORREL(E3:E52,F3:F52)</f>
        <v>0.67896987893319671</v>
      </c>
      <c r="G76" s="5">
        <f>CORREL(F3:F52,F3:F52)</f>
        <v>1</v>
      </c>
      <c r="I76"/>
      <c r="J76"/>
      <c r="K76"/>
      <c r="L76"/>
      <c r="M76"/>
      <c r="N76"/>
    </row>
    <row r="77" spans="1:17">
      <c r="I77"/>
      <c r="J77"/>
      <c r="K77"/>
      <c r="L77"/>
      <c r="M77"/>
      <c r="N77"/>
    </row>
    <row r="78" spans="1:17" ht="22.5" customHeight="1">
      <c r="B78" s="38" t="s">
        <v>137</v>
      </c>
      <c r="C78" s="39"/>
      <c r="D78" s="39"/>
      <c r="E78" s="39"/>
      <c r="F78" s="39"/>
      <c r="G78" s="9"/>
    </row>
    <row r="79" spans="1:17">
      <c r="B79" s="9"/>
      <c r="C79" s="9" t="s">
        <v>60</v>
      </c>
      <c r="D79" s="9" t="s">
        <v>61</v>
      </c>
      <c r="E79" s="9" t="s">
        <v>62</v>
      </c>
      <c r="F79" s="9" t="s">
        <v>63</v>
      </c>
      <c r="G79" s="9" t="s">
        <v>64</v>
      </c>
    </row>
    <row r="80" spans="1:17">
      <c r="B80" s="16" t="s">
        <v>60</v>
      </c>
      <c r="C80" s="5">
        <v>1</v>
      </c>
      <c r="D80" s="4">
        <f>SQRT(48)*D72/SQRT(1-D72*D72)</f>
        <v>13.014567122737313</v>
      </c>
      <c r="E80" s="4">
        <f t="shared" ref="E80:G80" si="35">SQRT(48)*E72/SQRT(1-E72*E72)</f>
        <v>15.344442060776801</v>
      </c>
      <c r="F80" s="4">
        <f t="shared" si="35"/>
        <v>8.1054059187948031</v>
      </c>
      <c r="G80" s="4">
        <f t="shared" si="35"/>
        <v>19.0471387975143</v>
      </c>
    </row>
    <row r="81" spans="1:22">
      <c r="B81" s="16" t="s">
        <v>61</v>
      </c>
      <c r="C81" s="4">
        <f>SQRT(48)*C73/SQRT(1-C73*C73)</f>
        <v>13.014567122737313</v>
      </c>
      <c r="D81" s="5">
        <v>1</v>
      </c>
      <c r="E81" s="4">
        <f t="shared" ref="E81:G81" si="36">SQRT(48)*E73/SQRT(1-E73*E73)</f>
        <v>9.7262159260823076</v>
      </c>
      <c r="F81" s="4">
        <f t="shared" si="36"/>
        <v>7.0043796193610044</v>
      </c>
      <c r="G81" s="4">
        <f t="shared" si="36"/>
        <v>10.257208892070377</v>
      </c>
    </row>
    <row r="82" spans="1:22">
      <c r="B82" s="16" t="s">
        <v>62</v>
      </c>
      <c r="C82" s="4">
        <f t="shared" ref="C82:G82" si="37">SQRT(48)*C74/SQRT(1-C74*C74)</f>
        <v>15.344442060776801</v>
      </c>
      <c r="D82" s="4">
        <f t="shared" si="37"/>
        <v>9.7262159260823076</v>
      </c>
      <c r="E82" s="5">
        <v>1</v>
      </c>
      <c r="F82" s="4">
        <f t="shared" si="37"/>
        <v>4.9685736732921848</v>
      </c>
      <c r="G82" s="4">
        <f t="shared" si="37"/>
        <v>10.884107283070703</v>
      </c>
    </row>
    <row r="83" spans="1:22">
      <c r="B83" s="16" t="s">
        <v>63</v>
      </c>
      <c r="C83" s="4">
        <f t="shared" ref="C83:G83" si="38">SQRT(48)*C75/SQRT(1-C75*C75)</f>
        <v>8.1054059187948031</v>
      </c>
      <c r="D83" s="4">
        <f t="shared" si="38"/>
        <v>7.0043796193610044</v>
      </c>
      <c r="E83" s="4">
        <f t="shared" si="38"/>
        <v>4.9685736732921848</v>
      </c>
      <c r="F83" s="5">
        <v>1</v>
      </c>
      <c r="G83" s="4">
        <f t="shared" si="38"/>
        <v>6.4073254391401493</v>
      </c>
    </row>
    <row r="84" spans="1:22">
      <c r="B84" s="16" t="s">
        <v>64</v>
      </c>
      <c r="C84" s="4">
        <f t="shared" ref="C84:F84" si="39">SQRT(48)*C76/SQRT(1-C76*C76)</f>
        <v>19.0471387975143</v>
      </c>
      <c r="D84" s="4">
        <f t="shared" si="39"/>
        <v>10.257208892070377</v>
      </c>
      <c r="E84" s="4">
        <f t="shared" si="39"/>
        <v>10.884107283070703</v>
      </c>
      <c r="F84" s="4">
        <f t="shared" si="39"/>
        <v>6.4073254391401493</v>
      </c>
      <c r="G84" s="5">
        <v>1</v>
      </c>
    </row>
    <row r="86" spans="1:22">
      <c r="B86" t="s">
        <v>138</v>
      </c>
      <c r="C86" s="1">
        <f>_xlfn.T.INV(0.95,48)</f>
        <v>1.6772241961243386</v>
      </c>
    </row>
    <row r="87" spans="1:22">
      <c r="B87" s="1" t="s">
        <v>173</v>
      </c>
      <c r="C87" s="1">
        <f>_xlfn.T.INV(0.95,47)</f>
        <v>1.6779267216418594</v>
      </c>
      <c r="K87" s="37" t="s">
        <v>141</v>
      </c>
      <c r="L87" s="37"/>
      <c r="M87" s="37"/>
    </row>
    <row r="88" spans="1:22" ht="45">
      <c r="A88" s="28" t="s">
        <v>168</v>
      </c>
      <c r="B88" s="28">
        <v>1</v>
      </c>
      <c r="C88" s="28">
        <v>2</v>
      </c>
      <c r="D88" s="28">
        <v>3</v>
      </c>
      <c r="E88" s="28">
        <v>12</v>
      </c>
      <c r="F88" s="28">
        <v>23</v>
      </c>
      <c r="G88" s="28">
        <v>13</v>
      </c>
      <c r="H88" s="29" t="s">
        <v>139</v>
      </c>
      <c r="I88" s="29" t="s">
        <v>141</v>
      </c>
      <c r="J88" s="29" t="s">
        <v>167</v>
      </c>
      <c r="O88" s="18"/>
      <c r="P88" s="18"/>
      <c r="Q88" s="18"/>
      <c r="R88" s="18"/>
      <c r="S88" s="18"/>
      <c r="T88" s="18"/>
      <c r="U88" s="18"/>
      <c r="V88" s="19"/>
    </row>
    <row r="89" spans="1:22">
      <c r="A89" s="24">
        <v>1</v>
      </c>
      <c r="B89" s="25" t="s">
        <v>140</v>
      </c>
      <c r="C89" s="25" t="s">
        <v>61</v>
      </c>
      <c r="D89" s="25" t="s">
        <v>62</v>
      </c>
      <c r="E89" s="26">
        <f>D72</f>
        <v>0.88271595586114304</v>
      </c>
      <c r="F89" s="26">
        <f>E73</f>
        <v>0.81448904287396717</v>
      </c>
      <c r="G89" s="26">
        <f>E72</f>
        <v>0.91140501467170809</v>
      </c>
      <c r="H89" s="27">
        <f>(E89-G89*F89)/SQRT((1-G89*G89)*(1-F89*F89))</f>
        <v>0.58800719008876146</v>
      </c>
      <c r="I89" s="27">
        <f>SQRT(47)*H89/SQRT(1-H89*H89)</f>
        <v>4.9837989579319908</v>
      </c>
      <c r="J89" s="24">
        <f>SQRT((E89^2+G89^2-2*E89*F89*G89)/(1-F89^2))</f>
        <v>0.94297886111555762</v>
      </c>
      <c r="P89"/>
      <c r="Q89"/>
      <c r="R89"/>
      <c r="S89" s="20"/>
      <c r="T89" s="20"/>
      <c r="U89" s="20"/>
    </row>
    <row r="90" spans="1:22">
      <c r="A90" s="24">
        <v>2</v>
      </c>
      <c r="B90" s="25" t="s">
        <v>140</v>
      </c>
      <c r="C90" s="25" t="s">
        <v>61</v>
      </c>
      <c r="D90" s="25" t="s">
        <v>63</v>
      </c>
      <c r="E90" s="26">
        <f>D72</f>
        <v>0.88271595586114304</v>
      </c>
      <c r="F90" s="26">
        <f>F73</f>
        <v>0.71096226061107504</v>
      </c>
      <c r="G90" s="26">
        <f>F72</f>
        <v>0.76014966900265202</v>
      </c>
      <c r="H90" s="27">
        <f t="shared" ref="H90:H113" si="40">(E90-G90*F90)/SQRT((1-G90*G90)*(1-F90*F90))</f>
        <v>0.74909487301051925</v>
      </c>
      <c r="I90" s="27">
        <f>SQRT(47)*H90/SQRT(1-H90*H90)</f>
        <v>7.7521881074508956</v>
      </c>
      <c r="J90" s="24">
        <f t="shared" ref="J90:J113" si="41">SQRT((E90^2+G90^2-2*E90*F90*G90)/(1-F90^2))</f>
        <v>0.90262212802158281</v>
      </c>
      <c r="K90" s="23"/>
      <c r="L90"/>
      <c r="M90" s="37" t="s">
        <v>167</v>
      </c>
      <c r="N90" s="37"/>
      <c r="O90" s="37"/>
      <c r="P90" s="37"/>
      <c r="Q90" s="37"/>
      <c r="R90"/>
      <c r="S90" s="20"/>
      <c r="T90" s="20"/>
      <c r="U90" s="20"/>
    </row>
    <row r="91" spans="1:22">
      <c r="A91" s="24">
        <v>3</v>
      </c>
      <c r="B91" s="25" t="s">
        <v>140</v>
      </c>
      <c r="C91" s="25" t="s">
        <v>61</v>
      </c>
      <c r="D91" s="25" t="s">
        <v>64</v>
      </c>
      <c r="E91" s="26">
        <f>D72</f>
        <v>0.88271595586114304</v>
      </c>
      <c r="F91" s="26">
        <f>G73</f>
        <v>0.82867678060459571</v>
      </c>
      <c r="G91" s="26">
        <f>G72</f>
        <v>0.93976218799559319</v>
      </c>
      <c r="H91" s="27">
        <f>(E91-G91*F91)/SQRT((1-G91*G91)*(1-F91*F91))</f>
        <v>0.54333500956462866</v>
      </c>
      <c r="I91" s="27">
        <f t="shared" ref="I91:I113" si="42">SQRT(47)*H91/SQRT(1-H91*H91)</f>
        <v>4.4369818821210254</v>
      </c>
      <c r="J91" s="24">
        <f t="shared" si="41"/>
        <v>0.95793931143073596</v>
      </c>
      <c r="P91"/>
      <c r="Q91"/>
      <c r="R91"/>
      <c r="S91" s="20"/>
      <c r="T91" s="20"/>
      <c r="U91" s="20"/>
    </row>
    <row r="92" spans="1:22">
      <c r="A92" s="24">
        <v>4</v>
      </c>
      <c r="B92" s="25" t="s">
        <v>140</v>
      </c>
      <c r="C92" s="25" t="s">
        <v>62</v>
      </c>
      <c r="D92" s="25" t="s">
        <v>61</v>
      </c>
      <c r="E92" s="26">
        <f>E72</f>
        <v>0.91140501467170809</v>
      </c>
      <c r="F92" s="26">
        <f>D74</f>
        <v>0.81448904287396717</v>
      </c>
      <c r="G92" s="26">
        <f>C73</f>
        <v>0.88271595586114304</v>
      </c>
      <c r="H92" s="27">
        <f t="shared" si="40"/>
        <v>0.70587411437603409</v>
      </c>
      <c r="I92" s="27">
        <f t="shared" si="42"/>
        <v>6.8318145886687205</v>
      </c>
      <c r="J92" s="24">
        <f t="shared" si="41"/>
        <v>0.94297886111555729</v>
      </c>
      <c r="P92"/>
      <c r="Q92"/>
      <c r="R92"/>
      <c r="S92" s="20"/>
      <c r="T92" s="20"/>
      <c r="U92" s="20"/>
    </row>
    <row r="93" spans="1:22">
      <c r="A93" s="24">
        <v>5</v>
      </c>
      <c r="B93" s="25" t="s">
        <v>140</v>
      </c>
      <c r="C93" s="25" t="s">
        <v>62</v>
      </c>
      <c r="D93" s="25" t="s">
        <v>63</v>
      </c>
      <c r="E93" s="26">
        <f>E72</f>
        <v>0.91140501467170809</v>
      </c>
      <c r="F93" s="26">
        <f>F74</f>
        <v>0.5827793906550135</v>
      </c>
      <c r="G93" s="26">
        <f>F72</f>
        <v>0.76014966900265202</v>
      </c>
      <c r="H93" s="27">
        <f t="shared" si="40"/>
        <v>0.88712315080125936</v>
      </c>
      <c r="I93" s="27">
        <f t="shared" si="42"/>
        <v>13.177416762151225</v>
      </c>
      <c r="J93" s="24">
        <f t="shared" si="41"/>
        <v>0.95397692738722384</v>
      </c>
      <c r="P93"/>
      <c r="Q93"/>
      <c r="R93"/>
      <c r="S93" s="20"/>
      <c r="T93" s="20"/>
      <c r="U93" s="20"/>
    </row>
    <row r="94" spans="1:22">
      <c r="A94" s="24">
        <v>6</v>
      </c>
      <c r="B94" s="25" t="s">
        <v>140</v>
      </c>
      <c r="C94" s="25" t="s">
        <v>62</v>
      </c>
      <c r="D94" s="25" t="s">
        <v>64</v>
      </c>
      <c r="E94" s="26">
        <f>E72</f>
        <v>0.91140501467170809</v>
      </c>
      <c r="F94" s="26">
        <f>G74</f>
        <v>0.84359291379281198</v>
      </c>
      <c r="G94" s="26">
        <f>G72</f>
        <v>0.93976218799559319</v>
      </c>
      <c r="H94" s="27">
        <f t="shared" si="40"/>
        <v>0.64627701666479043</v>
      </c>
      <c r="I94" s="27">
        <f t="shared" si="42"/>
        <v>5.8061004248419277</v>
      </c>
      <c r="J94" s="24">
        <f t="shared" si="41"/>
        <v>0.96537916609403973</v>
      </c>
      <c r="P94"/>
      <c r="Q94"/>
      <c r="R94"/>
      <c r="S94" s="20"/>
      <c r="T94" s="20"/>
      <c r="U94" s="20"/>
    </row>
    <row r="95" spans="1:22">
      <c r="A95" s="24">
        <v>7</v>
      </c>
      <c r="B95" s="25" t="s">
        <v>140</v>
      </c>
      <c r="C95" s="25" t="s">
        <v>63</v>
      </c>
      <c r="D95" s="25" t="s">
        <v>61</v>
      </c>
      <c r="E95" s="26">
        <f>F72</f>
        <v>0.76014966900265202</v>
      </c>
      <c r="F95" s="26">
        <f>D75</f>
        <v>0.71096226061107504</v>
      </c>
      <c r="G95" s="26">
        <f>D72</f>
        <v>0.88271595586114304</v>
      </c>
      <c r="H95" s="27">
        <f>(E95-G95*F95)/SQRT((1-G95*G95)*(1-F95*F95))</f>
        <v>0.4011827440102495</v>
      </c>
      <c r="I95" s="27">
        <f t="shared" si="42"/>
        <v>3.0025941213887664</v>
      </c>
      <c r="J95" s="24">
        <f t="shared" si="41"/>
        <v>0.90262212802158293</v>
      </c>
      <c r="P95"/>
      <c r="Q95"/>
      <c r="R95"/>
      <c r="S95" s="20"/>
      <c r="T95" s="20"/>
      <c r="U95" s="20"/>
    </row>
    <row r="96" spans="1:22">
      <c r="A96" s="24">
        <v>8</v>
      </c>
      <c r="B96" s="25" t="s">
        <v>140</v>
      </c>
      <c r="C96" s="25" t="s">
        <v>63</v>
      </c>
      <c r="D96" s="25" t="s">
        <v>62</v>
      </c>
      <c r="E96" s="26">
        <f>F72</f>
        <v>0.76014966900265202</v>
      </c>
      <c r="F96" s="26">
        <f>E75</f>
        <v>0.5827793906550135</v>
      </c>
      <c r="G96" s="26">
        <f>C74</f>
        <v>0.91140501467170809</v>
      </c>
      <c r="H96" s="27">
        <f t="shared" si="40"/>
        <v>0.68480123489849443</v>
      </c>
      <c r="I96" s="27">
        <f t="shared" si="42"/>
        <v>6.4423879542204192</v>
      </c>
      <c r="J96" s="24">
        <f t="shared" si="41"/>
        <v>0.95397692738722395</v>
      </c>
      <c r="P96"/>
      <c r="Q96"/>
      <c r="R96"/>
      <c r="S96" s="20"/>
      <c r="T96" s="20"/>
      <c r="U96" s="20"/>
    </row>
    <row r="97" spans="1:21">
      <c r="A97" s="24">
        <v>9</v>
      </c>
      <c r="B97" s="25" t="s">
        <v>140</v>
      </c>
      <c r="C97" s="25" t="s">
        <v>63</v>
      </c>
      <c r="D97" s="25" t="s">
        <v>64</v>
      </c>
      <c r="E97" s="26">
        <f>F72</f>
        <v>0.76014966900265202</v>
      </c>
      <c r="F97" s="26">
        <f>G75</f>
        <v>0.67896987893319671</v>
      </c>
      <c r="G97" s="26">
        <f>C76</f>
        <v>0.93976218799559319</v>
      </c>
      <c r="H97" s="27">
        <f t="shared" si="40"/>
        <v>0.48645131441989703</v>
      </c>
      <c r="I97" s="27">
        <f t="shared" si="42"/>
        <v>3.8169999521699038</v>
      </c>
      <c r="J97" s="24">
        <f t="shared" si="41"/>
        <v>0.95436002277123955</v>
      </c>
      <c r="P97"/>
      <c r="Q97"/>
      <c r="R97"/>
      <c r="S97" s="20"/>
      <c r="T97" s="20"/>
      <c r="U97" s="20"/>
    </row>
    <row r="98" spans="1:21">
      <c r="A98" s="24">
        <v>10</v>
      </c>
      <c r="B98" s="25" t="s">
        <v>140</v>
      </c>
      <c r="C98" s="25" t="s">
        <v>64</v>
      </c>
      <c r="D98" s="25" t="s">
        <v>61</v>
      </c>
      <c r="E98" s="26">
        <f>G72</f>
        <v>0.93976218799559319</v>
      </c>
      <c r="F98" s="26">
        <f>D76</f>
        <v>0.82867678060459571</v>
      </c>
      <c r="G98" s="26">
        <f>C73</f>
        <v>0.88271595586114304</v>
      </c>
      <c r="H98" s="27">
        <f t="shared" si="40"/>
        <v>0.79186420589593076</v>
      </c>
      <c r="I98" s="27">
        <f t="shared" si="42"/>
        <v>8.8894257548865898</v>
      </c>
      <c r="J98" s="24">
        <f t="shared" si="41"/>
        <v>0.95793931143073596</v>
      </c>
      <c r="P98"/>
      <c r="Q98"/>
      <c r="R98"/>
      <c r="S98" s="20"/>
      <c r="T98" s="20"/>
      <c r="U98" s="20"/>
    </row>
    <row r="99" spans="1:21">
      <c r="A99" s="24">
        <v>11</v>
      </c>
      <c r="B99" s="25" t="s">
        <v>140</v>
      </c>
      <c r="C99" s="25" t="s">
        <v>64</v>
      </c>
      <c r="D99" s="25" t="s">
        <v>62</v>
      </c>
      <c r="E99" s="26">
        <f>G72</f>
        <v>0.93976218799559319</v>
      </c>
      <c r="F99" s="26">
        <f>E76</f>
        <v>0.84359291379281198</v>
      </c>
      <c r="G99" s="26">
        <f>C74</f>
        <v>0.91140501467170809</v>
      </c>
      <c r="H99" s="27">
        <f>(E99-G99*F99)/SQRT((1-G99*G99)*(1-F99*F99))</f>
        <v>0.77342667728898584</v>
      </c>
      <c r="I99" s="27">
        <f t="shared" si="42"/>
        <v>8.3648290799694465</v>
      </c>
      <c r="J99" s="24">
        <f t="shared" si="41"/>
        <v>0.96537916609403973</v>
      </c>
      <c r="P99"/>
      <c r="Q99"/>
      <c r="R99"/>
      <c r="S99" s="20"/>
      <c r="T99" s="20"/>
      <c r="U99" s="20"/>
    </row>
    <row r="100" spans="1:21">
      <c r="A100" s="24">
        <v>12</v>
      </c>
      <c r="B100" s="25" t="s">
        <v>140</v>
      </c>
      <c r="C100" s="25" t="s">
        <v>64</v>
      </c>
      <c r="D100" s="25" t="s">
        <v>63</v>
      </c>
      <c r="E100" s="26">
        <f>G72</f>
        <v>0.93976218799559319</v>
      </c>
      <c r="F100" s="26">
        <f>F76</f>
        <v>0.67896987893319671</v>
      </c>
      <c r="G100" s="26">
        <f>C75</f>
        <v>0.76014966900265202</v>
      </c>
      <c r="H100" s="27">
        <f>(E100-G100*F100)/SQRT((1-G100*G100)*(1-F100*F100))</f>
        <v>0.88809863320447813</v>
      </c>
      <c r="I100" s="27">
        <f t="shared" si="42"/>
        <v>13.245858036124091</v>
      </c>
      <c r="J100" s="24">
        <f t="shared" si="41"/>
        <v>0.95436002277123966</v>
      </c>
      <c r="P100"/>
      <c r="Q100"/>
      <c r="R100"/>
      <c r="S100" s="20"/>
      <c r="T100" s="20"/>
      <c r="U100" s="20"/>
    </row>
    <row r="101" spans="1:21">
      <c r="A101" s="24"/>
      <c r="B101" s="25"/>
      <c r="C101" s="25"/>
      <c r="D101" s="25"/>
      <c r="E101" s="25"/>
      <c r="F101" s="25"/>
      <c r="G101" s="25"/>
      <c r="H101" s="27"/>
      <c r="I101" s="27"/>
      <c r="J101" s="24"/>
      <c r="P101"/>
      <c r="Q101"/>
      <c r="R101"/>
      <c r="S101"/>
      <c r="T101"/>
      <c r="U101"/>
    </row>
    <row r="102" spans="1:21">
      <c r="A102" s="24">
        <v>13</v>
      </c>
      <c r="B102" s="25" t="s">
        <v>61</v>
      </c>
      <c r="C102" s="25" t="s">
        <v>62</v>
      </c>
      <c r="D102" s="25" t="s">
        <v>140</v>
      </c>
      <c r="E102" s="26">
        <f>D74</f>
        <v>0.81448904287396717</v>
      </c>
      <c r="F102" s="26">
        <f>E72</f>
        <v>0.91140501467170809</v>
      </c>
      <c r="G102" s="26">
        <f>D72</f>
        <v>0.88271595586114304</v>
      </c>
      <c r="H102" s="27">
        <f t="shared" ref="H102:H107" si="43">(E102-G102*F102)/SQRT((1-G102*G102)*(1-F102*F102))</f>
        <v>5.1596468603127055E-2</v>
      </c>
      <c r="I102" s="27">
        <f t="shared" si="42"/>
        <v>0.35419935552884285</v>
      </c>
      <c r="J102" s="24">
        <f t="shared" si="41"/>
        <v>0.88304886892035916</v>
      </c>
      <c r="P102"/>
      <c r="Q102"/>
      <c r="R102"/>
      <c r="S102" s="20"/>
      <c r="T102" s="20"/>
      <c r="U102" s="20"/>
    </row>
    <row r="103" spans="1:21">
      <c r="A103" s="24">
        <v>14</v>
      </c>
      <c r="B103" s="25" t="s">
        <v>61</v>
      </c>
      <c r="C103" s="25" t="s">
        <v>63</v>
      </c>
      <c r="D103" s="25" t="s">
        <v>140</v>
      </c>
      <c r="E103" s="26">
        <f>D75</f>
        <v>0.71096226061107504</v>
      </c>
      <c r="F103" s="26">
        <f>F72</f>
        <v>0.76014966900265202</v>
      </c>
      <c r="G103" s="26">
        <f>D72</f>
        <v>0.88271595586114304</v>
      </c>
      <c r="H103" s="27">
        <f>(E103-G103*F103)/SQRT((1-G103*G103)*(1-F103*F103))</f>
        <v>0.13089831667820065</v>
      </c>
      <c r="I103" s="27">
        <f t="shared" si="42"/>
        <v>0.90518201472605087</v>
      </c>
      <c r="J103" s="24">
        <f t="shared" si="41"/>
        <v>0.88485645296965543</v>
      </c>
      <c r="P103"/>
      <c r="Q103"/>
      <c r="R103"/>
      <c r="S103" s="20"/>
      <c r="T103" s="20"/>
      <c r="U103" s="20"/>
    </row>
    <row r="104" spans="1:21">
      <c r="A104" s="24">
        <v>15</v>
      </c>
      <c r="B104" s="25" t="s">
        <v>61</v>
      </c>
      <c r="C104" s="25" t="s">
        <v>64</v>
      </c>
      <c r="D104" s="25" t="s">
        <v>140</v>
      </c>
      <c r="E104" s="26">
        <f>D76</f>
        <v>0.82867678060459571</v>
      </c>
      <c r="F104" s="26">
        <f>G72</f>
        <v>0.93976218799559319</v>
      </c>
      <c r="G104" s="26">
        <f>D72</f>
        <v>0.88271595586114304</v>
      </c>
      <c r="H104" s="27">
        <f t="shared" si="43"/>
        <v>-5.3931975811044378E-3</v>
      </c>
      <c r="I104" s="27">
        <f t="shared" si="42"/>
        <v>-3.697443754165116E-2</v>
      </c>
      <c r="J104" s="24">
        <f t="shared" si="41"/>
        <v>0.88271959387652121</v>
      </c>
      <c r="P104"/>
      <c r="Q104"/>
      <c r="R104"/>
      <c r="S104" s="20"/>
      <c r="T104" s="20"/>
      <c r="U104" s="20"/>
    </row>
    <row r="105" spans="1:21">
      <c r="A105" s="24">
        <v>16</v>
      </c>
      <c r="B105" s="25" t="s">
        <v>62</v>
      </c>
      <c r="C105" s="25" t="s">
        <v>61</v>
      </c>
      <c r="D105" s="25" t="s">
        <v>140</v>
      </c>
      <c r="E105" s="26">
        <f>E73</f>
        <v>0.81448904287396717</v>
      </c>
      <c r="F105" s="26">
        <f>D72</f>
        <v>0.88271595586114304</v>
      </c>
      <c r="G105" s="26">
        <f>E72</f>
        <v>0.91140501467170809</v>
      </c>
      <c r="H105" s="27">
        <f t="shared" si="43"/>
        <v>5.1596468603127055E-2</v>
      </c>
      <c r="I105" s="27">
        <f t="shared" si="42"/>
        <v>0.35419935552884285</v>
      </c>
      <c r="J105" s="24">
        <f t="shared" si="41"/>
        <v>0.91165230179102941</v>
      </c>
      <c r="P105"/>
      <c r="Q105"/>
      <c r="R105"/>
      <c r="S105" s="20"/>
      <c r="T105" s="20"/>
      <c r="U105" s="20"/>
    </row>
    <row r="106" spans="1:21">
      <c r="A106" s="24">
        <v>17</v>
      </c>
      <c r="B106" s="25" t="s">
        <v>62</v>
      </c>
      <c r="C106" s="25" t="s">
        <v>63</v>
      </c>
      <c r="D106" s="25" t="s">
        <v>140</v>
      </c>
      <c r="E106" s="26">
        <f>E75</f>
        <v>0.5827793906550135</v>
      </c>
      <c r="F106" s="26">
        <f>F72</f>
        <v>0.76014966900265202</v>
      </c>
      <c r="G106" s="26">
        <f>E72</f>
        <v>0.91140501467170809</v>
      </c>
      <c r="H106" s="27">
        <f t="shared" si="43"/>
        <v>-0.41149523777362484</v>
      </c>
      <c r="I106" s="27">
        <f t="shared" si="42"/>
        <v>-3.0952735965075027</v>
      </c>
      <c r="J106" s="24">
        <f t="shared" si="41"/>
        <v>0.92700232607936828</v>
      </c>
      <c r="P106"/>
      <c r="Q106"/>
      <c r="R106"/>
      <c r="S106" s="20"/>
      <c r="T106" s="20"/>
      <c r="U106" s="20"/>
    </row>
    <row r="107" spans="1:21">
      <c r="A107" s="24">
        <v>18</v>
      </c>
      <c r="B107" s="25" t="s">
        <v>62</v>
      </c>
      <c r="C107" s="25" t="s">
        <v>64</v>
      </c>
      <c r="D107" s="25" t="s">
        <v>140</v>
      </c>
      <c r="E107" s="26">
        <f>E76</f>
        <v>0.84359291379281198</v>
      </c>
      <c r="F107" s="26">
        <f>G72</f>
        <v>0.93976218799559319</v>
      </c>
      <c r="G107" s="26">
        <f>E72</f>
        <v>0.91140501467170809</v>
      </c>
      <c r="H107" s="27">
        <f t="shared" si="43"/>
        <v>-9.1785066469375079E-2</v>
      </c>
      <c r="I107" s="27">
        <f t="shared" si="42"/>
        <v>-0.63191412273428049</v>
      </c>
      <c r="J107" s="24">
        <f t="shared" si="41"/>
        <v>0.91218732336505337</v>
      </c>
      <c r="P107"/>
      <c r="Q107"/>
      <c r="R107"/>
      <c r="S107" s="20"/>
      <c r="T107" s="20"/>
      <c r="U107" s="20"/>
    </row>
    <row r="108" spans="1:21">
      <c r="A108" s="24">
        <v>19</v>
      </c>
      <c r="B108" s="25" t="s">
        <v>63</v>
      </c>
      <c r="C108" s="25" t="s">
        <v>61</v>
      </c>
      <c r="D108" s="25" t="s">
        <v>140</v>
      </c>
      <c r="E108" s="26">
        <f>F73</f>
        <v>0.71096226061107504</v>
      </c>
      <c r="F108" s="26">
        <f>D72</f>
        <v>0.88271595586114304</v>
      </c>
      <c r="G108" s="26">
        <f>F72</f>
        <v>0.76014966900265202</v>
      </c>
      <c r="H108" s="27">
        <f t="shared" si="40"/>
        <v>0.13089831667820065</v>
      </c>
      <c r="I108" s="27">
        <f t="shared" si="42"/>
        <v>0.90518201472605087</v>
      </c>
      <c r="J108" s="24">
        <f t="shared" si="41"/>
        <v>0.76489291961789663</v>
      </c>
      <c r="P108"/>
      <c r="Q108"/>
      <c r="R108"/>
      <c r="S108" s="20"/>
      <c r="T108" s="20"/>
      <c r="U108" s="20"/>
    </row>
    <row r="109" spans="1:21">
      <c r="A109" s="24">
        <v>20</v>
      </c>
      <c r="B109" s="25" t="s">
        <v>63</v>
      </c>
      <c r="C109" s="25" t="s">
        <v>62</v>
      </c>
      <c r="D109" s="25" t="s">
        <v>140</v>
      </c>
      <c r="E109" s="26">
        <f>F74</f>
        <v>0.5827793906550135</v>
      </c>
      <c r="F109" s="26">
        <f>E72</f>
        <v>0.91140501467170809</v>
      </c>
      <c r="G109" s="26">
        <f>F72</f>
        <v>0.76014966900265202</v>
      </c>
      <c r="H109" s="27">
        <f t="shared" si="40"/>
        <v>-0.41149523777362484</v>
      </c>
      <c r="I109" s="27">
        <f t="shared" si="42"/>
        <v>-3.0952735965075027</v>
      </c>
      <c r="J109" s="24">
        <f t="shared" si="41"/>
        <v>0.80579977706387806</v>
      </c>
      <c r="P109"/>
      <c r="Q109"/>
      <c r="R109"/>
      <c r="S109" s="20"/>
      <c r="T109" s="20"/>
      <c r="U109" s="20"/>
    </row>
    <row r="110" spans="1:21">
      <c r="A110" s="24">
        <v>21</v>
      </c>
      <c r="B110" s="25" t="s">
        <v>63</v>
      </c>
      <c r="C110" s="25" t="s">
        <v>64</v>
      </c>
      <c r="D110" s="25" t="s">
        <v>140</v>
      </c>
      <c r="E110" s="26">
        <f>G75</f>
        <v>0.67896987893319671</v>
      </c>
      <c r="F110" s="26">
        <f>G72</f>
        <v>0.93976218799559319</v>
      </c>
      <c r="G110" s="26">
        <f>F72</f>
        <v>0.76014966900265202</v>
      </c>
      <c r="H110" s="27">
        <f t="shared" si="40"/>
        <v>-0.15934088319263878</v>
      </c>
      <c r="I110" s="27">
        <f t="shared" si="42"/>
        <v>-1.1065234186114898</v>
      </c>
      <c r="J110" s="24">
        <f t="shared" si="41"/>
        <v>0.76716769658581774</v>
      </c>
      <c r="P110"/>
      <c r="Q110"/>
      <c r="R110"/>
      <c r="S110" s="20"/>
      <c r="T110" s="20"/>
      <c r="U110" s="20"/>
    </row>
    <row r="111" spans="1:21">
      <c r="A111" s="24">
        <v>22</v>
      </c>
      <c r="B111" s="25" t="s">
        <v>64</v>
      </c>
      <c r="C111" s="25" t="s">
        <v>61</v>
      </c>
      <c r="D111" s="25" t="s">
        <v>140</v>
      </c>
      <c r="E111" s="26">
        <f>G73</f>
        <v>0.82867678060459571</v>
      </c>
      <c r="F111" s="26">
        <f>D72</f>
        <v>0.88271595586114304</v>
      </c>
      <c r="G111" s="26">
        <f>G$72</f>
        <v>0.93976218799559319</v>
      </c>
      <c r="H111" s="27">
        <f t="shared" si="40"/>
        <v>-5.3931975811044378E-3</v>
      </c>
      <c r="I111" s="27">
        <f t="shared" si="42"/>
        <v>-3.697443754165116E-2</v>
      </c>
      <c r="J111" s="24">
        <f t="shared" si="41"/>
        <v>0.9397639962601082</v>
      </c>
      <c r="P111"/>
      <c r="Q111"/>
      <c r="R111"/>
      <c r="S111" s="20"/>
      <c r="T111" s="20"/>
      <c r="U111" s="20"/>
    </row>
    <row r="112" spans="1:21">
      <c r="A112" s="24">
        <v>23</v>
      </c>
      <c r="B112" s="25" t="s">
        <v>64</v>
      </c>
      <c r="C112" s="25" t="s">
        <v>62</v>
      </c>
      <c r="D112" s="25" t="s">
        <v>140</v>
      </c>
      <c r="E112" s="26">
        <f>G74</f>
        <v>0.84359291379281198</v>
      </c>
      <c r="F112" s="26">
        <f>E72</f>
        <v>0.91140501467170809</v>
      </c>
      <c r="G112" s="26">
        <f t="shared" ref="G112:G113" si="44">G$72</f>
        <v>0.93976218799559319</v>
      </c>
      <c r="H112" s="27">
        <f t="shared" si="40"/>
        <v>-9.1785066469375079E-2</v>
      </c>
      <c r="I112" s="27">
        <f t="shared" si="42"/>
        <v>-0.63191412273428049</v>
      </c>
      <c r="J112" s="24">
        <f t="shared" si="41"/>
        <v>0.94028577975357563</v>
      </c>
      <c r="P112"/>
      <c r="Q112"/>
      <c r="R112"/>
      <c r="S112" s="20"/>
      <c r="T112" s="20"/>
      <c r="U112" s="20"/>
    </row>
    <row r="113" spans="1:21">
      <c r="A113" s="24">
        <v>24</v>
      </c>
      <c r="B113" s="25" t="s">
        <v>64</v>
      </c>
      <c r="C113" s="25" t="s">
        <v>63</v>
      </c>
      <c r="D113" s="25" t="s">
        <v>140</v>
      </c>
      <c r="E113" s="26">
        <f>G75</f>
        <v>0.67896987893319671</v>
      </c>
      <c r="F113" s="26">
        <f>F72</f>
        <v>0.76014966900265202</v>
      </c>
      <c r="G113" s="26">
        <f t="shared" si="44"/>
        <v>0.93976218799559319</v>
      </c>
      <c r="H113" s="27">
        <f t="shared" si="40"/>
        <v>-0.15934088319263878</v>
      </c>
      <c r="I113" s="27">
        <f t="shared" si="42"/>
        <v>-1.1065234186114898</v>
      </c>
      <c r="J113" s="24">
        <f t="shared" si="41"/>
        <v>0.94133929039842612</v>
      </c>
      <c r="P113"/>
      <c r="Q113"/>
      <c r="R113"/>
      <c r="S113" s="20"/>
      <c r="T113" s="20"/>
      <c r="U113" s="20"/>
    </row>
    <row r="116" spans="1:21">
      <c r="B116" s="17" t="s">
        <v>168</v>
      </c>
      <c r="C116" s="17" t="s">
        <v>142</v>
      </c>
      <c r="D116" s="17" t="s">
        <v>143</v>
      </c>
      <c r="E116" s="17" t="s">
        <v>144</v>
      </c>
      <c r="F116" s="17" t="s">
        <v>145</v>
      </c>
      <c r="G116" s="17" t="s">
        <v>146</v>
      </c>
      <c r="H116" s="17" t="s">
        <v>147</v>
      </c>
    </row>
    <row r="117" spans="1:21">
      <c r="B117" s="9">
        <v>1</v>
      </c>
      <c r="C117" s="4">
        <f>1/2*LOG10((1+H89)/(1-H89))</f>
        <v>0.29298141383357995</v>
      </c>
      <c r="D117" s="4">
        <f>C117+H89/98</f>
        <v>0.2989814872018326</v>
      </c>
      <c r="E117" s="4">
        <f>C117-_xlfn.NORM.S.INV(1-0.025)*SQRT(1/47)</f>
        <v>7.0912838924654942E-3</v>
      </c>
      <c r="F117" s="4">
        <f t="shared" ref="F117:F128" si="45">C117+_xlfn.NORM.S.INV(1-0.025)*SQRT(1/47)</f>
        <v>0.57887154377469441</v>
      </c>
      <c r="G117" s="4">
        <f>(10^(E117*2)-1)/(10^(E117*2)+1)</f>
        <v>1.632683362540557E-2</v>
      </c>
      <c r="H117" s="4">
        <f>(10^(F117*2)-1)/(10^(F117*2)+1)</f>
        <v>0.8699565653207556</v>
      </c>
    </row>
    <row r="118" spans="1:21">
      <c r="B118" s="9">
        <v>2</v>
      </c>
      <c r="C118" s="4">
        <f>1/2*LOG10((1+H90)/(1-H90))</f>
        <v>0.4216519155021482</v>
      </c>
      <c r="D118" s="4">
        <f>C118+H90/98</f>
        <v>0.42929574073694943</v>
      </c>
      <c r="E118" s="4">
        <f>C118-_xlfn.NORM.S.INV(1-0.025)*SQRT(1/47)</f>
        <v>0.13576178556103374</v>
      </c>
      <c r="F118" s="4">
        <f t="shared" si="45"/>
        <v>0.7075420454432626</v>
      </c>
      <c r="G118" s="4">
        <f t="shared" ref="G118:H141" si="46">(10^(E118*2)-1)/(10^(E118*2)+1)</f>
        <v>0.3028033459938978</v>
      </c>
      <c r="H118" s="4">
        <f t="shared" si="46"/>
        <v>0.92594411272163879</v>
      </c>
    </row>
    <row r="119" spans="1:21">
      <c r="B119" s="9">
        <v>3</v>
      </c>
      <c r="C119" s="4">
        <f t="shared" ref="C119:C140" si="47">1/2*LOG10((1+H91)/(1-H91))</f>
        <v>0.2644312448343194</v>
      </c>
      <c r="D119" s="4">
        <f t="shared" ref="D119:D141" si="48">C119+H91/98</f>
        <v>0.26997547962579521</v>
      </c>
      <c r="E119" s="4">
        <f t="shared" ref="E119:E128" si="49">C119-_xlfn.NORM.S.INV(1-0.025)*SQRT(1/47)</f>
        <v>-2.1458885106795056E-2</v>
      </c>
      <c r="F119" s="4">
        <f t="shared" si="45"/>
        <v>0.55032137477543386</v>
      </c>
      <c r="G119" s="4">
        <f t="shared" si="46"/>
        <v>-4.9370736967358296E-2</v>
      </c>
      <c r="H119" s="4">
        <f t="shared" si="46"/>
        <v>0.85302654887657514</v>
      </c>
    </row>
    <row r="120" spans="1:21">
      <c r="B120" s="9">
        <v>4</v>
      </c>
      <c r="C120" s="4">
        <f t="shared" si="47"/>
        <v>0.38170686561297323</v>
      </c>
      <c r="D120" s="4">
        <f t="shared" si="48"/>
        <v>0.38890966269844296</v>
      </c>
      <c r="E120" s="4">
        <f t="shared" si="49"/>
        <v>9.5816735671858777E-2</v>
      </c>
      <c r="F120" s="4">
        <f t="shared" si="45"/>
        <v>0.66759699555408769</v>
      </c>
      <c r="G120" s="4">
        <f t="shared" si="46"/>
        <v>0.21711481202328459</v>
      </c>
      <c r="H120" s="4">
        <f t="shared" si="46"/>
        <v>0.91164847626425927</v>
      </c>
    </row>
    <row r="121" spans="1:21">
      <c r="B121" s="9">
        <v>5</v>
      </c>
      <c r="C121" s="4">
        <f t="shared" si="47"/>
        <v>0.6115976821526371</v>
      </c>
      <c r="D121" s="4">
        <f t="shared" si="48"/>
        <v>0.62064995920162958</v>
      </c>
      <c r="E121" s="4">
        <f t="shared" si="49"/>
        <v>0.32570755221152264</v>
      </c>
      <c r="F121" s="4">
        <f t="shared" si="45"/>
        <v>0.8974878120937515</v>
      </c>
      <c r="G121" s="4">
        <f t="shared" si="46"/>
        <v>0.63513066930008177</v>
      </c>
      <c r="H121" s="4">
        <f>(10^(F121*2)-1)/(10^(F121*2)+1)</f>
        <v>0.9684393160283753</v>
      </c>
    </row>
    <row r="122" spans="1:21">
      <c r="B122" s="9">
        <v>6</v>
      </c>
      <c r="C122" s="4">
        <f t="shared" si="47"/>
        <v>0.3339198179455064</v>
      </c>
      <c r="D122" s="4">
        <f t="shared" si="48"/>
        <v>0.34051448138086143</v>
      </c>
      <c r="E122" s="4">
        <f t="shared" si="49"/>
        <v>4.8029688004391946E-2</v>
      </c>
      <c r="F122" s="4">
        <f t="shared" si="45"/>
        <v>0.6198099478866208</v>
      </c>
      <c r="G122" s="4">
        <f t="shared" si="46"/>
        <v>0.11014376464081997</v>
      </c>
      <c r="H122" s="4">
        <f t="shared" si="46"/>
        <v>0.89108417994526046</v>
      </c>
    </row>
    <row r="123" spans="1:21">
      <c r="B123" s="9">
        <v>7</v>
      </c>
      <c r="C123" s="4">
        <f t="shared" si="47"/>
        <v>0.18460023669365644</v>
      </c>
      <c r="D123" s="4">
        <f t="shared" si="48"/>
        <v>0.18869393816314878</v>
      </c>
      <c r="E123" s="4">
        <f t="shared" si="49"/>
        <v>-0.10128989324745802</v>
      </c>
      <c r="F123" s="4">
        <f t="shared" si="45"/>
        <v>0.4704903666347709</v>
      </c>
      <c r="G123" s="4">
        <f t="shared" si="46"/>
        <v>-0.22908976056410962</v>
      </c>
      <c r="H123" s="4">
        <f t="shared" si="46"/>
        <v>0.79443592341735592</v>
      </c>
    </row>
    <row r="124" spans="1:21">
      <c r="B124" s="9">
        <v>8</v>
      </c>
      <c r="C124" s="4">
        <f t="shared" si="47"/>
        <v>0.36398208241968844</v>
      </c>
      <c r="D124" s="4">
        <f t="shared" si="48"/>
        <v>0.37096985012273431</v>
      </c>
      <c r="E124" s="4">
        <f t="shared" si="49"/>
        <v>7.8091952478573978E-2</v>
      </c>
      <c r="F124" s="4">
        <f t="shared" si="45"/>
        <v>0.64987221236080295</v>
      </c>
      <c r="G124" s="4">
        <f t="shared" si="46"/>
        <v>0.17790014646960231</v>
      </c>
      <c r="H124" s="4">
        <f t="shared" si="46"/>
        <v>0.90449305182926343</v>
      </c>
    </row>
    <row r="125" spans="1:21">
      <c r="B125" s="9">
        <v>9</v>
      </c>
      <c r="C125" s="4">
        <f t="shared" si="47"/>
        <v>0.23078453369327273</v>
      </c>
      <c r="D125" s="4">
        <f t="shared" si="48"/>
        <v>0.23574832261592474</v>
      </c>
      <c r="E125" s="4">
        <f t="shared" si="49"/>
        <v>-5.5105596247841726E-2</v>
      </c>
      <c r="F125" s="4">
        <f t="shared" si="45"/>
        <v>0.51667466363438719</v>
      </c>
      <c r="G125" s="4">
        <f t="shared" si="46"/>
        <v>-0.12620873493144619</v>
      </c>
      <c r="H125" s="4">
        <f t="shared" si="46"/>
        <v>0.83048188729353833</v>
      </c>
    </row>
    <row r="126" spans="1:21">
      <c r="B126" s="9">
        <v>10</v>
      </c>
      <c r="C126" s="4">
        <f t="shared" si="47"/>
        <v>0.46747915990185568</v>
      </c>
      <c r="D126" s="4">
        <f t="shared" si="48"/>
        <v>0.47555940690079374</v>
      </c>
      <c r="E126" s="4">
        <f t="shared" si="49"/>
        <v>0.18158902996074122</v>
      </c>
      <c r="F126" s="4">
        <f t="shared" si="45"/>
        <v>0.75336928984297014</v>
      </c>
      <c r="G126" s="4">
        <f t="shared" si="46"/>
        <v>0.39534899020449232</v>
      </c>
      <c r="H126" s="4">
        <f t="shared" si="46"/>
        <v>0.93960854284923201</v>
      </c>
    </row>
    <row r="127" spans="1:21">
      <c r="B127" s="9">
        <v>11</v>
      </c>
      <c r="C127" s="4">
        <f t="shared" si="47"/>
        <v>0.44680223176039935</v>
      </c>
      <c r="D127" s="4">
        <f t="shared" si="48"/>
        <v>0.45469434071232778</v>
      </c>
      <c r="E127" s="4">
        <f t="shared" si="49"/>
        <v>0.16091210181928489</v>
      </c>
      <c r="F127" s="4">
        <f t="shared" si="45"/>
        <v>0.73269236170151375</v>
      </c>
      <c r="G127" s="4">
        <f t="shared" si="46"/>
        <v>0.35444105242679647</v>
      </c>
      <c r="H127" s="4">
        <f t="shared" si="46"/>
        <v>0.93377511043709105</v>
      </c>
    </row>
    <row r="128" spans="1:21">
      <c r="B128" s="9">
        <v>12</v>
      </c>
      <c r="C128" s="4">
        <f t="shared" si="47"/>
        <v>0.61359464334703984</v>
      </c>
      <c r="D128" s="4">
        <f t="shared" si="48"/>
        <v>0.6226568742981059</v>
      </c>
      <c r="E128" s="4">
        <f t="shared" si="49"/>
        <v>0.32770451340592538</v>
      </c>
      <c r="F128" s="4">
        <f t="shared" si="45"/>
        <v>0.89948477328815435</v>
      </c>
      <c r="G128" s="4">
        <f t="shared" si="46"/>
        <v>0.63786597332205774</v>
      </c>
      <c r="H128" s="4">
        <f t="shared" si="46"/>
        <v>0.96872371044233851</v>
      </c>
    </row>
    <row r="129" spans="2:8">
      <c r="B129" s="9"/>
      <c r="C129" s="4"/>
      <c r="D129" s="4"/>
      <c r="E129" s="4"/>
      <c r="F129" s="4"/>
      <c r="G129" s="4"/>
      <c r="H129" s="4"/>
    </row>
    <row r="130" spans="2:8">
      <c r="B130" s="9">
        <v>13</v>
      </c>
      <c r="C130" s="4">
        <f t="shared" si="47"/>
        <v>2.2427978303813139E-2</v>
      </c>
      <c r="D130" s="4">
        <f t="shared" si="48"/>
        <v>2.2954472881396067E-2</v>
      </c>
      <c r="E130" s="4">
        <f t="shared" ref="E130:E141" si="50">C130-_xlfn.NORM.S.INV(1-0.025)*SQRT(1/47)</f>
        <v>-0.2634621516373013</v>
      </c>
      <c r="F130" s="4">
        <f t="shared" ref="F130:F141" si="51">C130+_xlfn.NORM.S.INV(1-0.025)*SQRT(1/47)</f>
        <v>0.30831810824492761</v>
      </c>
      <c r="G130" s="4">
        <f t="shared" si="46"/>
        <v>-0.54176042750141018</v>
      </c>
      <c r="H130" s="4">
        <f t="shared" si="46"/>
        <v>0.61063210793060552</v>
      </c>
    </row>
    <row r="131" spans="2:8">
      <c r="B131" s="9">
        <v>14</v>
      </c>
      <c r="C131" s="4">
        <f t="shared" si="47"/>
        <v>5.7176483270847372E-2</v>
      </c>
      <c r="D131" s="4">
        <f t="shared" si="48"/>
        <v>5.8512180379808605E-2</v>
      </c>
      <c r="E131" s="4">
        <f t="shared" si="50"/>
        <v>-0.22871364667026708</v>
      </c>
      <c r="F131" s="4">
        <f t="shared" si="51"/>
        <v>0.34306661321196186</v>
      </c>
      <c r="G131" s="4">
        <f t="shared" si="46"/>
        <v>-0.48280285379696647</v>
      </c>
      <c r="H131" s="4">
        <f t="shared" si="46"/>
        <v>0.65837508412665602</v>
      </c>
    </row>
    <row r="132" spans="2:8">
      <c r="B132" s="9">
        <v>15</v>
      </c>
      <c r="C132" s="4">
        <f t="shared" si="47"/>
        <v>-2.3422586588951544E-3</v>
      </c>
      <c r="D132" s="4">
        <f t="shared" si="48"/>
        <v>-2.3972912872737709E-3</v>
      </c>
      <c r="E132" s="4">
        <f t="shared" si="50"/>
        <v>-0.2882323886000096</v>
      </c>
      <c r="F132" s="4">
        <f t="shared" si="51"/>
        <v>0.28354787128221931</v>
      </c>
      <c r="G132" s="4">
        <f>(10^(E132*2)-1)/(10^(E132*2)+1)</f>
        <v>-0.58080696086628114</v>
      </c>
      <c r="H132" s="4">
        <f>(10^(F132*2)-1)/(10^(F132*2)+1)</f>
        <v>0.57361436184862946</v>
      </c>
    </row>
    <row r="133" spans="2:8">
      <c r="B133" s="9">
        <v>16</v>
      </c>
      <c r="C133" s="4">
        <f t="shared" si="47"/>
        <v>2.2427978303813139E-2</v>
      </c>
      <c r="D133" s="4">
        <f t="shared" si="48"/>
        <v>2.2954472881396067E-2</v>
      </c>
      <c r="E133" s="4">
        <f t="shared" si="50"/>
        <v>-0.2634621516373013</v>
      </c>
      <c r="F133" s="4">
        <f t="shared" si="51"/>
        <v>0.30831810824492761</v>
      </c>
      <c r="G133" s="4">
        <f t="shared" si="46"/>
        <v>-0.54176042750141018</v>
      </c>
      <c r="H133" s="4">
        <f>(10^(F133*2)-1)/(10^(F133*2)+1)</f>
        <v>0.61063210793060552</v>
      </c>
    </row>
    <row r="134" spans="2:8">
      <c r="B134" s="9">
        <v>17</v>
      </c>
      <c r="C134" s="4">
        <f t="shared" si="47"/>
        <v>-0.18996471784308278</v>
      </c>
      <c r="D134" s="4">
        <f t="shared" si="48"/>
        <v>-0.19416364884077283</v>
      </c>
      <c r="E134" s="4">
        <f t="shared" si="50"/>
        <v>-0.47585484778419723</v>
      </c>
      <c r="F134" s="4">
        <f t="shared" si="51"/>
        <v>9.5925412098031682E-2</v>
      </c>
      <c r="G134" s="4">
        <f t="shared" si="46"/>
        <v>-0.79894778486344831</v>
      </c>
      <c r="H134" s="4">
        <f t="shared" si="46"/>
        <v>0.21735323991430974</v>
      </c>
    </row>
    <row r="135" spans="2:8">
      <c r="B135" s="9">
        <v>18</v>
      </c>
      <c r="C135" s="4">
        <f t="shared" si="47"/>
        <v>-3.9974255541800216E-2</v>
      </c>
      <c r="D135" s="4">
        <f t="shared" si="48"/>
        <v>-4.0910837852712205E-2</v>
      </c>
      <c r="E135" s="4">
        <f t="shared" si="50"/>
        <v>-0.32586438548291469</v>
      </c>
      <c r="F135" s="4">
        <f t="shared" si="51"/>
        <v>0.24591587439931423</v>
      </c>
      <c r="G135" s="4">
        <f t="shared" si="46"/>
        <v>-0.63534606850585673</v>
      </c>
      <c r="H135" s="4">
        <f t="shared" si="46"/>
        <v>0.51259420924683552</v>
      </c>
    </row>
    <row r="136" spans="2:8">
      <c r="B136" s="9">
        <v>19</v>
      </c>
      <c r="C136" s="4">
        <f t="shared" si="47"/>
        <v>5.7176483270847372E-2</v>
      </c>
      <c r="D136" s="4">
        <f t="shared" si="48"/>
        <v>5.8512180379808605E-2</v>
      </c>
      <c r="E136" s="4">
        <f t="shared" si="50"/>
        <v>-0.22871364667026708</v>
      </c>
      <c r="F136" s="4">
        <f t="shared" si="51"/>
        <v>0.34306661321196186</v>
      </c>
      <c r="G136" s="4">
        <f t="shared" si="46"/>
        <v>-0.48280285379696647</v>
      </c>
      <c r="H136" s="4">
        <f t="shared" si="46"/>
        <v>0.65837508412665602</v>
      </c>
    </row>
    <row r="137" spans="2:8">
      <c r="B137" s="9">
        <v>20</v>
      </c>
      <c r="C137" s="4">
        <f t="shared" si="47"/>
        <v>-0.18996471784308278</v>
      </c>
      <c r="D137" s="4">
        <f t="shared" si="48"/>
        <v>-0.19416364884077283</v>
      </c>
      <c r="E137" s="4">
        <f t="shared" si="50"/>
        <v>-0.47585484778419723</v>
      </c>
      <c r="F137" s="4">
        <f t="shared" si="51"/>
        <v>9.5925412098031682E-2</v>
      </c>
      <c r="G137" s="4">
        <f t="shared" si="46"/>
        <v>-0.79894778486344831</v>
      </c>
      <c r="H137" s="4">
        <f t="shared" si="46"/>
        <v>0.21735323991430974</v>
      </c>
    </row>
    <row r="138" spans="2:8">
      <c r="B138" s="9">
        <v>21</v>
      </c>
      <c r="C138" s="4">
        <f t="shared" si="47"/>
        <v>-6.9795611990334475E-2</v>
      </c>
      <c r="D138" s="4">
        <f t="shared" si="48"/>
        <v>-7.1421539369851197E-2</v>
      </c>
      <c r="E138" s="4">
        <f t="shared" si="50"/>
        <v>-0.35568574193144892</v>
      </c>
      <c r="F138" s="4">
        <f t="shared" si="51"/>
        <v>0.21609451795078</v>
      </c>
      <c r="G138" s="4">
        <f t="shared" si="46"/>
        <v>-0.67452342112762564</v>
      </c>
      <c r="H138" s="4">
        <f t="shared" si="46"/>
        <v>0.46020868624729</v>
      </c>
    </row>
    <row r="139" spans="2:8">
      <c r="B139" s="9">
        <v>22</v>
      </c>
      <c r="C139" s="4">
        <f t="shared" si="47"/>
        <v>-2.3422586588951544E-3</v>
      </c>
      <c r="D139" s="4">
        <f t="shared" si="48"/>
        <v>-2.3972912872737709E-3</v>
      </c>
      <c r="E139" s="4">
        <f t="shared" si="50"/>
        <v>-0.2882323886000096</v>
      </c>
      <c r="F139" s="4">
        <f t="shared" si="51"/>
        <v>0.28354787128221931</v>
      </c>
      <c r="G139" s="4">
        <f t="shared" si="46"/>
        <v>-0.58080696086628114</v>
      </c>
      <c r="H139" s="4">
        <f t="shared" si="46"/>
        <v>0.57361436184862946</v>
      </c>
    </row>
    <row r="140" spans="2:8">
      <c r="B140" s="9">
        <v>23</v>
      </c>
      <c r="C140" s="4">
        <f t="shared" si="47"/>
        <v>-3.9974255541800216E-2</v>
      </c>
      <c r="D140" s="4">
        <f t="shared" si="48"/>
        <v>-4.0910837852712205E-2</v>
      </c>
      <c r="E140" s="4">
        <f t="shared" si="50"/>
        <v>-0.32586438548291469</v>
      </c>
      <c r="F140" s="4">
        <f>C140+_xlfn.NORM.S.INV(1-0.025)*SQRT(1/47)</f>
        <v>0.24591587439931423</v>
      </c>
      <c r="G140" s="4">
        <f t="shared" si="46"/>
        <v>-0.63534606850585673</v>
      </c>
      <c r="H140" s="4">
        <f t="shared" si="46"/>
        <v>0.51259420924683552</v>
      </c>
    </row>
    <row r="141" spans="2:8">
      <c r="B141" s="9">
        <v>24</v>
      </c>
      <c r="C141" s="4">
        <f>1/2*LOG10((1+H113)/(1-H113))</f>
        <v>-6.9795611990334475E-2</v>
      </c>
      <c r="D141" s="4">
        <f t="shared" si="48"/>
        <v>-7.1421539369851197E-2</v>
      </c>
      <c r="E141" s="4">
        <f t="shared" si="50"/>
        <v>-0.35568574193144892</v>
      </c>
      <c r="F141" s="4">
        <f t="shared" si="51"/>
        <v>0.21609451795078</v>
      </c>
      <c r="G141" s="4">
        <f t="shared" si="46"/>
        <v>-0.67452342112762564</v>
      </c>
      <c r="H141" s="4">
        <f t="shared" si="46"/>
        <v>0.46020868624729</v>
      </c>
    </row>
  </sheetData>
  <mergeCells count="11">
    <mergeCell ref="B65:F65"/>
    <mergeCell ref="B54:F54"/>
    <mergeCell ref="B57:F57"/>
    <mergeCell ref="B59:F59"/>
    <mergeCell ref="B61:F61"/>
    <mergeCell ref="B63:F63"/>
    <mergeCell ref="K87:M87"/>
    <mergeCell ref="M90:Q90"/>
    <mergeCell ref="B78:F78"/>
    <mergeCell ref="B70:F70"/>
    <mergeCell ref="B67:F67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2"/>
  <sheetViews>
    <sheetView tabSelected="1" zoomScaleNormal="100" workbookViewId="0">
      <pane xSplit="1" topLeftCell="P1" activePane="topRight" state="frozen"/>
      <selection pane="topRight" activeCell="AF14" sqref="AF14"/>
    </sheetView>
  </sheetViews>
  <sheetFormatPr defaultColWidth="8.7109375" defaultRowHeight="15"/>
  <cols>
    <col min="1" max="2" width="22" style="1" customWidth="1"/>
    <col min="3" max="4" width="14" style="1" customWidth="1"/>
    <col min="5" max="5" width="20.7109375" style="1" customWidth="1"/>
    <col min="6" max="7" width="14" style="1" customWidth="1"/>
    <col min="8" max="9" width="11.7109375" style="1" customWidth="1"/>
    <col min="10" max="14" width="26.140625" style="1" customWidth="1"/>
    <col min="15" max="16" width="19.7109375" style="1" customWidth="1"/>
    <col min="17" max="18" width="8.7109375" style="1"/>
    <col min="19" max="19" width="22" style="1" customWidth="1"/>
    <col min="20" max="22" width="14.7109375" style="1" customWidth="1"/>
    <col min="23" max="16384" width="8.7109375" style="1"/>
  </cols>
  <sheetData>
    <row r="1" spans="1:22" s="3" customFormat="1">
      <c r="A1" s="12" t="s">
        <v>161</v>
      </c>
      <c r="B1" s="11" t="s">
        <v>166</v>
      </c>
      <c r="C1" s="41" t="s">
        <v>179</v>
      </c>
      <c r="D1" s="41"/>
      <c r="E1" s="41"/>
      <c r="F1" s="41"/>
      <c r="G1" s="41"/>
      <c r="H1" s="41"/>
      <c r="L1" s="3" t="s">
        <v>210</v>
      </c>
      <c r="M1" s="3" t="s">
        <v>214</v>
      </c>
      <c r="N1" s="3" t="s">
        <v>215</v>
      </c>
      <c r="O1" s="3" t="s">
        <v>216</v>
      </c>
      <c r="P1" s="3" t="s">
        <v>217</v>
      </c>
      <c r="S1" s="12" t="s">
        <v>161</v>
      </c>
      <c r="T1" s="3" t="s">
        <v>218</v>
      </c>
      <c r="U1" s="3" t="s">
        <v>197</v>
      </c>
      <c r="V1" s="3" t="s">
        <v>196</v>
      </c>
    </row>
    <row r="2" spans="1:22">
      <c r="A2" s="1">
        <v>2351</v>
      </c>
      <c r="B2" s="1">
        <v>22.2</v>
      </c>
      <c r="C2" s="16"/>
      <c r="D2" s="9" t="s">
        <v>60</v>
      </c>
      <c r="E2" s="9" t="s">
        <v>61</v>
      </c>
      <c r="F2" s="9" t="s">
        <v>62</v>
      </c>
      <c r="G2" s="9" t="s">
        <v>63</v>
      </c>
      <c r="H2" s="9" t="s">
        <v>64</v>
      </c>
      <c r="L2" s="1" t="s">
        <v>211</v>
      </c>
      <c r="M2" s="1">
        <f>H21</f>
        <v>624.08251906910959</v>
      </c>
      <c r="N2" s="1">
        <v>1</v>
      </c>
      <c r="O2" s="1">
        <f>M2/N2</f>
        <v>624.08251906910959</v>
      </c>
      <c r="P2" s="1">
        <f>O2/O3</f>
        <v>362.79349637177285</v>
      </c>
      <c r="S2" s="1">
        <v>2351</v>
      </c>
      <c r="T2" s="1">
        <f>$I$17+$H$17*S2</f>
        <v>23.4419212416921</v>
      </c>
      <c r="U2" s="1">
        <f t="shared" ref="U2:U33" si="0">T2-$F$23*$I$19*SQRT(1/COUNT($S$2:$S$51))+(S2-$F$37)^2/$F$38</f>
        <v>23.263278281835561</v>
      </c>
      <c r="V2" s="1">
        <f t="shared" ref="V2:V33" si="1">T2+$F$23*$I$19*SQRT(1/COUNT($S$2:$S$51))+(S2-$F$37)^2/$F$38</f>
        <v>24.010445856235584</v>
      </c>
    </row>
    <row r="3" spans="1:22" ht="15" customHeight="1">
      <c r="A3" s="1">
        <v>1643</v>
      </c>
      <c r="B3" s="1">
        <v>18</v>
      </c>
      <c r="C3" s="9" t="s">
        <v>60</v>
      </c>
      <c r="D3" s="5">
        <v>0.99999999999999989</v>
      </c>
      <c r="E3" s="4">
        <v>0.88271595586114304</v>
      </c>
      <c r="F3" s="4">
        <v>0.91140501467170809</v>
      </c>
      <c r="G3" s="4">
        <v>0.76014966900265202</v>
      </c>
      <c r="H3" s="4">
        <v>0.93976218799559319</v>
      </c>
      <c r="L3" s="1" t="s">
        <v>212</v>
      </c>
      <c r="M3" s="1">
        <f>I21</f>
        <v>82.570280930890419</v>
      </c>
      <c r="N3" s="1">
        <f>I20</f>
        <v>48</v>
      </c>
      <c r="O3" s="1">
        <f>M3/N3</f>
        <v>1.7202141860602171</v>
      </c>
      <c r="S3" s="1">
        <v>1643</v>
      </c>
      <c r="T3" s="1">
        <f t="shared" ref="T3:T51" si="2">$I$17+$H$17*S3</f>
        <v>18.346272089238624</v>
      </c>
      <c r="U3" s="1">
        <f t="shared" si="0"/>
        <v>18.029116072650815</v>
      </c>
      <c r="V3" s="1">
        <f t="shared" si="1"/>
        <v>18.776283647050839</v>
      </c>
    </row>
    <row r="4" spans="1:22" ht="15" customHeight="1">
      <c r="A4" s="1">
        <v>1603</v>
      </c>
      <c r="B4" s="1">
        <v>19.100000000000001</v>
      </c>
      <c r="C4" s="9" t="s">
        <v>61</v>
      </c>
      <c r="D4" s="4">
        <v>0.88271595586114304</v>
      </c>
      <c r="E4" s="6">
        <v>1</v>
      </c>
      <c r="F4" s="4">
        <v>0.81448904287396717</v>
      </c>
      <c r="G4" s="4">
        <v>0.71096226061107504</v>
      </c>
      <c r="H4" s="4">
        <v>0.82867678060459571</v>
      </c>
      <c r="L4" s="1" t="s">
        <v>213</v>
      </c>
      <c r="M4" s="1">
        <f>M2+M3</f>
        <v>706.65280000000007</v>
      </c>
      <c r="N4" s="1">
        <f>N2+N3</f>
        <v>49</v>
      </c>
      <c r="S4" s="1">
        <v>1603</v>
      </c>
      <c r="T4" s="1">
        <f t="shared" si="2"/>
        <v>18.058382306614131</v>
      </c>
      <c r="U4" s="1">
        <f t="shared" si="0"/>
        <v>17.73588412456775</v>
      </c>
      <c r="V4" s="1">
        <f t="shared" si="1"/>
        <v>18.483051698967767</v>
      </c>
    </row>
    <row r="5" spans="1:22" ht="15" customHeight="1">
      <c r="A5" s="1">
        <v>1735</v>
      </c>
      <c r="B5" s="1">
        <v>21.6</v>
      </c>
      <c r="C5" s="9" t="s">
        <v>62</v>
      </c>
      <c r="D5" s="4">
        <v>0.91140501467170809</v>
      </c>
      <c r="E5" s="4">
        <v>0.81448904287396717</v>
      </c>
      <c r="F5" s="5">
        <v>0.99999999999999989</v>
      </c>
      <c r="G5" s="4">
        <v>0.5827793906550135</v>
      </c>
      <c r="H5" s="4">
        <v>0.84359291379281198</v>
      </c>
      <c r="S5" s="1">
        <v>1735</v>
      </c>
      <c r="T5" s="1">
        <f t="shared" si="2"/>
        <v>19.00841858927495</v>
      </c>
      <c r="U5" s="1">
        <f t="shared" si="0"/>
        <v>18.704557534046085</v>
      </c>
      <c r="V5" s="1">
        <f t="shared" si="1"/>
        <v>19.451725108446102</v>
      </c>
    </row>
    <row r="6" spans="1:22" ht="15" customHeight="1">
      <c r="A6" s="1">
        <v>2031</v>
      </c>
      <c r="B6" s="1">
        <v>22.5</v>
      </c>
      <c r="C6" s="9" t="s">
        <v>63</v>
      </c>
      <c r="D6" s="4">
        <v>0.76014966900265202</v>
      </c>
      <c r="E6" s="4">
        <v>0.71096226061107504</v>
      </c>
      <c r="F6" s="4">
        <v>0.5827793906550135</v>
      </c>
      <c r="G6" s="5">
        <v>1</v>
      </c>
      <c r="H6" s="4">
        <v>0.67896987893319671</v>
      </c>
      <c r="S6" s="1">
        <v>2031</v>
      </c>
      <c r="T6" s="1">
        <f t="shared" si="2"/>
        <v>21.138802980696177</v>
      </c>
      <c r="U6" s="1">
        <f t="shared" si="0"/>
        <v>20.887249674941927</v>
      </c>
      <c r="V6" s="1">
        <f t="shared" si="1"/>
        <v>21.634417249341951</v>
      </c>
    </row>
    <row r="7" spans="1:22">
      <c r="A7" s="1">
        <v>1266</v>
      </c>
      <c r="B7" s="1">
        <v>14.4</v>
      </c>
      <c r="C7" s="9" t="s">
        <v>64</v>
      </c>
      <c r="D7" s="4">
        <v>0.93976218799559319</v>
      </c>
      <c r="E7" s="4">
        <v>0.82867678060459571</v>
      </c>
      <c r="F7" s="4">
        <v>0.84359291379281198</v>
      </c>
      <c r="G7" s="4">
        <v>0.67896987893319671</v>
      </c>
      <c r="H7" s="5">
        <v>1</v>
      </c>
      <c r="S7" s="1">
        <v>1266</v>
      </c>
      <c r="T7" s="1">
        <f t="shared" si="2"/>
        <v>15.632910888002799</v>
      </c>
      <c r="U7" s="1">
        <f t="shared" si="0"/>
        <v>15.275950330314055</v>
      </c>
      <c r="V7" s="1">
        <f t="shared" si="1"/>
        <v>16.023117904714077</v>
      </c>
    </row>
    <row r="8" spans="1:22">
      <c r="A8" s="1">
        <v>1138</v>
      </c>
      <c r="B8" s="1">
        <v>14.8</v>
      </c>
      <c r="S8" s="1">
        <v>1138</v>
      </c>
      <c r="T8" s="1">
        <f t="shared" si="2"/>
        <v>14.71166358360443</v>
      </c>
      <c r="U8" s="1">
        <f t="shared" si="0"/>
        <v>14.346553760080962</v>
      </c>
      <c r="V8" s="1">
        <f t="shared" si="1"/>
        <v>15.093721334480982</v>
      </c>
    </row>
    <row r="9" spans="1:22">
      <c r="A9" s="1">
        <v>947</v>
      </c>
      <c r="B9" s="1">
        <v>13.6</v>
      </c>
      <c r="F9" s="1" t="s">
        <v>180</v>
      </c>
      <c r="G9" s="35">
        <f>H3</f>
        <v>0.93976218799559319</v>
      </c>
      <c r="S9" s="1">
        <v>947</v>
      </c>
      <c r="T9" s="1">
        <f t="shared" si="2"/>
        <v>13.336989871572488</v>
      </c>
      <c r="U9" s="1">
        <f t="shared" si="0"/>
        <v>12.964777066953095</v>
      </c>
      <c r="V9" s="1">
        <f t="shared" si="1"/>
        <v>13.711944641353115</v>
      </c>
    </row>
    <row r="10" spans="1:22">
      <c r="A10" s="1">
        <v>921</v>
      </c>
      <c r="B10" s="1">
        <v>14.8</v>
      </c>
      <c r="S10" s="1">
        <v>921</v>
      </c>
      <c r="T10" s="1">
        <f t="shared" si="2"/>
        <v>13.149861512866568</v>
      </c>
      <c r="U10" s="1">
        <f t="shared" si="0"/>
        <v>12.777150109679143</v>
      </c>
      <c r="V10" s="1">
        <f t="shared" si="1"/>
        <v>13.524317684079163</v>
      </c>
    </row>
    <row r="11" spans="1:22">
      <c r="A11" s="1">
        <v>826</v>
      </c>
      <c r="B11" s="1">
        <v>13.6</v>
      </c>
      <c r="S11" s="1">
        <v>826</v>
      </c>
      <c r="T11" s="1">
        <f t="shared" si="2"/>
        <v>12.466123279133406</v>
      </c>
      <c r="U11" s="1">
        <f t="shared" si="0"/>
        <v>12.092544185750727</v>
      </c>
      <c r="V11" s="1">
        <f t="shared" si="1"/>
        <v>12.839711760150747</v>
      </c>
    </row>
    <row r="12" spans="1:22">
      <c r="A12" s="1">
        <v>784</v>
      </c>
      <c r="B12" s="1">
        <v>13.5</v>
      </c>
      <c r="S12" s="1">
        <v>784</v>
      </c>
      <c r="T12" s="1">
        <f t="shared" si="2"/>
        <v>12.163839007377689</v>
      </c>
      <c r="U12" s="1">
        <f t="shared" si="0"/>
        <v>11.790353899240747</v>
      </c>
      <c r="V12" s="1">
        <f t="shared" si="1"/>
        <v>12.537521473640767</v>
      </c>
    </row>
    <row r="13" spans="1:22">
      <c r="A13" s="1">
        <v>932</v>
      </c>
      <c r="B13" s="1">
        <v>13</v>
      </c>
      <c r="H13" s="1" t="s">
        <v>178</v>
      </c>
      <c r="I13" s="1" t="s">
        <v>184</v>
      </c>
      <c r="K13" s="1" t="s">
        <v>209</v>
      </c>
      <c r="S13" s="1">
        <v>932</v>
      </c>
      <c r="T13" s="1">
        <f t="shared" si="2"/>
        <v>13.229031203088304</v>
      </c>
      <c r="U13" s="1">
        <f t="shared" si="0"/>
        <v>12.856517050057532</v>
      </c>
      <c r="V13" s="1">
        <f t="shared" si="1"/>
        <v>13.603684624457552</v>
      </c>
    </row>
    <row r="14" spans="1:22">
      <c r="A14" s="1">
        <v>755</v>
      </c>
      <c r="B14" s="1">
        <v>14.1</v>
      </c>
      <c r="G14" s="1" t="s">
        <v>183</v>
      </c>
      <c r="H14" s="1" cm="1">
        <f t="array" ref="H14:I14">LINEST(B2:B51,A2:A51,TRUE,FALSE)</f>
        <v>7.1972445656122612E-3</v>
      </c>
      <c r="I14" s="1">
        <v>6.5211992679376767</v>
      </c>
      <c r="S14" s="1">
        <v>755</v>
      </c>
      <c r="T14" s="1">
        <f t="shared" si="2"/>
        <v>11.955118914974934</v>
      </c>
      <c r="U14" s="1">
        <f t="shared" si="0"/>
        <v>11.58186960329615</v>
      </c>
      <c r="V14" s="1">
        <f t="shared" si="1"/>
        <v>12.32903717769617</v>
      </c>
    </row>
    <row r="15" spans="1:22">
      <c r="A15" s="1">
        <v>998</v>
      </c>
      <c r="B15" s="1">
        <v>11.3</v>
      </c>
      <c r="S15" s="1">
        <v>998</v>
      </c>
      <c r="T15" s="1">
        <f t="shared" si="2"/>
        <v>13.704049344418713</v>
      </c>
      <c r="U15" s="1">
        <f t="shared" si="0"/>
        <v>13.333140510381792</v>
      </c>
      <c r="V15" s="1">
        <f t="shared" si="1"/>
        <v>14.080308084781812</v>
      </c>
    </row>
    <row r="16" spans="1:22">
      <c r="A16" s="1">
        <v>1047</v>
      </c>
      <c r="B16" s="1">
        <v>14.6</v>
      </c>
      <c r="H16" s="1" t="s">
        <v>185</v>
      </c>
      <c r="I16" s="1" t="s">
        <v>186</v>
      </c>
      <c r="S16" s="1">
        <v>1047</v>
      </c>
      <c r="T16" s="1">
        <f t="shared" si="2"/>
        <v>14.056714328133715</v>
      </c>
      <c r="U16" s="1">
        <f t="shared" si="0"/>
        <v>13.68746504020025</v>
      </c>
      <c r="V16" s="1">
        <f t="shared" si="1"/>
        <v>14.43463261460027</v>
      </c>
    </row>
    <row r="17" spans="1:22">
      <c r="A17" s="1">
        <v>1143</v>
      </c>
      <c r="B17" s="1">
        <v>13.6</v>
      </c>
      <c r="G17" s="1" t="s">
        <v>187</v>
      </c>
      <c r="H17" s="1" cm="1">
        <f t="array" ref="H17:I21">LINEST(B2:B51,A2:A51,TRUE,TRUE)</f>
        <v>7.1972445656122612E-3</v>
      </c>
      <c r="I17" s="1">
        <v>6.5211992679376767</v>
      </c>
      <c r="S17" s="1">
        <v>1143</v>
      </c>
      <c r="T17" s="1">
        <f t="shared" si="2"/>
        <v>14.747649806432491</v>
      </c>
      <c r="U17" s="1">
        <f t="shared" si="0"/>
        <v>14.38280726714698</v>
      </c>
      <c r="V17" s="1">
        <f t="shared" si="1"/>
        <v>15.129974841547</v>
      </c>
    </row>
    <row r="18" spans="1:22">
      <c r="A18" s="1">
        <v>805</v>
      </c>
      <c r="B18" s="1">
        <v>12.8</v>
      </c>
      <c r="G18" s="1" t="s">
        <v>188</v>
      </c>
      <c r="H18" s="1">
        <v>3.7786486685084366E-4</v>
      </c>
      <c r="I18" s="1">
        <v>0.360631679196602</v>
      </c>
      <c r="S18" s="1">
        <v>805</v>
      </c>
      <c r="T18" s="1">
        <f t="shared" si="2"/>
        <v>12.314981143255547</v>
      </c>
      <c r="U18" s="1">
        <f t="shared" si="0"/>
        <v>11.941412438449735</v>
      </c>
      <c r="V18" s="1">
        <f t="shared" si="1"/>
        <v>12.688580012849755</v>
      </c>
    </row>
    <row r="19" spans="1:22">
      <c r="A19" s="1">
        <v>969</v>
      </c>
      <c r="B19" s="1">
        <v>13.2</v>
      </c>
      <c r="G19" s="1" t="s">
        <v>189</v>
      </c>
      <c r="H19" s="1">
        <v>0.88315296998626436</v>
      </c>
      <c r="I19" s="1">
        <v>1.3115693599883376</v>
      </c>
      <c r="S19" s="1">
        <v>969</v>
      </c>
      <c r="T19" s="1">
        <f t="shared" si="2"/>
        <v>13.495329252015958</v>
      </c>
      <c r="U19" s="1">
        <f t="shared" si="0"/>
        <v>13.123625988997308</v>
      </c>
      <c r="V19" s="1">
        <f t="shared" si="1"/>
        <v>13.870793563397328</v>
      </c>
    </row>
    <row r="20" spans="1:22">
      <c r="A20" s="1">
        <v>907</v>
      </c>
      <c r="B20" s="1">
        <v>13.4</v>
      </c>
      <c r="G20" s="1" t="s">
        <v>190</v>
      </c>
      <c r="H20" s="1">
        <v>362.79349637177285</v>
      </c>
      <c r="I20" s="1">
        <v>48</v>
      </c>
      <c r="S20" s="1">
        <v>907</v>
      </c>
      <c r="T20" s="1">
        <f t="shared" si="2"/>
        <v>13.049100088947998</v>
      </c>
      <c r="U20" s="1">
        <f t="shared" si="0"/>
        <v>12.676166690936814</v>
      </c>
      <c r="V20" s="1">
        <f t="shared" si="1"/>
        <v>13.423334265336834</v>
      </c>
    </row>
    <row r="21" spans="1:22">
      <c r="A21" s="1">
        <v>1017</v>
      </c>
      <c r="B21" s="1">
        <v>13</v>
      </c>
      <c r="G21" s="1" t="s">
        <v>191</v>
      </c>
      <c r="H21" s="1">
        <v>624.08251906910959</v>
      </c>
      <c r="I21" s="1">
        <v>82.570280930890419</v>
      </c>
      <c r="S21" s="1">
        <v>1017</v>
      </c>
      <c r="T21" s="1">
        <f t="shared" si="2"/>
        <v>13.840796991165346</v>
      </c>
      <c r="U21" s="1">
        <f t="shared" si="0"/>
        <v>13.470484343245136</v>
      </c>
      <c r="V21" s="1">
        <f t="shared" si="1"/>
        <v>14.217651917645156</v>
      </c>
    </row>
    <row r="22" spans="1:22">
      <c r="A22" s="1">
        <v>1125</v>
      </c>
      <c r="B22" s="1">
        <v>13.2</v>
      </c>
      <c r="S22" s="1">
        <v>1125</v>
      </c>
      <c r="T22" s="1">
        <f t="shared" si="2"/>
        <v>14.61809940425147</v>
      </c>
      <c r="U22" s="1">
        <f t="shared" si="0"/>
        <v>14.252314064264336</v>
      </c>
      <c r="V22" s="1">
        <f t="shared" si="1"/>
        <v>14.999481638664356</v>
      </c>
    </row>
    <row r="23" spans="1:22">
      <c r="A23" s="1">
        <v>1177</v>
      </c>
      <c r="B23" s="1">
        <v>14.9</v>
      </c>
      <c r="E23" s="1" t="s">
        <v>199</v>
      </c>
      <c r="F23" s="1">
        <f>_xlfn.T.INV.2T(0.05,45)</f>
        <v>2.0141033888808457</v>
      </c>
      <c r="G23" s="9"/>
      <c r="H23" s="9" t="s">
        <v>192</v>
      </c>
      <c r="I23" s="9" t="s">
        <v>193</v>
      </c>
      <c r="S23" s="1">
        <v>1177</v>
      </c>
      <c r="T23" s="1">
        <f t="shared" si="2"/>
        <v>14.992356121663308</v>
      </c>
      <c r="U23" s="1">
        <f t="shared" si="0"/>
        <v>14.629441176341031</v>
      </c>
      <c r="V23" s="1">
        <f t="shared" si="1"/>
        <v>15.376608750741051</v>
      </c>
    </row>
    <row r="24" spans="1:22">
      <c r="A24" s="1">
        <v>758</v>
      </c>
      <c r="B24" s="1">
        <v>12.9</v>
      </c>
      <c r="G24" s="9" t="s">
        <v>194</v>
      </c>
      <c r="H24" s="9">
        <f>H14/H18</f>
        <v>19.047138797514251</v>
      </c>
      <c r="I24" s="9">
        <f>I14/I18</f>
        <v>18.082713316992262</v>
      </c>
      <c r="S24" s="1">
        <v>758</v>
      </c>
      <c r="T24" s="1">
        <f t="shared" si="2"/>
        <v>11.976710648671769</v>
      </c>
      <c r="U24" s="1">
        <f t="shared" si="0"/>
        <v>11.603430470070927</v>
      </c>
      <c r="V24" s="1">
        <f t="shared" si="1"/>
        <v>12.350598044470948</v>
      </c>
    </row>
    <row r="25" spans="1:22">
      <c r="A25" s="1">
        <v>1000</v>
      </c>
      <c r="B25" s="1">
        <v>12.6</v>
      </c>
      <c r="G25" s="9" t="s">
        <v>195</v>
      </c>
      <c r="H25" s="9" t="str">
        <f>IF($F$23&lt;H24,"да","нет")</f>
        <v>да</v>
      </c>
      <c r="I25" s="9" t="str">
        <f>IF($F$23&lt;I24,"да","нет")</f>
        <v>да</v>
      </c>
      <c r="S25" s="1">
        <v>1000</v>
      </c>
      <c r="T25" s="1">
        <f t="shared" si="2"/>
        <v>13.718443833549937</v>
      </c>
      <c r="U25" s="1">
        <f t="shared" si="0"/>
        <v>13.347594933865711</v>
      </c>
      <c r="V25" s="1">
        <f t="shared" si="1"/>
        <v>14.094762508265731</v>
      </c>
    </row>
    <row r="26" spans="1:22">
      <c r="A26" s="1">
        <v>819</v>
      </c>
      <c r="B26" s="1">
        <v>13.1</v>
      </c>
      <c r="G26" s="9" t="s">
        <v>197</v>
      </c>
      <c r="H26" s="9">
        <f>$H$17-$F$23*$H$18</f>
        <v>6.4361856567489674E-3</v>
      </c>
      <c r="I26" s="9">
        <f>$I$17-$F$23*$I$18</f>
        <v>5.7948497807300106</v>
      </c>
      <c r="S26" s="1">
        <v>819</v>
      </c>
      <c r="T26" s="1">
        <f t="shared" si="2"/>
        <v>12.415742567174119</v>
      </c>
      <c r="U26" s="1">
        <f t="shared" si="0"/>
        <v>12.04215880241795</v>
      </c>
      <c r="V26" s="1">
        <f t="shared" si="1"/>
        <v>12.78932637681797</v>
      </c>
    </row>
    <row r="27" spans="1:22">
      <c r="A27" s="1">
        <v>837</v>
      </c>
      <c r="B27" s="1">
        <v>11.4</v>
      </c>
      <c r="E27" s="1" t="s">
        <v>200</v>
      </c>
      <c r="F27" s="1">
        <f>_xlfn.F.INV.RT(0.05,1,48)</f>
        <v>4.0426521285666537</v>
      </c>
      <c r="G27" s="9" t="s">
        <v>196</v>
      </c>
      <c r="H27" s="9">
        <f>$H$17+$F$23*$H$18</f>
        <v>7.9583034744755542E-3</v>
      </c>
      <c r="I27" s="9">
        <f>$I$17+$F$23*$I$18</f>
        <v>7.2475487551453428</v>
      </c>
      <c r="S27" s="1">
        <v>837</v>
      </c>
      <c r="T27" s="1">
        <f t="shared" si="2"/>
        <v>12.545292969355138</v>
      </c>
      <c r="U27" s="1">
        <f t="shared" si="0"/>
        <v>12.171737651171863</v>
      </c>
      <c r="V27" s="1">
        <f t="shared" si="1"/>
        <v>12.918905225571883</v>
      </c>
    </row>
    <row r="28" spans="1:22">
      <c r="A28" s="1">
        <v>1249</v>
      </c>
      <c r="B28" s="1">
        <v>16.600000000000001</v>
      </c>
      <c r="S28" s="1">
        <v>1249</v>
      </c>
      <c r="T28" s="1">
        <f t="shared" si="2"/>
        <v>15.510557730387392</v>
      </c>
      <c r="U28" s="1">
        <f t="shared" si="0"/>
        <v>15.152358222854218</v>
      </c>
      <c r="V28" s="1">
        <f t="shared" si="1"/>
        <v>15.899525797254238</v>
      </c>
    </row>
    <row r="29" spans="1:22">
      <c r="A29" s="1">
        <v>1089</v>
      </c>
      <c r="B29" s="1">
        <v>13.2</v>
      </c>
      <c r="G29" s="1" t="s">
        <v>198</v>
      </c>
      <c r="H29" s="1" t="str">
        <f>IF(F27 &lt;H20,"да","нет")</f>
        <v>да</v>
      </c>
      <c r="J29" s="43" t="s">
        <v>208</v>
      </c>
      <c r="K29" s="43"/>
      <c r="L29" s="43"/>
      <c r="M29" s="43"/>
      <c r="N29" s="43"/>
      <c r="S29" s="1">
        <v>1089</v>
      </c>
      <c r="T29" s="1">
        <f t="shared" si="2"/>
        <v>14.358998599889429</v>
      </c>
      <c r="U29" s="1">
        <f t="shared" si="0"/>
        <v>13.991489015109998</v>
      </c>
      <c r="V29" s="1">
        <f t="shared" si="1"/>
        <v>14.738656589510018</v>
      </c>
    </row>
    <row r="30" spans="1:22">
      <c r="A30" s="1">
        <v>1045</v>
      </c>
      <c r="B30" s="1">
        <v>11.5</v>
      </c>
      <c r="J30" s="43"/>
      <c r="K30" s="43"/>
      <c r="L30" s="43"/>
      <c r="M30" s="43"/>
      <c r="N30" s="43"/>
      <c r="S30" s="1">
        <v>1045</v>
      </c>
      <c r="T30" s="1">
        <f t="shared" si="2"/>
        <v>14.04231983900249</v>
      </c>
      <c r="U30" s="1">
        <f t="shared" si="0"/>
        <v>13.672995012270416</v>
      </c>
      <c r="V30" s="1">
        <f t="shared" si="1"/>
        <v>14.420162586670436</v>
      </c>
    </row>
    <row r="31" spans="1:22">
      <c r="A31" s="1">
        <v>1245</v>
      </c>
      <c r="B31" s="1">
        <v>14.3</v>
      </c>
      <c r="S31" s="1">
        <v>1245</v>
      </c>
      <c r="T31" s="1">
        <f t="shared" si="2"/>
        <v>15.481768752124943</v>
      </c>
      <c r="U31" s="1">
        <f t="shared" si="0"/>
        <v>15.123284699180555</v>
      </c>
      <c r="V31" s="1">
        <f t="shared" si="1"/>
        <v>15.870452273580575</v>
      </c>
    </row>
    <row r="32" spans="1:22">
      <c r="A32" s="1">
        <v>284</v>
      </c>
      <c r="B32" s="1">
        <v>8.4</v>
      </c>
      <c r="S32" s="1">
        <v>284</v>
      </c>
      <c r="T32" s="1">
        <f t="shared" si="2"/>
        <v>8.5652167245715596</v>
      </c>
      <c r="U32" s="1">
        <f t="shared" si="0"/>
        <v>8.2153441311896174</v>
      </c>
      <c r="V32" s="1">
        <f t="shared" si="1"/>
        <v>8.9625117055896375</v>
      </c>
    </row>
    <row r="33" spans="1:22">
      <c r="A33" s="1">
        <v>467</v>
      </c>
      <c r="B33" s="1">
        <v>9.3000000000000007</v>
      </c>
      <c r="E33" s="1" t="s">
        <v>181</v>
      </c>
      <c r="F33" s="1">
        <f>MIN(A2:A51)</f>
        <v>214</v>
      </c>
      <c r="S33" s="1">
        <v>467</v>
      </c>
      <c r="T33" s="1">
        <f t="shared" si="2"/>
        <v>9.8823124800786033</v>
      </c>
      <c r="U33" s="1">
        <f t="shared" si="0"/>
        <v>9.5189826557006754</v>
      </c>
      <c r="V33" s="1">
        <f t="shared" si="1"/>
        <v>10.266150230100695</v>
      </c>
    </row>
    <row r="34" spans="1:22">
      <c r="A34" s="1">
        <v>292</v>
      </c>
      <c r="B34" s="1">
        <v>8.9</v>
      </c>
      <c r="E34" s="1" t="s">
        <v>182</v>
      </c>
      <c r="F34" s="1">
        <f>MAX(A2:A51)</f>
        <v>2351</v>
      </c>
      <c r="S34" s="1">
        <v>292</v>
      </c>
      <c r="T34" s="1">
        <f t="shared" si="2"/>
        <v>8.6227946810964564</v>
      </c>
      <c r="U34" s="1">
        <f t="shared" ref="U34:U65" si="3">T34-$F$23*$I$19*SQRT(1/COUNT($S$2:$S$51))+(S34-$F$37)^2/$F$38</f>
        <v>8.2722175901426791</v>
      </c>
      <c r="V34" s="1">
        <f t="shared" ref="V34:V51" si="4">T34+$F$23*$I$19*SQRT(1/COUNT($S$2:$S$51))+(S34-$F$37)^2/$F$38</f>
        <v>9.0193851645426992</v>
      </c>
    </row>
    <row r="35" spans="1:22">
      <c r="A35" s="1">
        <v>332</v>
      </c>
      <c r="B35" s="1">
        <v>10.4</v>
      </c>
      <c r="E35" s="1" t="s">
        <v>201</v>
      </c>
      <c r="F35" s="1">
        <v>2500</v>
      </c>
      <c r="S35" s="1">
        <v>332</v>
      </c>
      <c r="T35" s="1">
        <f t="shared" si="2"/>
        <v>8.9106844637209477</v>
      </c>
      <c r="U35" s="1">
        <f t="shared" si="3"/>
        <v>8.5567442494620209</v>
      </c>
      <c r="V35" s="1">
        <f t="shared" si="4"/>
        <v>9.3039118238620411</v>
      </c>
    </row>
    <row r="36" spans="1:22">
      <c r="A36" s="1">
        <v>290</v>
      </c>
      <c r="B36" s="1">
        <v>7.7</v>
      </c>
      <c r="E36" s="36">
        <f>(I14+H14 *F35)</f>
        <v>24.514310681968333</v>
      </c>
      <c r="F36" s="1" t="s">
        <v>202</v>
      </c>
      <c r="S36" s="1">
        <v>290</v>
      </c>
      <c r="T36" s="1">
        <f t="shared" si="2"/>
        <v>8.6084001919652327</v>
      </c>
      <c r="U36" s="1">
        <f t="shared" si="3"/>
        <v>8.2579982293759517</v>
      </c>
      <c r="V36" s="1">
        <f t="shared" si="4"/>
        <v>9.0051658037759719</v>
      </c>
    </row>
    <row r="37" spans="1:22">
      <c r="A37" s="1">
        <v>263</v>
      </c>
      <c r="B37" s="1">
        <v>8.6999999999999993</v>
      </c>
      <c r="E37" s="1" t="s">
        <v>203</v>
      </c>
      <c r="F37" s="1">
        <f>AVERAGE(A2:A51)</f>
        <v>818.48</v>
      </c>
      <c r="S37" s="1">
        <v>263</v>
      </c>
      <c r="T37" s="1">
        <f t="shared" si="2"/>
        <v>8.4140745886937012</v>
      </c>
      <c r="U37" s="1">
        <f t="shared" si="3"/>
        <v>8.0661018498823083</v>
      </c>
      <c r="V37" s="1">
        <f t="shared" si="4"/>
        <v>8.8132694242823284</v>
      </c>
    </row>
    <row r="38" spans="1:22">
      <c r="A38" s="1">
        <v>323</v>
      </c>
      <c r="B38" s="1">
        <v>10.3</v>
      </c>
      <c r="E38" s="1" t="s">
        <v>204</v>
      </c>
      <c r="F38" s="1">
        <f>PRODUCT(COUNT(A2:A51)-1, _xlfn.VAR.S(A2:A51))</f>
        <v>12047848.48</v>
      </c>
      <c r="S38" s="1">
        <v>323</v>
      </c>
      <c r="T38" s="1">
        <f t="shared" si="2"/>
        <v>8.8459092626304372</v>
      </c>
      <c r="U38" s="1">
        <f t="shared" si="3"/>
        <v>8.4927025934534122</v>
      </c>
      <c r="V38" s="1">
        <f t="shared" si="4"/>
        <v>9.2398701678534323</v>
      </c>
    </row>
    <row r="39" spans="1:22">
      <c r="A39" s="1">
        <v>367</v>
      </c>
      <c r="B39" s="1">
        <v>10</v>
      </c>
      <c r="E39" s="1" t="s">
        <v>205</v>
      </c>
      <c r="F39" s="1">
        <f>I19</f>
        <v>1.3115693599883376</v>
      </c>
      <c r="S39" s="1">
        <v>367</v>
      </c>
      <c r="T39" s="1">
        <f t="shared" si="2"/>
        <v>9.162588023517376</v>
      </c>
      <c r="U39" s="1">
        <f t="shared" si="3"/>
        <v>8.805922957592653</v>
      </c>
      <c r="V39" s="1">
        <f t="shared" si="4"/>
        <v>9.5530905319926731</v>
      </c>
    </row>
    <row r="40" spans="1:22">
      <c r="A40" s="1">
        <v>249</v>
      </c>
      <c r="B40" s="1">
        <v>8.6999999999999993</v>
      </c>
      <c r="E40" s="1" t="s">
        <v>206</v>
      </c>
      <c r="F40" s="1">
        <f>F23*F39*SQRT(1 + 1/COUNT(A2:A51) + (2500-F37)^2/F38)</f>
        <v>2.9589746207889891</v>
      </c>
      <c r="S40" s="1">
        <v>249</v>
      </c>
      <c r="T40" s="1">
        <f t="shared" si="2"/>
        <v>8.3133131647751295</v>
      </c>
      <c r="U40" s="1">
        <f t="shared" si="3"/>
        <v>7.96664766683966</v>
      </c>
      <c r="V40" s="1">
        <f t="shared" si="4"/>
        <v>8.713815241239681</v>
      </c>
    </row>
    <row r="41" spans="1:22">
      <c r="A41" s="1">
        <v>214</v>
      </c>
      <c r="B41" s="1">
        <v>5.5</v>
      </c>
      <c r="E41" s="1" t="s">
        <v>197</v>
      </c>
      <c r="F41" s="36">
        <f>E36-F40</f>
        <v>21.555336061179343</v>
      </c>
      <c r="G41" s="42" t="s">
        <v>207</v>
      </c>
      <c r="H41" s="42"/>
      <c r="I41" s="42"/>
      <c r="J41" s="42"/>
      <c r="K41" s="42"/>
      <c r="L41" s="42"/>
      <c r="S41" s="1">
        <v>214</v>
      </c>
      <c r="T41" s="1">
        <f t="shared" si="2"/>
        <v>8.0614096049787012</v>
      </c>
      <c r="U41" s="1">
        <f t="shared" si="3"/>
        <v>7.7181545583008333</v>
      </c>
      <c r="V41" s="1">
        <f t="shared" si="4"/>
        <v>8.4653221327008534</v>
      </c>
    </row>
    <row r="42" spans="1:22">
      <c r="A42" s="1">
        <v>451</v>
      </c>
      <c r="B42" s="1">
        <v>9.5</v>
      </c>
      <c r="E42" s="1" t="s">
        <v>196</v>
      </c>
      <c r="F42" s="36">
        <f>E36+F40</f>
        <v>27.473285302757322</v>
      </c>
      <c r="G42" s="42"/>
      <c r="H42" s="42"/>
      <c r="I42" s="42"/>
      <c r="J42" s="42"/>
      <c r="K42" s="42"/>
      <c r="L42" s="42"/>
      <c r="S42" s="1">
        <v>451</v>
      </c>
      <c r="T42" s="1">
        <f t="shared" si="2"/>
        <v>9.7671565670288061</v>
      </c>
      <c r="U42" s="1">
        <f t="shared" si="3"/>
        <v>9.4047815488155724</v>
      </c>
      <c r="V42" s="1">
        <f t="shared" si="4"/>
        <v>10.151949123215593</v>
      </c>
    </row>
    <row r="43" spans="1:22">
      <c r="A43" s="1">
        <v>421</v>
      </c>
      <c r="B43" s="1">
        <v>11.8</v>
      </c>
      <c r="S43" s="1">
        <v>421</v>
      </c>
      <c r="T43" s="1">
        <f t="shared" si="2"/>
        <v>9.551239230060439</v>
      </c>
      <c r="U43" s="1">
        <f t="shared" si="3"/>
        <v>9.1907690166792122</v>
      </c>
      <c r="V43" s="1">
        <f t="shared" si="4"/>
        <v>9.9379365910792323</v>
      </c>
    </row>
    <row r="44" spans="1:22">
      <c r="A44" s="1">
        <v>236</v>
      </c>
      <c r="B44" s="1">
        <v>6.7</v>
      </c>
      <c r="S44" s="1">
        <v>236</v>
      </c>
      <c r="T44" s="1">
        <f t="shared" si="2"/>
        <v>8.2197489854221697</v>
      </c>
      <c r="U44" s="1">
        <f t="shared" si="3"/>
        <v>7.8743264878468775</v>
      </c>
      <c r="V44" s="1">
        <f t="shared" si="4"/>
        <v>8.6214940622468976</v>
      </c>
    </row>
    <row r="45" spans="1:22">
      <c r="A45" s="1">
        <v>418</v>
      </c>
      <c r="B45" s="1">
        <v>10.6</v>
      </c>
      <c r="S45" s="1">
        <v>418</v>
      </c>
      <c r="T45" s="1">
        <f t="shared" si="2"/>
        <v>9.5296474963636015</v>
      </c>
      <c r="U45" s="1">
        <f t="shared" si="3"/>
        <v>9.1693759807003925</v>
      </c>
      <c r="V45" s="1">
        <f t="shared" si="4"/>
        <v>9.9165435551004126</v>
      </c>
    </row>
    <row r="46" spans="1:22">
      <c r="A46" s="1">
        <v>272</v>
      </c>
      <c r="B46" s="1">
        <v>9.1999999999999993</v>
      </c>
      <c r="S46" s="1">
        <v>272</v>
      </c>
      <c r="T46" s="1">
        <f t="shared" si="2"/>
        <v>8.4788497897842117</v>
      </c>
      <c r="U46" s="1">
        <f t="shared" si="3"/>
        <v>8.1300538633292767</v>
      </c>
      <c r="V46" s="1">
        <f t="shared" si="4"/>
        <v>8.8772214377292968</v>
      </c>
    </row>
    <row r="47" spans="1:22">
      <c r="A47" s="1">
        <v>321</v>
      </c>
      <c r="B47" s="1">
        <v>5.7</v>
      </c>
      <c r="S47" s="1">
        <v>321</v>
      </c>
      <c r="T47" s="1">
        <f t="shared" si="2"/>
        <v>8.8315147734992117</v>
      </c>
      <c r="U47" s="1">
        <f t="shared" si="3"/>
        <v>8.4784729403925692</v>
      </c>
      <c r="V47" s="1">
        <f t="shared" si="4"/>
        <v>9.2256405147925893</v>
      </c>
    </row>
    <row r="48" spans="1:22">
      <c r="A48" s="1">
        <v>295</v>
      </c>
      <c r="B48" s="1">
        <v>8.1</v>
      </c>
      <c r="S48" s="1">
        <v>295</v>
      </c>
      <c r="T48" s="1">
        <f t="shared" si="2"/>
        <v>8.6443864147932938</v>
      </c>
      <c r="U48" s="1">
        <f t="shared" si="3"/>
        <v>8.2935478763283506</v>
      </c>
      <c r="V48" s="1">
        <f t="shared" si="4"/>
        <v>9.0407154507283707</v>
      </c>
    </row>
    <row r="49" spans="1:22">
      <c r="A49" s="1">
        <v>424</v>
      </c>
      <c r="B49" s="1">
        <v>10.5</v>
      </c>
      <c r="S49" s="1">
        <v>424</v>
      </c>
      <c r="T49" s="1">
        <f t="shared" si="2"/>
        <v>9.5728309637572764</v>
      </c>
      <c r="U49" s="1">
        <f t="shared" si="3"/>
        <v>9.2121635467007259</v>
      </c>
      <c r="V49" s="1">
        <f t="shared" si="4"/>
        <v>9.959331121100746</v>
      </c>
    </row>
    <row r="50" spans="1:22">
      <c r="A50" s="1">
        <v>449</v>
      </c>
      <c r="B50" s="1">
        <v>9.4</v>
      </c>
      <c r="S50" s="1">
        <v>449</v>
      </c>
      <c r="T50" s="1">
        <f t="shared" si="2"/>
        <v>9.7527620778975823</v>
      </c>
      <c r="U50" s="1">
        <f t="shared" si="3"/>
        <v>9.3905093985403223</v>
      </c>
      <c r="V50" s="1">
        <f t="shared" si="4"/>
        <v>10.137676972940342</v>
      </c>
    </row>
    <row r="51" spans="1:22">
      <c r="A51" s="1">
        <v>394</v>
      </c>
      <c r="B51" s="1">
        <v>10.4</v>
      </c>
      <c r="S51" s="1">
        <v>394</v>
      </c>
      <c r="T51" s="1">
        <f t="shared" si="2"/>
        <v>9.3569136267889075</v>
      </c>
      <c r="U51" s="1">
        <f t="shared" si="3"/>
        <v>8.9982854784068245</v>
      </c>
      <c r="V51" s="1">
        <f t="shared" si="4"/>
        <v>9.7454530528068446</v>
      </c>
    </row>
    <row r="52" spans="1:22">
      <c r="A52" s="9"/>
      <c r="S52" s="9"/>
    </row>
  </sheetData>
  <mergeCells count="3">
    <mergeCell ref="C1:H1"/>
    <mergeCell ref="G41:L42"/>
    <mergeCell ref="J29:N30"/>
  </mergeCells>
  <pageMargins left="0.7" right="0.7" top="0.75" bottom="0.75" header="0.3" footer="0.3"/>
  <pageSetup paperSize="9" orientation="portrait" horizontalDpi="0" verticalDpi="0" r:id="rId1"/>
  <rowBreaks count="1" manualBreakCount="1">
    <brk id="26" max="16383" man="1"/>
  </rowBreaks>
  <colBreaks count="1" manualBreakCount="1">
    <brk id="4" max="1048575" man="1"/>
  </colBreaks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04149C2-BC31-45B2-B878-1144AFBB57B0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'Задание №3'!Q22</xm:f>
              <xm:sqref>X28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73"/>
  <sheetViews>
    <sheetView workbookViewId="0">
      <pane xSplit="1" topLeftCell="B1" activePane="topRight" state="frozen"/>
      <selection pane="topRight" activeCell="B4" sqref="B4"/>
    </sheetView>
  </sheetViews>
  <sheetFormatPr defaultColWidth="8.7109375" defaultRowHeight="15"/>
  <cols>
    <col min="1" max="1" width="14.28515625" style="1" bestFit="1" customWidth="1"/>
    <col min="2" max="2" width="26.7109375" bestFit="1" customWidth="1"/>
    <col min="3" max="3" width="25.7109375" bestFit="1" customWidth="1"/>
    <col min="4" max="4" width="22.7109375" bestFit="1" customWidth="1"/>
    <col min="5" max="5" width="22.42578125" bestFit="1" customWidth="1"/>
    <col min="6" max="6" width="26" bestFit="1" customWidth="1"/>
    <col min="7" max="7" width="26.42578125" bestFit="1" customWidth="1"/>
    <col min="8" max="8" width="26.7109375" bestFit="1" customWidth="1"/>
    <col min="9" max="9" width="16.7109375" bestFit="1" customWidth="1"/>
    <col min="10" max="10" width="18" bestFit="1" customWidth="1"/>
    <col min="11" max="11" width="20.42578125" bestFit="1" customWidth="1"/>
    <col min="12" max="12" width="22.140625" bestFit="1" customWidth="1"/>
    <col min="13" max="13" width="23.7109375" bestFit="1" customWidth="1"/>
    <col min="14" max="14" width="15.140625" bestFit="1" customWidth="1"/>
    <col min="15" max="15" width="12.42578125" bestFit="1" customWidth="1"/>
    <col min="16" max="16" width="16.28515625" bestFit="1" customWidth="1"/>
    <col min="17" max="17" width="17.42578125" bestFit="1" customWidth="1"/>
    <col min="18" max="18" width="14.7109375" bestFit="1" customWidth="1"/>
    <col min="19" max="19" width="14" bestFit="1" customWidth="1"/>
    <col min="20" max="22" width="12.42578125" bestFit="1" customWidth="1"/>
    <col min="23" max="23" width="21.7109375" bestFit="1" customWidth="1"/>
    <col min="24" max="24" width="25.7109375" bestFit="1" customWidth="1"/>
    <col min="25" max="25" width="19.42578125" bestFit="1" customWidth="1"/>
    <col min="26" max="26" width="13.7109375" bestFit="1" customWidth="1"/>
    <col min="27" max="27" width="18.42578125" bestFit="1" customWidth="1"/>
    <col min="28" max="28" width="17.42578125" bestFit="1" customWidth="1"/>
    <col min="29" max="29" width="19.7109375" bestFit="1" customWidth="1"/>
    <col min="30" max="30" width="15.28515625" bestFit="1" customWidth="1"/>
    <col min="31" max="31" width="14.7109375" bestFit="1" customWidth="1"/>
    <col min="32" max="32" width="14.28515625" bestFit="1" customWidth="1"/>
    <col min="33" max="33" width="20.140625" bestFit="1" customWidth="1"/>
    <col min="34" max="34" width="21.42578125" bestFit="1" customWidth="1"/>
    <col min="35" max="35" width="14.42578125" bestFit="1" customWidth="1"/>
    <col min="36" max="36" width="15.42578125" bestFit="1" customWidth="1"/>
    <col min="37" max="37" width="17.28515625" bestFit="1" customWidth="1"/>
    <col min="38" max="38" width="20.140625" bestFit="1" customWidth="1"/>
    <col min="39" max="39" width="16.7109375" bestFit="1" customWidth="1"/>
    <col min="40" max="40" width="22" bestFit="1" customWidth="1"/>
    <col min="41" max="41" width="27.140625" bestFit="1" customWidth="1"/>
    <col min="42" max="42" width="27.42578125" bestFit="1" customWidth="1"/>
    <col min="43" max="43" width="29.28515625" bestFit="1" customWidth="1"/>
    <col min="44" max="44" width="17.42578125" bestFit="1" customWidth="1"/>
    <col min="45" max="45" width="15.7109375" bestFit="1" customWidth="1"/>
    <col min="46" max="46" width="18.7109375" bestFit="1" customWidth="1"/>
    <col min="47" max="47" width="15.42578125" bestFit="1" customWidth="1"/>
    <col min="48" max="48" width="18.7109375" bestFit="1" customWidth="1"/>
    <col min="49" max="49" width="16.42578125" bestFit="1" customWidth="1"/>
    <col min="50" max="50" width="12.42578125" bestFit="1" customWidth="1"/>
    <col min="51" max="51" width="14.7109375" bestFit="1" customWidth="1"/>
    <col min="52" max="52" width="17.42578125" bestFit="1" customWidth="1"/>
    <col min="53" max="53" width="20.7109375" bestFit="1" customWidth="1"/>
    <col min="54" max="54" width="18.7109375" bestFit="1" customWidth="1"/>
    <col min="55" max="55" width="18.42578125" bestFit="1" customWidth="1"/>
    <col min="56" max="56" width="13.42578125" bestFit="1" customWidth="1"/>
    <col min="57" max="57" width="16.7109375" bestFit="1" customWidth="1"/>
    <col min="58" max="58" width="15.42578125" bestFit="1" customWidth="1"/>
    <col min="59" max="59" width="13.42578125" bestFit="1" customWidth="1"/>
    <col min="60" max="60" width="15.7109375" bestFit="1" customWidth="1"/>
    <col min="61" max="61" width="21.7109375" bestFit="1" customWidth="1"/>
  </cols>
  <sheetData>
    <row r="1" spans="1:6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</row>
    <row r="2" spans="1:61">
      <c r="A2" s="1" t="s">
        <v>65</v>
      </c>
      <c r="B2" t="s">
        <v>67</v>
      </c>
      <c r="C2" t="s">
        <v>68</v>
      </c>
      <c r="D2" t="s">
        <v>69</v>
      </c>
      <c r="E2" t="s">
        <v>70</v>
      </c>
      <c r="F2" t="s">
        <v>127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77</v>
      </c>
      <c r="N2" t="s">
        <v>78</v>
      </c>
      <c r="O2" t="s">
        <v>79</v>
      </c>
      <c r="P2" t="s">
        <v>80</v>
      </c>
      <c r="Q2" t="s">
        <v>120</v>
      </c>
      <c r="R2" t="s">
        <v>81</v>
      </c>
      <c r="S2" t="s">
        <v>82</v>
      </c>
      <c r="T2" t="s">
        <v>83</v>
      </c>
      <c r="U2" t="s">
        <v>84</v>
      </c>
      <c r="V2" t="s">
        <v>85</v>
      </c>
      <c r="W2" t="s">
        <v>86</v>
      </c>
      <c r="X2" t="s">
        <v>87</v>
      </c>
      <c r="Y2" t="s">
        <v>88</v>
      </c>
      <c r="Z2" t="s">
        <v>89</v>
      </c>
      <c r="AA2" t="s">
        <v>90</v>
      </c>
      <c r="AB2" t="s">
        <v>121</v>
      </c>
      <c r="AC2" t="s">
        <v>122</v>
      </c>
      <c r="AD2" t="s">
        <v>91</v>
      </c>
      <c r="AE2" t="s">
        <v>92</v>
      </c>
      <c r="AF2" t="s">
        <v>93</v>
      </c>
      <c r="AG2" t="s">
        <v>94</v>
      </c>
      <c r="AH2" t="s">
        <v>95</v>
      </c>
      <c r="AI2" t="s">
        <v>96</v>
      </c>
      <c r="AJ2" t="s">
        <v>97</v>
      </c>
      <c r="AK2" t="s">
        <v>98</v>
      </c>
      <c r="AL2" t="s">
        <v>99</v>
      </c>
      <c r="AM2" t="s">
        <v>100</v>
      </c>
      <c r="AN2" t="s">
        <v>123</v>
      </c>
      <c r="AO2" t="s">
        <v>124</v>
      </c>
      <c r="AP2" t="s">
        <v>125</v>
      </c>
      <c r="AQ2" t="s">
        <v>126</v>
      </c>
      <c r="AR2" t="s">
        <v>101</v>
      </c>
      <c r="AS2" t="s">
        <v>102</v>
      </c>
      <c r="AT2" t="s">
        <v>103</v>
      </c>
      <c r="AU2" t="s">
        <v>104</v>
      </c>
      <c r="AV2" t="s">
        <v>105</v>
      </c>
      <c r="AW2" t="s">
        <v>106</v>
      </c>
      <c r="AX2" t="s">
        <v>107</v>
      </c>
      <c r="AY2" t="s">
        <v>108</v>
      </c>
      <c r="AZ2" t="s">
        <v>109</v>
      </c>
      <c r="BA2" t="s">
        <v>110</v>
      </c>
      <c r="BB2" t="s">
        <v>111</v>
      </c>
      <c r="BC2" t="s">
        <v>112</v>
      </c>
      <c r="BD2" t="s">
        <v>113</v>
      </c>
      <c r="BE2" t="s">
        <v>114</v>
      </c>
      <c r="BF2" t="s">
        <v>115</v>
      </c>
      <c r="BG2" t="s">
        <v>116</v>
      </c>
      <c r="BH2" t="s">
        <v>117</v>
      </c>
      <c r="BI2" t="s">
        <v>118</v>
      </c>
    </row>
    <row r="3" spans="1:61">
      <c r="A3" s="1" t="s">
        <v>119</v>
      </c>
      <c r="B3" s="1" t="s">
        <v>66</v>
      </c>
      <c r="C3" s="1" t="s">
        <v>66</v>
      </c>
      <c r="D3" s="1" t="s">
        <v>66</v>
      </c>
      <c r="E3" s="1" t="s">
        <v>66</v>
      </c>
      <c r="F3" s="1" t="s">
        <v>66</v>
      </c>
      <c r="G3" s="1" t="s">
        <v>66</v>
      </c>
      <c r="H3" s="1" t="s">
        <v>66</v>
      </c>
      <c r="I3" s="1" t="s">
        <v>66</v>
      </c>
      <c r="J3" s="1" t="s">
        <v>66</v>
      </c>
      <c r="K3" s="1" t="s">
        <v>66</v>
      </c>
      <c r="L3" s="1" t="s">
        <v>66</v>
      </c>
      <c r="M3" s="1" t="s">
        <v>66</v>
      </c>
      <c r="N3" s="1" t="s">
        <v>66</v>
      </c>
      <c r="O3" s="1" t="s">
        <v>66</v>
      </c>
      <c r="P3" s="1" t="s">
        <v>66</v>
      </c>
      <c r="Q3" s="1" t="s">
        <v>66</v>
      </c>
      <c r="R3" s="1" t="s">
        <v>66</v>
      </c>
      <c r="S3" s="1" t="s">
        <v>66</v>
      </c>
      <c r="T3" s="1" t="s">
        <v>66</v>
      </c>
      <c r="U3" s="1" t="s">
        <v>66</v>
      </c>
      <c r="V3" s="1" t="s">
        <v>66</v>
      </c>
      <c r="W3" s="1" t="s">
        <v>66</v>
      </c>
      <c r="X3" s="1" t="s">
        <v>66</v>
      </c>
      <c r="Y3" s="1" t="s">
        <v>66</v>
      </c>
      <c r="Z3" s="1" t="s">
        <v>66</v>
      </c>
      <c r="AA3" s="1" t="s">
        <v>66</v>
      </c>
      <c r="AB3" s="1" t="s">
        <v>66</v>
      </c>
      <c r="AC3" s="1" t="s">
        <v>66</v>
      </c>
      <c r="AD3" s="1" t="s">
        <v>66</v>
      </c>
      <c r="AE3" s="1" t="s">
        <v>66</v>
      </c>
      <c r="AF3" s="1" t="s">
        <v>66</v>
      </c>
      <c r="AG3" s="1" t="s">
        <v>66</v>
      </c>
      <c r="AH3" s="1" t="s">
        <v>66</v>
      </c>
      <c r="AI3" s="1" t="s">
        <v>66</v>
      </c>
      <c r="AJ3" s="1" t="s">
        <v>66</v>
      </c>
      <c r="AK3" s="1" t="s">
        <v>66</v>
      </c>
      <c r="AL3" s="1" t="s">
        <v>66</v>
      </c>
      <c r="AM3" s="1" t="s">
        <v>66</v>
      </c>
      <c r="AN3" s="1" t="s">
        <v>66</v>
      </c>
      <c r="AO3" s="1" t="s">
        <v>66</v>
      </c>
      <c r="AP3" s="1" t="s">
        <v>66</v>
      </c>
      <c r="AQ3" s="1" t="s">
        <v>66</v>
      </c>
      <c r="AR3" s="1" t="s">
        <v>66</v>
      </c>
      <c r="AS3" s="1" t="s">
        <v>66</v>
      </c>
      <c r="AT3" s="1" t="s">
        <v>66</v>
      </c>
      <c r="AU3" s="1" t="s">
        <v>66</v>
      </c>
      <c r="AV3" s="1" t="s">
        <v>66</v>
      </c>
      <c r="AW3" s="1" t="s">
        <v>66</v>
      </c>
      <c r="AX3" s="1" t="s">
        <v>66</v>
      </c>
      <c r="AY3" s="1" t="s">
        <v>66</v>
      </c>
      <c r="AZ3" s="1" t="s">
        <v>66</v>
      </c>
      <c r="BA3" s="1" t="s">
        <v>66</v>
      </c>
      <c r="BB3" s="1" t="s">
        <v>66</v>
      </c>
      <c r="BC3" s="1" t="s">
        <v>66</v>
      </c>
      <c r="BD3" s="1" t="s">
        <v>66</v>
      </c>
      <c r="BE3" s="1" t="s">
        <v>66</v>
      </c>
      <c r="BF3" s="1" t="s">
        <v>66</v>
      </c>
      <c r="BG3" s="1" t="s">
        <v>66</v>
      </c>
      <c r="BH3" s="1" t="s">
        <v>66</v>
      </c>
      <c r="BI3" s="1" t="s">
        <v>66</v>
      </c>
    </row>
    <row r="4" spans="1:61">
      <c r="A4" s="1">
        <v>1</v>
      </c>
      <c r="B4" s="2">
        <v>2132.9299999999998</v>
      </c>
      <c r="C4" s="2">
        <v>1195.47</v>
      </c>
      <c r="D4" s="2">
        <v>1457.45</v>
      </c>
      <c r="E4" s="2">
        <v>1938.84</v>
      </c>
      <c r="F4" s="2">
        <v>1754.88</v>
      </c>
      <c r="G4" s="2">
        <v>2906.57</v>
      </c>
      <c r="H4" s="2">
        <v>10067.61</v>
      </c>
      <c r="I4" s="2">
        <v>11369.15</v>
      </c>
      <c r="J4" s="2">
        <v>5515.61</v>
      </c>
      <c r="K4" s="2">
        <v>7106.63</v>
      </c>
      <c r="L4" s="2">
        <v>1051.5899999999999</v>
      </c>
      <c r="M4" s="2">
        <v>1390.59</v>
      </c>
      <c r="N4" s="2">
        <v>3185.2</v>
      </c>
      <c r="O4" s="2">
        <v>5677.77</v>
      </c>
      <c r="P4" s="2">
        <v>5268.85</v>
      </c>
      <c r="Q4" s="2">
        <v>2185.0500000000002</v>
      </c>
      <c r="R4" s="2">
        <v>2755.52</v>
      </c>
      <c r="S4" s="2">
        <v>3128.23</v>
      </c>
      <c r="T4" s="2">
        <v>2570.4</v>
      </c>
      <c r="U4" s="2">
        <v>3746.95</v>
      </c>
      <c r="V4" s="2">
        <v>5598.77</v>
      </c>
      <c r="W4" s="2">
        <v>15154.5</v>
      </c>
      <c r="X4" s="2">
        <v>21674.799999999999</v>
      </c>
      <c r="Y4" s="2">
        <v>13569.42</v>
      </c>
      <c r="Z4" s="2">
        <v>16578.689999999999</v>
      </c>
      <c r="AA4" s="2">
        <v>19288.330000000002</v>
      </c>
      <c r="AB4" s="2">
        <v>3890.51</v>
      </c>
      <c r="AC4" s="2">
        <v>1488.53</v>
      </c>
      <c r="AD4" s="2">
        <v>11876.8</v>
      </c>
      <c r="AE4" s="2">
        <v>3576.95</v>
      </c>
      <c r="AF4" s="2">
        <v>1658.79</v>
      </c>
      <c r="AG4" s="2">
        <v>10313.969999999999</v>
      </c>
      <c r="AH4" s="2">
        <v>4537.93</v>
      </c>
      <c r="AI4" s="2">
        <v>4714.91</v>
      </c>
      <c r="AJ4" s="2">
        <v>3891.37</v>
      </c>
      <c r="AK4" s="2">
        <v>1753.74</v>
      </c>
      <c r="AL4" s="2">
        <v>1323.82</v>
      </c>
      <c r="AM4" s="2">
        <v>1109.3</v>
      </c>
      <c r="AN4" s="2">
        <v>3060.9</v>
      </c>
      <c r="AO4" s="2">
        <v>3199.81</v>
      </c>
      <c r="AP4" s="2">
        <v>1335.8</v>
      </c>
      <c r="AQ4" s="2">
        <v>2108.6999999999998</v>
      </c>
      <c r="AR4" s="2">
        <v>1869.78</v>
      </c>
      <c r="AS4" s="2">
        <v>1172.81</v>
      </c>
      <c r="AT4" s="2">
        <v>3462.91</v>
      </c>
      <c r="AU4" s="2">
        <v>8425.76</v>
      </c>
      <c r="AV4" s="2">
        <v>4179.51</v>
      </c>
      <c r="AW4" s="2">
        <v>955.42</v>
      </c>
      <c r="AX4" s="2">
        <v>2102.41</v>
      </c>
      <c r="AY4" s="2">
        <v>1769.58</v>
      </c>
      <c r="AZ4" s="2">
        <v>1335.36</v>
      </c>
      <c r="BA4" s="2">
        <v>1321.57</v>
      </c>
      <c r="BB4" s="2">
        <v>1121.8699999999999</v>
      </c>
      <c r="BC4" s="2">
        <v>3474.99</v>
      </c>
      <c r="BD4" s="2">
        <v>1169.52</v>
      </c>
      <c r="BE4" s="2">
        <v>1622.52</v>
      </c>
      <c r="BF4" s="2">
        <v>1678.24</v>
      </c>
      <c r="BG4" s="2">
        <v>880.42</v>
      </c>
      <c r="BH4" s="2">
        <v>1315.49</v>
      </c>
      <c r="BI4" s="2">
        <v>604.94000000000005</v>
      </c>
    </row>
    <row r="5" spans="1:61">
      <c r="A5" s="1">
        <v>2</v>
      </c>
      <c r="B5" s="2">
        <v>2951.97</v>
      </c>
      <c r="C5" s="2">
        <v>2192.5100000000002</v>
      </c>
      <c r="D5" s="2">
        <v>2313.9299999999998</v>
      </c>
      <c r="E5" s="2">
        <v>2234.04</v>
      </c>
      <c r="F5" s="2">
        <v>2445.5100000000002</v>
      </c>
      <c r="G5" s="2">
        <v>4066.29</v>
      </c>
      <c r="H5" s="2">
        <v>13767.88</v>
      </c>
      <c r="I5" s="2">
        <v>19268.29</v>
      </c>
      <c r="J5" s="2">
        <v>7579.13</v>
      </c>
      <c r="K5" s="2">
        <v>13100.73</v>
      </c>
      <c r="L5" s="2">
        <v>1371.89</v>
      </c>
      <c r="M5" s="2">
        <v>1872.3</v>
      </c>
      <c r="N5" s="2">
        <v>4253.05</v>
      </c>
      <c r="O5" s="2">
        <v>7004.88</v>
      </c>
      <c r="P5" s="2">
        <v>8165</v>
      </c>
      <c r="Q5" s="2">
        <v>2726.82</v>
      </c>
      <c r="R5" s="2">
        <v>3647.91</v>
      </c>
      <c r="S5" s="2">
        <v>3758.12</v>
      </c>
      <c r="T5" s="2">
        <v>2829.27</v>
      </c>
      <c r="U5" s="2">
        <v>5830.75</v>
      </c>
      <c r="V5" s="2">
        <v>10451.48</v>
      </c>
      <c r="W5" s="2">
        <v>19512</v>
      </c>
      <c r="X5" s="2">
        <v>41093.480000000003</v>
      </c>
      <c r="Y5" s="2">
        <v>21534.77</v>
      </c>
      <c r="Z5" s="2">
        <v>23385.98</v>
      </c>
      <c r="AA5" s="2">
        <v>23966.76</v>
      </c>
      <c r="AB5" s="2">
        <v>4267.78</v>
      </c>
      <c r="AC5" s="2">
        <v>2988.47</v>
      </c>
      <c r="AD5" s="2">
        <v>20289.04</v>
      </c>
      <c r="AE5" s="2">
        <v>6510.07</v>
      </c>
      <c r="AF5" s="2">
        <v>3511.79</v>
      </c>
      <c r="AG5" s="2">
        <v>12222.8</v>
      </c>
      <c r="AH5" s="2">
        <v>8353.2900000000009</v>
      </c>
      <c r="AI5" s="2">
        <v>7254.15</v>
      </c>
      <c r="AJ5" s="2">
        <v>4735.1400000000003</v>
      </c>
      <c r="AK5" s="2">
        <v>2456.5700000000002</v>
      </c>
      <c r="AL5" s="2">
        <v>1247.7</v>
      </c>
      <c r="AM5" s="2">
        <v>1408.27</v>
      </c>
      <c r="AN5" s="2">
        <v>5139.1899999999996</v>
      </c>
      <c r="AO5" s="2">
        <v>4970.91</v>
      </c>
      <c r="AP5" s="2">
        <v>1261.52</v>
      </c>
      <c r="AQ5" s="2">
        <v>3892.09</v>
      </c>
      <c r="AR5" s="2">
        <v>2803.34</v>
      </c>
      <c r="AS5" s="2">
        <v>1384.23</v>
      </c>
      <c r="AT5" s="2">
        <v>4195.3900000000003</v>
      </c>
      <c r="AU5" s="2">
        <v>10886.77</v>
      </c>
      <c r="AV5" s="2">
        <v>5107.5</v>
      </c>
      <c r="AW5" s="2">
        <v>1148.4100000000001</v>
      </c>
      <c r="AX5" s="2">
        <v>3719.6</v>
      </c>
      <c r="AY5" s="2">
        <v>2650.88</v>
      </c>
      <c r="AZ5" s="2">
        <v>1911.82</v>
      </c>
      <c r="BA5" s="2">
        <v>1702.06</v>
      </c>
      <c r="BB5" s="2">
        <v>1513.08</v>
      </c>
      <c r="BC5" s="2">
        <v>5424.98</v>
      </c>
      <c r="BD5" s="2">
        <v>1345.59</v>
      </c>
      <c r="BE5" s="2">
        <v>3396.04</v>
      </c>
      <c r="BF5" s="2">
        <v>2037.67</v>
      </c>
      <c r="BG5" s="2">
        <v>1258.17</v>
      </c>
      <c r="BH5" s="2">
        <v>2139.48</v>
      </c>
      <c r="BI5" s="2">
        <v>960.89</v>
      </c>
    </row>
    <row r="6" spans="1:61">
      <c r="A6" s="1">
        <v>3</v>
      </c>
      <c r="B6" s="2">
        <v>1916.96</v>
      </c>
      <c r="C6" s="2">
        <v>1505.72</v>
      </c>
      <c r="D6" s="2">
        <v>1438.49</v>
      </c>
      <c r="E6" s="2">
        <v>1327.28</v>
      </c>
      <c r="F6" s="2">
        <v>1698.6</v>
      </c>
      <c r="G6" s="2">
        <v>2762.17</v>
      </c>
      <c r="H6" s="2">
        <v>12116.56</v>
      </c>
      <c r="I6" s="2">
        <v>5798.26</v>
      </c>
      <c r="J6" s="2">
        <v>2821.73</v>
      </c>
      <c r="K6" s="2">
        <v>8558.65</v>
      </c>
      <c r="L6" s="2">
        <v>1149.76</v>
      </c>
      <c r="M6" s="2">
        <v>1322.92</v>
      </c>
      <c r="N6" s="2">
        <v>2271.6</v>
      </c>
      <c r="O6" s="2">
        <v>4631.74</v>
      </c>
      <c r="P6" s="2">
        <v>5941.04</v>
      </c>
      <c r="Q6" s="2">
        <v>1438.36</v>
      </c>
      <c r="R6" s="2">
        <v>2228.91</v>
      </c>
      <c r="S6" s="2">
        <v>1771.07</v>
      </c>
      <c r="T6" s="2">
        <v>1771.42</v>
      </c>
      <c r="U6" s="2">
        <v>4042.84</v>
      </c>
      <c r="V6" s="2">
        <v>5078.99</v>
      </c>
      <c r="W6" s="2">
        <v>13555.61</v>
      </c>
      <c r="X6" s="2">
        <v>18077.88</v>
      </c>
      <c r="Y6" s="2">
        <v>16819.36</v>
      </c>
      <c r="Z6" s="2">
        <v>13846.56</v>
      </c>
      <c r="AA6" s="2">
        <v>12406.45</v>
      </c>
      <c r="AB6" s="2">
        <v>3272.75</v>
      </c>
      <c r="AC6" s="2">
        <v>2162.63</v>
      </c>
      <c r="AD6" s="2">
        <v>12325.83</v>
      </c>
      <c r="AE6" s="2">
        <v>2945.06</v>
      </c>
      <c r="AF6" s="2">
        <v>2225.64</v>
      </c>
      <c r="AG6" s="2">
        <v>5450.28</v>
      </c>
      <c r="AH6" s="2">
        <v>4379.72</v>
      </c>
      <c r="AI6" s="2">
        <v>4906.13</v>
      </c>
      <c r="AJ6" s="2">
        <v>4206.16</v>
      </c>
      <c r="AK6" s="2">
        <v>1447.41</v>
      </c>
      <c r="AL6" s="2">
        <v>1123.53</v>
      </c>
      <c r="AM6" s="2">
        <v>1003.17</v>
      </c>
      <c r="AN6" s="2">
        <v>3088.55</v>
      </c>
      <c r="AO6" s="2">
        <v>2528.13</v>
      </c>
      <c r="AP6" s="2">
        <v>948.76</v>
      </c>
      <c r="AQ6" s="2">
        <v>2366.79</v>
      </c>
      <c r="AR6" s="2">
        <v>1985.74</v>
      </c>
      <c r="AS6" s="2">
        <v>1379.25</v>
      </c>
      <c r="AT6" s="2">
        <v>2337.52</v>
      </c>
      <c r="AU6" s="2">
        <v>4942.49</v>
      </c>
      <c r="AV6" s="2">
        <v>3563.25</v>
      </c>
      <c r="AW6" s="2">
        <v>765.64</v>
      </c>
      <c r="AX6" s="2">
        <v>1490.71</v>
      </c>
      <c r="AY6" s="2">
        <v>1553.78</v>
      </c>
      <c r="AZ6" s="2">
        <v>1357.28</v>
      </c>
      <c r="BA6" s="2">
        <v>1052.75</v>
      </c>
      <c r="BB6" s="2">
        <v>997.47</v>
      </c>
      <c r="BC6" s="2">
        <v>3651.87</v>
      </c>
      <c r="BD6" s="2">
        <v>1112.2</v>
      </c>
      <c r="BE6" s="2">
        <v>2912.85</v>
      </c>
      <c r="BF6" s="2">
        <v>1289.52</v>
      </c>
      <c r="BG6" s="2">
        <v>680.21</v>
      </c>
      <c r="BH6" s="2">
        <v>1140.9100000000001</v>
      </c>
      <c r="BI6" s="2">
        <v>570.01</v>
      </c>
    </row>
    <row r="7" spans="1:61">
      <c r="A7" s="1">
        <v>4</v>
      </c>
      <c r="B7" s="2">
        <v>715.36</v>
      </c>
      <c r="C7" s="2">
        <v>630.20000000000005</v>
      </c>
      <c r="D7" s="2">
        <v>527.28</v>
      </c>
      <c r="E7" s="2">
        <v>1129.3499999999999</v>
      </c>
      <c r="F7" s="2">
        <v>1207.55</v>
      </c>
      <c r="G7" s="2">
        <v>1524.28</v>
      </c>
      <c r="H7" s="2">
        <v>6069.34</v>
      </c>
      <c r="I7" s="2">
        <v>8091.43</v>
      </c>
      <c r="J7" s="2">
        <v>1726.38</v>
      </c>
      <c r="K7" s="2">
        <v>6480.4</v>
      </c>
      <c r="L7" s="2">
        <v>530.51</v>
      </c>
      <c r="M7" s="2">
        <v>575.57000000000005</v>
      </c>
      <c r="N7" s="2">
        <v>2220.46</v>
      </c>
      <c r="O7" s="2">
        <v>4264</v>
      </c>
      <c r="P7" s="2">
        <v>3666.9</v>
      </c>
      <c r="Q7" s="2">
        <v>857.09</v>
      </c>
      <c r="R7" s="2">
        <v>1940.09</v>
      </c>
      <c r="S7" s="2">
        <v>1933.24</v>
      </c>
      <c r="T7" s="2">
        <v>890.69</v>
      </c>
      <c r="U7" s="2">
        <v>3306.94</v>
      </c>
      <c r="V7" s="2">
        <v>3378.55</v>
      </c>
      <c r="W7" s="2">
        <v>12034.13</v>
      </c>
      <c r="X7" s="2">
        <v>14476.72</v>
      </c>
      <c r="Y7" s="2">
        <v>8632.9699999999993</v>
      </c>
      <c r="Z7" s="2">
        <v>12335.83</v>
      </c>
      <c r="AA7" s="2">
        <v>4068.5</v>
      </c>
      <c r="AB7" s="2">
        <v>1508.19</v>
      </c>
      <c r="AC7" s="2">
        <v>441.03</v>
      </c>
      <c r="AD7" s="2">
        <v>10061.32</v>
      </c>
      <c r="AE7" s="2">
        <v>3249.74</v>
      </c>
      <c r="AF7" s="2">
        <v>1591.37</v>
      </c>
      <c r="AG7" s="2">
        <v>6619.29</v>
      </c>
      <c r="AH7" s="2">
        <v>2862.4</v>
      </c>
      <c r="AI7" s="2">
        <v>2318.14</v>
      </c>
      <c r="AJ7" s="2">
        <v>773.74</v>
      </c>
      <c r="AK7" s="2">
        <v>783.74</v>
      </c>
      <c r="AL7" s="2">
        <v>459.17</v>
      </c>
      <c r="AM7" s="2">
        <v>859.67</v>
      </c>
      <c r="AN7" s="2">
        <v>2580.17</v>
      </c>
      <c r="AO7" s="2">
        <v>1517.27</v>
      </c>
      <c r="AP7" s="2">
        <v>861.04</v>
      </c>
      <c r="AQ7" s="2">
        <v>925.85</v>
      </c>
      <c r="AR7" s="2">
        <v>991.3</v>
      </c>
      <c r="AS7" s="2">
        <v>837.54</v>
      </c>
      <c r="AT7" s="2">
        <v>1715.92</v>
      </c>
      <c r="AU7" s="2">
        <v>3608.3</v>
      </c>
      <c r="AV7" s="2">
        <v>1851.94</v>
      </c>
      <c r="AW7" s="2">
        <v>592.67999999999995</v>
      </c>
      <c r="AX7" s="2">
        <v>1234.6300000000001</v>
      </c>
      <c r="AY7" s="2">
        <v>1093.5</v>
      </c>
      <c r="AZ7" s="2">
        <v>949.42</v>
      </c>
      <c r="BA7" s="2">
        <v>747.02</v>
      </c>
      <c r="BB7" s="2">
        <v>722.86</v>
      </c>
      <c r="BC7" s="2">
        <v>2121.5300000000002</v>
      </c>
      <c r="BD7" s="2">
        <v>550.83000000000004</v>
      </c>
      <c r="BE7" s="2">
        <v>1187.56</v>
      </c>
      <c r="BF7" s="2">
        <v>682.44</v>
      </c>
      <c r="BG7" s="2">
        <v>567.46</v>
      </c>
      <c r="BH7" s="2">
        <v>845.9</v>
      </c>
      <c r="BI7" s="2">
        <v>548.70000000000005</v>
      </c>
    </row>
    <row r="8" spans="1:61">
      <c r="A8" s="1">
        <v>5</v>
      </c>
      <c r="B8" s="2">
        <v>797.25</v>
      </c>
      <c r="C8" s="2">
        <v>938.23</v>
      </c>
      <c r="D8" s="2">
        <v>1030.1199999999999</v>
      </c>
      <c r="E8" s="2">
        <v>962.81</v>
      </c>
      <c r="F8" s="2">
        <v>1199.28</v>
      </c>
      <c r="G8" s="2">
        <v>1560.85</v>
      </c>
      <c r="H8" s="2">
        <v>6542.47</v>
      </c>
      <c r="I8" s="2">
        <v>9718.09</v>
      </c>
      <c r="J8" s="2">
        <v>3196.88</v>
      </c>
      <c r="K8" s="2">
        <v>7016.18</v>
      </c>
      <c r="L8" s="2">
        <v>380.27</v>
      </c>
      <c r="M8" s="2">
        <v>483.03</v>
      </c>
      <c r="N8" s="2">
        <v>1978.7</v>
      </c>
      <c r="O8" s="2">
        <v>2581.9</v>
      </c>
      <c r="P8" s="2">
        <v>3128.4</v>
      </c>
      <c r="Q8" s="2">
        <v>978.97</v>
      </c>
      <c r="R8" s="2">
        <v>1456.19</v>
      </c>
      <c r="S8" s="2">
        <v>1031.79</v>
      </c>
      <c r="T8" s="2">
        <v>1224.5</v>
      </c>
      <c r="U8" s="2">
        <v>2176</v>
      </c>
      <c r="V8" s="2">
        <v>3082.77</v>
      </c>
      <c r="W8" s="2">
        <v>8152.56</v>
      </c>
      <c r="X8" s="2">
        <v>12321.3</v>
      </c>
      <c r="Y8" s="2">
        <v>1915.86</v>
      </c>
      <c r="Z8" s="2">
        <v>7365.84</v>
      </c>
      <c r="AA8" s="2">
        <v>10651.93</v>
      </c>
      <c r="AB8" s="2">
        <v>3097.22</v>
      </c>
      <c r="AC8" s="2">
        <v>781.08</v>
      </c>
      <c r="AD8" s="2">
        <v>6889.54</v>
      </c>
      <c r="AE8" s="2">
        <v>1637.09</v>
      </c>
      <c r="AF8" s="2">
        <v>1159.17</v>
      </c>
      <c r="AG8" s="2">
        <v>3922.24</v>
      </c>
      <c r="AH8" s="2">
        <v>5267.95</v>
      </c>
      <c r="AI8" s="2">
        <v>2485.7600000000002</v>
      </c>
      <c r="AJ8" s="2">
        <v>2307.48</v>
      </c>
      <c r="AK8" s="2">
        <v>933.9</v>
      </c>
      <c r="AL8" s="2">
        <v>985.68</v>
      </c>
      <c r="AM8" s="2">
        <v>735.11</v>
      </c>
      <c r="AN8" s="2">
        <v>1324.45</v>
      </c>
      <c r="AO8" s="2">
        <v>1659.47</v>
      </c>
      <c r="AP8" s="2">
        <v>747.46</v>
      </c>
      <c r="AQ8" s="2">
        <v>686.56</v>
      </c>
      <c r="AR8" s="2">
        <v>1096.83</v>
      </c>
      <c r="AS8" s="2">
        <v>681.8</v>
      </c>
      <c r="AT8" s="2">
        <v>1373.11</v>
      </c>
      <c r="AU8" s="2">
        <v>4185.8100000000004</v>
      </c>
      <c r="AV8" s="2">
        <v>1366.49</v>
      </c>
      <c r="AW8" s="2">
        <v>700.17</v>
      </c>
      <c r="AX8" s="2">
        <v>1039.58</v>
      </c>
      <c r="AY8" s="2">
        <v>966.81</v>
      </c>
      <c r="AZ8" s="2">
        <v>1202.68</v>
      </c>
      <c r="BA8" s="2">
        <v>1075.06</v>
      </c>
      <c r="BB8" s="2">
        <v>681.54</v>
      </c>
      <c r="BC8" s="2">
        <v>2018.38</v>
      </c>
      <c r="BD8" s="2">
        <v>933.72</v>
      </c>
      <c r="BE8" s="2">
        <v>1216.9000000000001</v>
      </c>
      <c r="BF8" s="2">
        <v>908.21</v>
      </c>
      <c r="BG8" s="2">
        <v>785.66</v>
      </c>
      <c r="BH8" s="2">
        <v>1038.32</v>
      </c>
      <c r="BI8" s="2">
        <v>440.26</v>
      </c>
    </row>
    <row r="9" spans="1:61">
      <c r="A9" s="1">
        <v>6</v>
      </c>
      <c r="B9" s="2">
        <v>1085.03</v>
      </c>
      <c r="C9" s="2">
        <v>1467.7</v>
      </c>
      <c r="D9" s="2">
        <v>974.94</v>
      </c>
      <c r="E9" s="2">
        <v>1194.53</v>
      </c>
      <c r="F9" s="2">
        <v>1682.86</v>
      </c>
      <c r="G9" s="2">
        <v>2218.9</v>
      </c>
      <c r="H9" s="2">
        <v>2719.54</v>
      </c>
      <c r="I9" s="2">
        <v>6691.86</v>
      </c>
      <c r="J9" s="2">
        <v>3074.15</v>
      </c>
      <c r="K9" s="2">
        <v>6815.36</v>
      </c>
      <c r="L9" s="2">
        <v>882.12</v>
      </c>
      <c r="M9" s="2">
        <v>519.58000000000004</v>
      </c>
      <c r="N9" s="2">
        <v>1281.51</v>
      </c>
      <c r="O9" s="2">
        <v>3404.68</v>
      </c>
      <c r="P9" s="2">
        <v>3882.5</v>
      </c>
      <c r="Q9" s="2">
        <v>1847.39</v>
      </c>
      <c r="R9" s="2">
        <v>1919.48</v>
      </c>
      <c r="S9" s="2">
        <v>2254.0700000000002</v>
      </c>
      <c r="T9" s="2">
        <v>1711.64</v>
      </c>
      <c r="U9" s="2">
        <v>2950.61</v>
      </c>
      <c r="V9" s="2">
        <v>3456.73</v>
      </c>
      <c r="W9" s="2">
        <v>11547.9</v>
      </c>
      <c r="X9" s="2">
        <v>11353.17</v>
      </c>
      <c r="Y9" s="2">
        <v>8830.06</v>
      </c>
      <c r="Z9" s="2">
        <v>10091.67</v>
      </c>
      <c r="AA9" s="2">
        <v>12087.31</v>
      </c>
      <c r="AB9" s="2">
        <v>2746.88</v>
      </c>
      <c r="AC9" s="2">
        <v>913.83</v>
      </c>
      <c r="AD9" s="2">
        <v>12261.71</v>
      </c>
      <c r="AE9" s="2">
        <v>1848.97</v>
      </c>
      <c r="AF9" s="2">
        <v>1091.3900000000001</v>
      </c>
      <c r="AG9" s="2">
        <v>5986.82</v>
      </c>
      <c r="AH9" s="2">
        <v>3647.7</v>
      </c>
      <c r="AI9" s="2">
        <v>1814.88</v>
      </c>
      <c r="AJ9" s="2">
        <v>4102.78</v>
      </c>
      <c r="AK9" s="2">
        <v>866.83</v>
      </c>
      <c r="AL9" s="2">
        <v>334.58</v>
      </c>
      <c r="AM9" s="2">
        <v>871.37</v>
      </c>
      <c r="AN9" s="2">
        <v>2490.17</v>
      </c>
      <c r="AO9" s="2">
        <v>1703.38</v>
      </c>
      <c r="AP9" s="2">
        <v>737.57</v>
      </c>
      <c r="AQ9" s="2">
        <v>1312.41</v>
      </c>
      <c r="AR9" s="2">
        <v>1295.54</v>
      </c>
      <c r="AS9" s="2">
        <v>1070.58</v>
      </c>
      <c r="AT9" s="2">
        <v>2500.2800000000002</v>
      </c>
      <c r="AU9" s="2">
        <v>4322.8500000000004</v>
      </c>
      <c r="AV9" s="2">
        <v>2406.87</v>
      </c>
      <c r="AW9" s="2">
        <v>673.91</v>
      </c>
      <c r="AX9" s="2">
        <v>1250.56</v>
      </c>
      <c r="AY9" s="2">
        <v>1221.78</v>
      </c>
      <c r="AZ9" s="2">
        <v>1211.69</v>
      </c>
      <c r="BA9" s="2">
        <v>639.36</v>
      </c>
      <c r="BB9" s="2">
        <v>820.59</v>
      </c>
      <c r="BC9" s="2">
        <v>3433.05</v>
      </c>
      <c r="BD9" s="2">
        <v>989.72</v>
      </c>
      <c r="BE9" s="2">
        <v>1354.19</v>
      </c>
      <c r="BF9" s="2">
        <v>936.68</v>
      </c>
      <c r="BG9" s="2">
        <v>656.65</v>
      </c>
      <c r="BH9" s="2">
        <v>1009.69</v>
      </c>
      <c r="BI9" s="2">
        <v>438.96</v>
      </c>
    </row>
    <row r="10" spans="1:61">
      <c r="A10" s="1">
        <v>7</v>
      </c>
      <c r="B10" s="2">
        <v>2228.29</v>
      </c>
      <c r="C10" s="2">
        <v>863.14</v>
      </c>
      <c r="D10" s="2">
        <v>1565.02</v>
      </c>
      <c r="E10" s="2">
        <v>1175.31</v>
      </c>
      <c r="F10" s="2">
        <v>1536.07</v>
      </c>
      <c r="G10" s="2">
        <v>2048.66</v>
      </c>
      <c r="H10" s="2">
        <v>9568.66</v>
      </c>
      <c r="I10" s="2">
        <v>11921.17</v>
      </c>
      <c r="J10" s="2">
        <v>4825.26</v>
      </c>
      <c r="K10" s="2">
        <v>10195.75</v>
      </c>
      <c r="L10" s="2">
        <v>1048.17</v>
      </c>
      <c r="M10" s="2">
        <v>989.99</v>
      </c>
      <c r="N10" s="2">
        <v>2047.79</v>
      </c>
      <c r="O10" s="2">
        <v>3366</v>
      </c>
      <c r="P10" s="2">
        <v>3928.77</v>
      </c>
      <c r="Q10" s="2">
        <v>1599.75</v>
      </c>
      <c r="R10" s="2">
        <v>2263.6</v>
      </c>
      <c r="S10" s="2">
        <v>1836.68</v>
      </c>
      <c r="T10" s="2">
        <v>2026.4</v>
      </c>
      <c r="U10" s="2">
        <v>2820.49</v>
      </c>
      <c r="V10" s="2">
        <v>6643.63</v>
      </c>
      <c r="W10" s="2">
        <v>10196.959999999999</v>
      </c>
      <c r="X10" s="2">
        <v>22061.24</v>
      </c>
      <c r="Y10" s="2">
        <v>12781.09</v>
      </c>
      <c r="Z10" s="2">
        <v>14187.84</v>
      </c>
      <c r="AA10" s="2">
        <v>14245.95</v>
      </c>
      <c r="AB10" s="2">
        <v>2872.1</v>
      </c>
      <c r="AC10" s="2">
        <v>1177.05</v>
      </c>
      <c r="AD10" s="2">
        <v>8422.5</v>
      </c>
      <c r="AE10" s="2">
        <v>3008.39</v>
      </c>
      <c r="AF10" s="2">
        <v>2027.45</v>
      </c>
      <c r="AG10" s="2">
        <v>7035.11</v>
      </c>
      <c r="AH10" s="2">
        <v>3732.03</v>
      </c>
      <c r="AI10" s="2">
        <v>3505.74</v>
      </c>
      <c r="AJ10" s="2">
        <v>3089.28</v>
      </c>
      <c r="AK10" s="2">
        <v>1766.17</v>
      </c>
      <c r="AL10" s="2">
        <v>1103.46</v>
      </c>
      <c r="AM10" s="2">
        <v>724.74</v>
      </c>
      <c r="AN10" s="2">
        <v>2933.06</v>
      </c>
      <c r="AO10" s="2">
        <v>2101.02</v>
      </c>
      <c r="AP10" s="2">
        <v>1262.07</v>
      </c>
      <c r="AQ10" s="2">
        <v>1919.44</v>
      </c>
      <c r="AR10" s="2">
        <v>1959.8</v>
      </c>
      <c r="AS10" s="2">
        <v>1162.1400000000001</v>
      </c>
      <c r="AT10" s="2">
        <v>2705.56</v>
      </c>
      <c r="AU10" s="2">
        <v>5765.44</v>
      </c>
      <c r="AV10" s="2">
        <v>2985.36</v>
      </c>
      <c r="AW10" s="2">
        <v>616.05999999999995</v>
      </c>
      <c r="AX10" s="2">
        <v>2594.83</v>
      </c>
      <c r="AY10" s="2">
        <v>1233.3900000000001</v>
      </c>
      <c r="AZ10" s="2">
        <v>1135.6099999999999</v>
      </c>
      <c r="BA10" s="2">
        <v>1345.82</v>
      </c>
      <c r="BB10" s="2">
        <v>966.6</v>
      </c>
      <c r="BC10" s="2">
        <v>4562.6000000000004</v>
      </c>
      <c r="BD10" s="2">
        <v>849.51</v>
      </c>
      <c r="BE10" s="2">
        <v>1839.9</v>
      </c>
      <c r="BF10" s="2">
        <v>1064.49</v>
      </c>
      <c r="BG10" s="2">
        <v>857.75</v>
      </c>
      <c r="BH10" s="2">
        <v>1107.1500000000001</v>
      </c>
      <c r="BI10" s="2">
        <v>624.94000000000005</v>
      </c>
    </row>
    <row r="11" spans="1:61">
      <c r="A11" s="1">
        <v>8</v>
      </c>
      <c r="B11" s="2">
        <v>1958.83</v>
      </c>
      <c r="C11" s="2">
        <v>2133.6</v>
      </c>
      <c r="D11" s="2">
        <v>1995.2</v>
      </c>
      <c r="E11" s="2">
        <v>1955.55</v>
      </c>
      <c r="F11" s="2">
        <v>2323.91</v>
      </c>
      <c r="G11" s="2">
        <v>3654.88</v>
      </c>
      <c r="H11" s="2">
        <v>13455.08</v>
      </c>
      <c r="I11" s="2">
        <v>19429.3</v>
      </c>
      <c r="J11" s="2">
        <v>5973.73</v>
      </c>
      <c r="K11" s="2">
        <v>11885.76</v>
      </c>
      <c r="L11" s="2">
        <v>1179.45</v>
      </c>
      <c r="M11" s="2">
        <v>1748.27</v>
      </c>
      <c r="N11" s="2">
        <v>2990.19</v>
      </c>
      <c r="O11" s="2">
        <v>7695.32</v>
      </c>
      <c r="P11" s="2">
        <v>6261.92</v>
      </c>
      <c r="Q11" s="2">
        <v>3379.05</v>
      </c>
      <c r="R11" s="2">
        <v>2703.4</v>
      </c>
      <c r="S11" s="2">
        <v>4647.16</v>
      </c>
      <c r="T11" s="2">
        <v>2595.79</v>
      </c>
      <c r="U11" s="2">
        <v>5096.2</v>
      </c>
      <c r="V11" s="2">
        <v>6905.26</v>
      </c>
      <c r="W11" s="2">
        <v>22262.14</v>
      </c>
      <c r="X11" s="2">
        <v>34131.25</v>
      </c>
      <c r="Y11" s="2">
        <v>21165.74</v>
      </c>
      <c r="Z11" s="2">
        <v>21575.72</v>
      </c>
      <c r="AA11" s="2">
        <v>17668.95</v>
      </c>
      <c r="AB11" s="2">
        <v>4921.04</v>
      </c>
      <c r="AC11" s="2">
        <v>2105.04</v>
      </c>
      <c r="AD11" s="2">
        <v>14868.46</v>
      </c>
      <c r="AE11" s="2">
        <v>3875.45</v>
      </c>
      <c r="AF11" s="2">
        <v>3567.45</v>
      </c>
      <c r="AG11" s="2">
        <v>14671.45</v>
      </c>
      <c r="AH11" s="2">
        <v>8479.16</v>
      </c>
      <c r="AI11" s="2">
        <v>6385.29</v>
      </c>
      <c r="AJ11" s="2">
        <v>5264.22</v>
      </c>
      <c r="AK11" s="2">
        <v>1965.86</v>
      </c>
      <c r="AL11" s="2">
        <v>1528.95</v>
      </c>
      <c r="AM11" s="2">
        <v>1340.76</v>
      </c>
      <c r="AN11" s="2">
        <v>4089.4</v>
      </c>
      <c r="AO11" s="2">
        <v>3893.9</v>
      </c>
      <c r="AP11" s="2">
        <v>1407.63</v>
      </c>
      <c r="AQ11" s="2">
        <v>2821.32</v>
      </c>
      <c r="AR11" s="2">
        <v>2481.98</v>
      </c>
      <c r="AS11" s="2">
        <v>2108.63</v>
      </c>
      <c r="AT11" s="2">
        <v>3996.48</v>
      </c>
      <c r="AU11" s="2">
        <v>9854.2999999999993</v>
      </c>
      <c r="AV11" s="2">
        <v>5945</v>
      </c>
      <c r="AW11" s="2">
        <v>977.01</v>
      </c>
      <c r="AX11" s="2">
        <v>2937.18</v>
      </c>
      <c r="AY11" s="2">
        <v>2056.1799999999998</v>
      </c>
      <c r="AZ11" s="2">
        <v>1424.85</v>
      </c>
      <c r="BA11" s="2">
        <v>1506.29</v>
      </c>
      <c r="BB11" s="2">
        <v>897.56</v>
      </c>
      <c r="BC11" s="2">
        <v>4772.6099999999997</v>
      </c>
      <c r="BD11" s="2">
        <v>1522.38</v>
      </c>
      <c r="BE11" s="2">
        <v>3279.55</v>
      </c>
      <c r="BF11" s="2">
        <v>1734.83</v>
      </c>
      <c r="BG11" s="2">
        <v>1277.1600000000001</v>
      </c>
      <c r="BH11" s="2">
        <v>1411.4</v>
      </c>
      <c r="BI11" s="2">
        <v>862.57</v>
      </c>
    </row>
    <row r="12" spans="1:61">
      <c r="A12" s="1">
        <v>9</v>
      </c>
      <c r="B12" s="2">
        <v>2795.91</v>
      </c>
      <c r="C12" s="2">
        <v>2713.41</v>
      </c>
      <c r="D12" s="2">
        <v>2141.08</v>
      </c>
      <c r="E12" s="2">
        <v>2817.65</v>
      </c>
      <c r="F12" s="2">
        <v>2949.55</v>
      </c>
      <c r="G12" s="2">
        <v>5509.13</v>
      </c>
      <c r="H12" s="2">
        <v>14184.69</v>
      </c>
      <c r="I12" s="2">
        <v>23914.23</v>
      </c>
      <c r="J12" s="2">
        <v>6745.4</v>
      </c>
      <c r="K12" s="2">
        <v>16325.64</v>
      </c>
      <c r="L12" s="2">
        <v>1333.75</v>
      </c>
      <c r="M12" s="2">
        <v>2091.38</v>
      </c>
      <c r="N12" s="2">
        <v>4428.6499999999996</v>
      </c>
      <c r="O12" s="2">
        <v>8061.45</v>
      </c>
      <c r="P12" s="2">
        <v>8735.9</v>
      </c>
      <c r="Q12" s="2">
        <v>3471.83</v>
      </c>
      <c r="R12" s="2">
        <v>5401.43</v>
      </c>
      <c r="S12" s="2">
        <v>5272.22</v>
      </c>
      <c r="T12" s="2">
        <v>3693.13</v>
      </c>
      <c r="U12" s="2">
        <v>7562.75</v>
      </c>
      <c r="V12" s="2">
        <v>10215.49</v>
      </c>
      <c r="W12" s="2">
        <v>26284.21</v>
      </c>
      <c r="X12" s="2">
        <v>45644.02</v>
      </c>
      <c r="Y12" s="2">
        <v>32811.67</v>
      </c>
      <c r="Z12" s="2">
        <v>29784.35</v>
      </c>
      <c r="AA12" s="2">
        <v>24716.78</v>
      </c>
      <c r="AB12" s="2">
        <v>6517.69</v>
      </c>
      <c r="AC12" s="2">
        <v>2953.96</v>
      </c>
      <c r="AD12" s="2">
        <v>22755.66</v>
      </c>
      <c r="AE12" s="2">
        <v>5640.02</v>
      </c>
      <c r="AF12" s="2">
        <v>4589.62</v>
      </c>
      <c r="AG12" s="2">
        <v>18162.900000000001</v>
      </c>
      <c r="AH12" s="2">
        <v>9278.86</v>
      </c>
      <c r="AI12" s="2">
        <v>8873.98</v>
      </c>
      <c r="AJ12" s="2">
        <v>6952.85</v>
      </c>
      <c r="AK12" s="2">
        <v>2572.3000000000002</v>
      </c>
      <c r="AL12" s="2">
        <v>1585.13</v>
      </c>
      <c r="AM12" s="2">
        <v>1667.28</v>
      </c>
      <c r="AN12" s="2">
        <v>5846.22</v>
      </c>
      <c r="AO12" s="2">
        <v>4038.87</v>
      </c>
      <c r="AP12" s="2">
        <v>1839.78</v>
      </c>
      <c r="AQ12" s="2">
        <v>3725.66</v>
      </c>
      <c r="AR12" s="2">
        <v>3304.8</v>
      </c>
      <c r="AS12" s="2">
        <v>2674.62</v>
      </c>
      <c r="AT12" s="2">
        <v>4921.57</v>
      </c>
      <c r="AU12" s="2">
        <v>14028.53</v>
      </c>
      <c r="AV12" s="2">
        <v>6364.92</v>
      </c>
      <c r="AW12" s="2">
        <v>1150.31</v>
      </c>
      <c r="AX12" s="2">
        <v>3532.56</v>
      </c>
      <c r="AY12" s="2">
        <v>2598.96</v>
      </c>
      <c r="AZ12" s="2">
        <v>2495.5300000000002</v>
      </c>
      <c r="BA12" s="2">
        <v>2083.2399999999998</v>
      </c>
      <c r="BB12" s="2">
        <v>1851.8</v>
      </c>
      <c r="BC12" s="2">
        <v>6863.98</v>
      </c>
      <c r="BD12" s="2">
        <v>1837.18</v>
      </c>
      <c r="BE12" s="2">
        <v>4128.62</v>
      </c>
      <c r="BF12" s="2">
        <v>2476.13</v>
      </c>
      <c r="BG12" s="2">
        <v>1484.96</v>
      </c>
      <c r="BH12" s="2">
        <v>2013.69</v>
      </c>
      <c r="BI12" s="2">
        <v>1238.03</v>
      </c>
    </row>
    <row r="13" spans="1:61">
      <c r="A13" s="1">
        <v>10</v>
      </c>
      <c r="B13" s="2">
        <v>1896.44</v>
      </c>
      <c r="C13" s="2">
        <v>1621.71</v>
      </c>
      <c r="D13" s="2">
        <v>1983.37</v>
      </c>
      <c r="E13" s="2">
        <v>2097.66</v>
      </c>
      <c r="F13" s="2">
        <v>2098.12</v>
      </c>
      <c r="G13" s="2">
        <v>3400.67</v>
      </c>
      <c r="H13" s="2">
        <v>14196.2</v>
      </c>
      <c r="I13" s="2">
        <v>14487.43</v>
      </c>
      <c r="J13" s="2">
        <v>6351.33</v>
      </c>
      <c r="K13" s="2">
        <v>10266.73</v>
      </c>
      <c r="L13" s="2">
        <v>1139.72</v>
      </c>
      <c r="M13" s="2">
        <v>1231.3800000000001</v>
      </c>
      <c r="N13" s="2">
        <v>2969.58</v>
      </c>
      <c r="O13" s="2">
        <v>5839.23</v>
      </c>
      <c r="P13" s="2">
        <v>4453.53</v>
      </c>
      <c r="Q13" s="2">
        <v>2297.12</v>
      </c>
      <c r="R13" s="2">
        <v>3292.82</v>
      </c>
      <c r="S13" s="2">
        <v>3423.28</v>
      </c>
      <c r="T13" s="2">
        <v>3027.21</v>
      </c>
      <c r="U13" s="2">
        <v>4890.2700000000004</v>
      </c>
      <c r="V13" s="2">
        <v>7715.73</v>
      </c>
      <c r="W13" s="2">
        <v>19313.349999999999</v>
      </c>
      <c r="X13" s="2">
        <v>29217.8</v>
      </c>
      <c r="Y13" s="2">
        <v>24055.24</v>
      </c>
      <c r="Z13" s="2">
        <v>18235.41</v>
      </c>
      <c r="AA13" s="2">
        <v>21107.46</v>
      </c>
      <c r="AB13" s="2">
        <v>4107.1099999999997</v>
      </c>
      <c r="AC13" s="2">
        <v>2154.3200000000002</v>
      </c>
      <c r="AD13" s="2">
        <v>20439.189999999999</v>
      </c>
      <c r="AE13" s="2">
        <v>3003.3</v>
      </c>
      <c r="AF13" s="2">
        <v>3167.05</v>
      </c>
      <c r="AG13" s="2">
        <v>10927.34</v>
      </c>
      <c r="AH13" s="2">
        <v>7351.42</v>
      </c>
      <c r="AI13" s="2">
        <v>4818.6000000000004</v>
      </c>
      <c r="AJ13" s="2">
        <v>4783.34</v>
      </c>
      <c r="AK13" s="2">
        <v>2048.6999999999998</v>
      </c>
      <c r="AL13" s="2">
        <v>1157.97</v>
      </c>
      <c r="AM13" s="2">
        <v>1335.8</v>
      </c>
      <c r="AN13" s="2">
        <v>4152.72</v>
      </c>
      <c r="AO13" s="2">
        <v>3745.95</v>
      </c>
      <c r="AP13" s="2">
        <v>1638.26</v>
      </c>
      <c r="AQ13" s="2">
        <v>2130.94</v>
      </c>
      <c r="AR13" s="2">
        <v>1690.3</v>
      </c>
      <c r="AS13" s="2">
        <v>1661.27</v>
      </c>
      <c r="AT13" s="2">
        <v>3859.7</v>
      </c>
      <c r="AU13" s="2">
        <v>9478.81</v>
      </c>
      <c r="AV13" s="2">
        <v>4025.25</v>
      </c>
      <c r="AW13" s="2">
        <v>849.96</v>
      </c>
      <c r="AX13" s="2">
        <v>2107.62</v>
      </c>
      <c r="AY13" s="2">
        <v>2025.14</v>
      </c>
      <c r="AZ13" s="2">
        <v>1802.37</v>
      </c>
      <c r="BA13" s="2">
        <v>1350.76</v>
      </c>
      <c r="BB13" s="2">
        <v>1164.71</v>
      </c>
      <c r="BC13" s="2">
        <v>5387.73</v>
      </c>
      <c r="BD13" s="2">
        <v>1323.05</v>
      </c>
      <c r="BE13" s="2">
        <v>3250.04</v>
      </c>
      <c r="BF13" s="2">
        <v>1361.37</v>
      </c>
      <c r="BG13" s="2">
        <v>928.48</v>
      </c>
      <c r="BH13" s="2">
        <v>1375.94</v>
      </c>
      <c r="BI13" s="2">
        <v>865.46</v>
      </c>
    </row>
    <row r="14" spans="1:61">
      <c r="A14" s="1">
        <v>11</v>
      </c>
      <c r="B14" s="2">
        <v>1867.11</v>
      </c>
      <c r="C14" s="2">
        <v>987.79</v>
      </c>
      <c r="D14" s="2">
        <v>953.71</v>
      </c>
      <c r="E14" s="2">
        <v>1579.1</v>
      </c>
      <c r="F14" s="2">
        <v>1341.18</v>
      </c>
      <c r="G14" s="2">
        <v>2488.85</v>
      </c>
      <c r="H14" s="2">
        <v>7554.24</v>
      </c>
      <c r="I14" s="2">
        <v>10638.45</v>
      </c>
      <c r="J14" s="2">
        <v>3618.84</v>
      </c>
      <c r="K14" s="2">
        <v>5543.91</v>
      </c>
      <c r="L14" s="2">
        <v>879.09</v>
      </c>
      <c r="M14" s="2">
        <v>1081.52</v>
      </c>
      <c r="N14" s="2">
        <v>2123.67</v>
      </c>
      <c r="O14" s="2">
        <v>3455.07</v>
      </c>
      <c r="P14" s="2">
        <v>5396.06</v>
      </c>
      <c r="Q14" s="2">
        <v>1543.39</v>
      </c>
      <c r="R14" s="2">
        <v>1555.34</v>
      </c>
      <c r="S14" s="2">
        <v>2454.39</v>
      </c>
      <c r="T14" s="2">
        <v>1764.15</v>
      </c>
      <c r="U14" s="2">
        <v>3551.33</v>
      </c>
      <c r="V14" s="2">
        <v>5298.77</v>
      </c>
      <c r="W14" s="2">
        <v>20750.23</v>
      </c>
      <c r="X14" s="2">
        <v>24183.07</v>
      </c>
      <c r="Y14" s="2">
        <v>14281.25</v>
      </c>
      <c r="Z14" s="2">
        <v>13723.57</v>
      </c>
      <c r="AA14" s="2">
        <v>14165.51</v>
      </c>
      <c r="AB14" s="2">
        <v>2476.7399999999998</v>
      </c>
      <c r="AC14" s="2">
        <v>929.7</v>
      </c>
      <c r="AD14" s="2">
        <v>13420.83</v>
      </c>
      <c r="AE14" s="2">
        <v>3516.4</v>
      </c>
      <c r="AF14" s="2">
        <v>2397.06</v>
      </c>
      <c r="AG14" s="2">
        <v>5329.61</v>
      </c>
      <c r="AH14" s="2">
        <v>4871.1099999999997</v>
      </c>
      <c r="AI14" s="2">
        <v>4002.28</v>
      </c>
      <c r="AJ14" s="2">
        <v>3071.83</v>
      </c>
      <c r="AK14" s="2">
        <v>1637.43</v>
      </c>
      <c r="AL14" s="2">
        <v>762.01</v>
      </c>
      <c r="AM14" s="2">
        <v>739.23</v>
      </c>
      <c r="AN14" s="2">
        <v>2785.01</v>
      </c>
      <c r="AO14" s="2">
        <v>2357.11</v>
      </c>
      <c r="AP14" s="2">
        <v>1290.58</v>
      </c>
      <c r="AQ14" s="2">
        <v>1667.3</v>
      </c>
      <c r="AR14" s="2">
        <v>1622.49</v>
      </c>
      <c r="AS14" s="2">
        <v>1254.82</v>
      </c>
      <c r="AT14" s="2">
        <v>2635.36</v>
      </c>
      <c r="AU14" s="2">
        <v>5876.93</v>
      </c>
      <c r="AV14" s="2">
        <v>4115.5200000000004</v>
      </c>
      <c r="AW14" s="2">
        <v>654.22</v>
      </c>
      <c r="AX14" s="2">
        <v>2084.91</v>
      </c>
      <c r="AY14" s="2">
        <v>1566.52</v>
      </c>
      <c r="AZ14" s="2">
        <v>1394.45</v>
      </c>
      <c r="BA14" s="2">
        <v>1203.42</v>
      </c>
      <c r="BB14" s="2">
        <v>686.94</v>
      </c>
      <c r="BC14" s="2">
        <v>2839.84</v>
      </c>
      <c r="BD14" s="2">
        <v>1042.4100000000001</v>
      </c>
      <c r="BE14" s="2">
        <v>1780.66</v>
      </c>
      <c r="BF14" s="2">
        <v>1549.14</v>
      </c>
      <c r="BG14" s="2">
        <v>880.61</v>
      </c>
      <c r="BH14" s="2">
        <v>1177.17</v>
      </c>
      <c r="BI14" s="2">
        <v>656.87</v>
      </c>
    </row>
    <row r="15" spans="1:61">
      <c r="A15" s="1">
        <v>12</v>
      </c>
      <c r="B15" s="2">
        <v>1560.01</v>
      </c>
      <c r="C15" s="2">
        <v>1172.8699999999999</v>
      </c>
      <c r="D15" s="2">
        <v>955.98</v>
      </c>
      <c r="E15" s="2">
        <v>1502.39</v>
      </c>
      <c r="F15" s="2">
        <v>1097.03</v>
      </c>
      <c r="G15" s="2">
        <v>2178.67</v>
      </c>
      <c r="H15" s="2">
        <v>10075.540000000001</v>
      </c>
      <c r="I15" s="2">
        <v>8292.25</v>
      </c>
      <c r="J15" s="2">
        <v>2254.7800000000002</v>
      </c>
      <c r="K15" s="2">
        <v>5152.32</v>
      </c>
      <c r="L15" s="2">
        <v>1077.2</v>
      </c>
      <c r="M15" s="2">
        <v>1030.1600000000001</v>
      </c>
      <c r="N15" s="2">
        <v>2526.14</v>
      </c>
      <c r="O15" s="2">
        <v>4489.08</v>
      </c>
      <c r="P15" s="2">
        <v>2339.1</v>
      </c>
      <c r="Q15" s="2">
        <v>1843.43</v>
      </c>
      <c r="R15" s="2">
        <v>2848.19</v>
      </c>
      <c r="S15" s="2">
        <v>2288.2199999999998</v>
      </c>
      <c r="T15" s="2">
        <v>2066.38</v>
      </c>
      <c r="U15" s="2">
        <v>2536.25</v>
      </c>
      <c r="V15" s="2">
        <v>4570</v>
      </c>
      <c r="W15" s="2">
        <v>15216.39</v>
      </c>
      <c r="X15" s="2">
        <v>19725.39</v>
      </c>
      <c r="Y15" s="2">
        <v>15064.75</v>
      </c>
      <c r="Z15" s="2">
        <v>13028.74</v>
      </c>
      <c r="AA15" s="2">
        <v>15491.16</v>
      </c>
      <c r="AB15" s="2">
        <v>2126.98</v>
      </c>
      <c r="AC15" s="2">
        <v>1599.52</v>
      </c>
      <c r="AD15" s="2">
        <v>10916.21</v>
      </c>
      <c r="AE15" s="2">
        <v>2278.38</v>
      </c>
      <c r="AF15" s="2">
        <v>1909.37</v>
      </c>
      <c r="AG15" s="2">
        <v>5014.78</v>
      </c>
      <c r="AH15" s="2">
        <v>3100.01</v>
      </c>
      <c r="AI15" s="2">
        <v>3431.01</v>
      </c>
      <c r="AJ15" s="2">
        <v>3498.05</v>
      </c>
      <c r="AK15" s="2">
        <v>1101</v>
      </c>
      <c r="AL15" s="2">
        <v>1058.4000000000001</v>
      </c>
      <c r="AM15" s="2">
        <v>730.23</v>
      </c>
      <c r="AN15" s="2">
        <v>2790.47</v>
      </c>
      <c r="AO15" s="2">
        <v>2813.51</v>
      </c>
      <c r="AP15" s="2">
        <v>898.64</v>
      </c>
      <c r="AQ15" s="2">
        <v>1639.7</v>
      </c>
      <c r="AR15" s="2">
        <v>1716.28</v>
      </c>
      <c r="AS15" s="2">
        <v>1206.94</v>
      </c>
      <c r="AT15" s="2">
        <v>3462.48</v>
      </c>
      <c r="AU15" s="2">
        <v>7036.37</v>
      </c>
      <c r="AV15" s="2">
        <v>3725.44</v>
      </c>
      <c r="AW15" s="2">
        <v>709.68</v>
      </c>
      <c r="AX15" s="2">
        <v>2138.21</v>
      </c>
      <c r="AY15" s="2">
        <v>1924.36</v>
      </c>
      <c r="AZ15" s="2">
        <v>1349.88</v>
      </c>
      <c r="BA15" s="2">
        <v>1012.4</v>
      </c>
      <c r="BB15" s="2">
        <v>1037.43</v>
      </c>
      <c r="BC15" s="2">
        <v>3029.95</v>
      </c>
      <c r="BD15" s="2">
        <v>995.89</v>
      </c>
      <c r="BE15" s="2">
        <v>2287.06</v>
      </c>
      <c r="BF15" s="2">
        <v>1026.03</v>
      </c>
      <c r="BG15" s="2">
        <v>781.54</v>
      </c>
      <c r="BH15" s="2">
        <v>1261.08</v>
      </c>
      <c r="BI15" s="2">
        <v>708.7</v>
      </c>
    </row>
    <row r="16" spans="1:61">
      <c r="A16" s="1">
        <v>13</v>
      </c>
      <c r="B16" s="2">
        <v>1813.44</v>
      </c>
      <c r="C16" s="2">
        <v>1706.85</v>
      </c>
      <c r="D16" s="2">
        <v>1424.17</v>
      </c>
      <c r="E16" s="2">
        <v>1710.74</v>
      </c>
      <c r="F16" s="2">
        <v>1229.1500000000001</v>
      </c>
      <c r="G16" s="2">
        <v>3602.14</v>
      </c>
      <c r="H16" s="2">
        <v>8010.46</v>
      </c>
      <c r="I16" s="2">
        <v>13089.59</v>
      </c>
      <c r="J16" s="2">
        <v>4006.55</v>
      </c>
      <c r="K16" s="2">
        <v>9164.14</v>
      </c>
      <c r="L16" s="2">
        <v>802.37</v>
      </c>
      <c r="M16" s="2">
        <v>1032.55</v>
      </c>
      <c r="N16" s="2">
        <v>2240.71</v>
      </c>
      <c r="O16" s="2">
        <v>3872.38</v>
      </c>
      <c r="P16" s="2">
        <v>5571.81</v>
      </c>
      <c r="Q16" s="2">
        <v>2091.54</v>
      </c>
      <c r="R16" s="2">
        <v>2618.75</v>
      </c>
      <c r="S16" s="2">
        <v>2588.4299999999998</v>
      </c>
      <c r="T16" s="2">
        <v>1961.26</v>
      </c>
      <c r="U16" s="2">
        <v>2978.96</v>
      </c>
      <c r="V16" s="2">
        <v>5748.77</v>
      </c>
      <c r="W16" s="2">
        <v>15682.09</v>
      </c>
      <c r="X16" s="2">
        <v>19369.18</v>
      </c>
      <c r="Y16" s="2">
        <v>15529.02</v>
      </c>
      <c r="Z16" s="2">
        <v>18224.25</v>
      </c>
      <c r="AA16" s="2">
        <v>16691.45</v>
      </c>
      <c r="AB16" s="2">
        <v>3596.08</v>
      </c>
      <c r="AC16" s="2">
        <v>1735.6</v>
      </c>
      <c r="AD16" s="2">
        <v>13799.5</v>
      </c>
      <c r="AE16" s="2">
        <v>2448.44</v>
      </c>
      <c r="AF16" s="2">
        <v>2060.73</v>
      </c>
      <c r="AG16" s="2">
        <v>8561.93</v>
      </c>
      <c r="AH16" s="2">
        <v>5856.34</v>
      </c>
      <c r="AI16" s="2">
        <v>4542.6899999999996</v>
      </c>
      <c r="AJ16" s="2">
        <v>3439.97</v>
      </c>
      <c r="AK16" s="2">
        <v>1459.96</v>
      </c>
      <c r="AL16" s="2">
        <v>719.36</v>
      </c>
      <c r="AM16" s="2">
        <v>952.47</v>
      </c>
      <c r="AN16" s="2">
        <v>3194.17</v>
      </c>
      <c r="AO16" s="2">
        <v>1831.19</v>
      </c>
      <c r="AP16" s="2">
        <v>1152.72</v>
      </c>
      <c r="AQ16" s="2">
        <v>2075.5</v>
      </c>
      <c r="AR16" s="2">
        <v>1259.6099999999999</v>
      </c>
      <c r="AS16" s="2">
        <v>1511.93</v>
      </c>
      <c r="AT16" s="2">
        <v>2668.24</v>
      </c>
      <c r="AU16" s="2">
        <v>6588.34</v>
      </c>
      <c r="AV16" s="2">
        <v>3560.19</v>
      </c>
      <c r="AW16" s="2">
        <v>839.21</v>
      </c>
      <c r="AX16" s="2">
        <v>1786.13</v>
      </c>
      <c r="AY16" s="2">
        <v>1544.33</v>
      </c>
      <c r="AZ16" s="2">
        <v>1445.18</v>
      </c>
      <c r="BA16" s="2">
        <v>990.5</v>
      </c>
      <c r="BB16" s="2">
        <v>953.43</v>
      </c>
      <c r="BC16" s="2">
        <v>3829.24</v>
      </c>
      <c r="BD16" s="2">
        <v>772.66</v>
      </c>
      <c r="BE16" s="2">
        <v>1991.86</v>
      </c>
      <c r="BF16" s="2">
        <v>963.95</v>
      </c>
      <c r="BG16" s="2">
        <v>876.64</v>
      </c>
      <c r="BH16" s="2">
        <v>1547.01</v>
      </c>
      <c r="BI16" s="2">
        <v>735.41</v>
      </c>
    </row>
    <row r="17" spans="1:61">
      <c r="A17" s="1">
        <v>14</v>
      </c>
      <c r="B17" s="2">
        <v>2033.75</v>
      </c>
      <c r="C17" s="2">
        <v>1587.25</v>
      </c>
      <c r="D17" s="2">
        <v>1625.26</v>
      </c>
      <c r="E17" s="2">
        <v>1592.72</v>
      </c>
      <c r="F17" s="2">
        <v>1912</v>
      </c>
      <c r="G17" s="2">
        <v>3241.79</v>
      </c>
      <c r="H17" s="2">
        <v>11290.45</v>
      </c>
      <c r="I17" s="2">
        <v>13912.71</v>
      </c>
      <c r="J17" s="2">
        <v>3683.4</v>
      </c>
      <c r="K17" s="2">
        <v>11217.74</v>
      </c>
      <c r="L17" s="2">
        <v>1065.4000000000001</v>
      </c>
      <c r="M17" s="2">
        <v>853.51</v>
      </c>
      <c r="N17" s="2">
        <v>3025.94</v>
      </c>
      <c r="O17" s="2">
        <v>4805.59</v>
      </c>
      <c r="P17" s="2">
        <v>5957.08</v>
      </c>
      <c r="Q17" s="2">
        <v>2463.56</v>
      </c>
      <c r="R17" s="2">
        <v>3738.67</v>
      </c>
      <c r="S17" s="2">
        <v>3309.15</v>
      </c>
      <c r="T17" s="2">
        <v>2683.98</v>
      </c>
      <c r="U17" s="2">
        <v>4454.07</v>
      </c>
      <c r="V17" s="2">
        <v>7290.38</v>
      </c>
      <c r="W17" s="2">
        <v>16506.45</v>
      </c>
      <c r="X17" s="2">
        <v>31465.45</v>
      </c>
      <c r="Y17" s="2">
        <v>20811.830000000002</v>
      </c>
      <c r="Z17" s="2">
        <v>16566.14</v>
      </c>
      <c r="AA17" s="2">
        <v>18306</v>
      </c>
      <c r="AB17" s="2">
        <v>4112.88</v>
      </c>
      <c r="AC17" s="2">
        <v>1756.01</v>
      </c>
      <c r="AD17" s="2">
        <v>14297.3</v>
      </c>
      <c r="AE17" s="2">
        <v>3643.11</v>
      </c>
      <c r="AF17" s="2">
        <v>2229.75</v>
      </c>
      <c r="AG17" s="2">
        <v>11421.51</v>
      </c>
      <c r="AH17" s="2">
        <v>5841.56</v>
      </c>
      <c r="AI17" s="2">
        <v>3997.44</v>
      </c>
      <c r="AJ17" s="2">
        <v>4959.2299999999996</v>
      </c>
      <c r="AK17" s="2">
        <v>1717.48</v>
      </c>
      <c r="AL17" s="2">
        <v>1253.83</v>
      </c>
      <c r="AM17" s="2">
        <v>1039.5999999999999</v>
      </c>
      <c r="AN17" s="2">
        <v>3502.58</v>
      </c>
      <c r="AO17" s="2">
        <v>3124.95</v>
      </c>
      <c r="AP17" s="2">
        <v>1262.27</v>
      </c>
      <c r="AQ17" s="2">
        <v>2525.86</v>
      </c>
      <c r="AR17" s="2">
        <v>1489.36</v>
      </c>
      <c r="AS17" s="2">
        <v>1435.14</v>
      </c>
      <c r="AT17" s="2">
        <v>2729.57</v>
      </c>
      <c r="AU17" s="2">
        <v>8471.93</v>
      </c>
      <c r="AV17" s="2">
        <v>4793.41</v>
      </c>
      <c r="AW17" s="2">
        <v>851.68</v>
      </c>
      <c r="AX17" s="2">
        <v>1937.5</v>
      </c>
      <c r="AY17" s="2">
        <v>1326.73</v>
      </c>
      <c r="AZ17" s="2">
        <v>1876.74</v>
      </c>
      <c r="BA17" s="2">
        <v>1186.18</v>
      </c>
      <c r="BB17" s="2">
        <v>1138.23</v>
      </c>
      <c r="BC17" s="2">
        <v>2440.06</v>
      </c>
      <c r="BD17" s="2">
        <v>1285.1199999999999</v>
      </c>
      <c r="BE17" s="2">
        <v>1794.18</v>
      </c>
      <c r="BF17" s="2">
        <v>1665.6</v>
      </c>
      <c r="BG17" s="2">
        <v>843.63</v>
      </c>
      <c r="BH17" s="2">
        <v>1527.48</v>
      </c>
      <c r="BI17" s="2">
        <v>634.48</v>
      </c>
    </row>
    <row r="18" spans="1:61">
      <c r="A18" s="1">
        <v>15</v>
      </c>
      <c r="B18" s="2">
        <v>3305.46</v>
      </c>
      <c r="C18" s="2">
        <v>2539.36</v>
      </c>
      <c r="D18" s="2">
        <v>2005.76</v>
      </c>
      <c r="E18" s="2">
        <v>2459.63</v>
      </c>
      <c r="F18" s="2">
        <v>2708.07</v>
      </c>
      <c r="G18" s="2">
        <v>5169.07</v>
      </c>
      <c r="H18" s="2">
        <v>19273.080000000002</v>
      </c>
      <c r="I18" s="2">
        <v>18486.46</v>
      </c>
      <c r="J18" s="2">
        <v>7799.84</v>
      </c>
      <c r="K18" s="2">
        <v>13546.76</v>
      </c>
      <c r="L18" s="2">
        <v>1476.77</v>
      </c>
      <c r="M18" s="2">
        <v>2234.0500000000002</v>
      </c>
      <c r="N18" s="2">
        <v>4087.94</v>
      </c>
      <c r="O18" s="2">
        <v>7294.87</v>
      </c>
      <c r="P18" s="2">
        <v>7751.44</v>
      </c>
      <c r="Q18" s="2">
        <v>3403.39</v>
      </c>
      <c r="R18" s="2">
        <v>4620.88</v>
      </c>
      <c r="S18" s="2">
        <v>4374.05</v>
      </c>
      <c r="T18" s="2">
        <v>3722.71</v>
      </c>
      <c r="U18" s="2">
        <v>6703.74</v>
      </c>
      <c r="V18" s="2">
        <v>9799.8700000000008</v>
      </c>
      <c r="W18" s="2">
        <v>25594.74</v>
      </c>
      <c r="X18" s="2">
        <v>37296.480000000003</v>
      </c>
      <c r="Y18" s="2">
        <v>28833.13</v>
      </c>
      <c r="Z18" s="2">
        <v>26064.38</v>
      </c>
      <c r="AA18" s="2">
        <v>27917.08</v>
      </c>
      <c r="AB18" s="2">
        <v>6543.05</v>
      </c>
      <c r="AC18" s="2">
        <v>3105.34</v>
      </c>
      <c r="AD18" s="2">
        <v>23208.41</v>
      </c>
      <c r="AE18" s="2">
        <v>5344.6</v>
      </c>
      <c r="AF18" s="2">
        <v>4190.43</v>
      </c>
      <c r="AG18" s="2">
        <v>12333.89</v>
      </c>
      <c r="AH18" s="2">
        <v>10489.32</v>
      </c>
      <c r="AI18" s="2">
        <v>6951.4</v>
      </c>
      <c r="AJ18" s="2">
        <v>6699.34</v>
      </c>
      <c r="AK18" s="2">
        <v>2155.29</v>
      </c>
      <c r="AL18" s="2">
        <v>1437.83</v>
      </c>
      <c r="AM18" s="2">
        <v>1914.84</v>
      </c>
      <c r="AN18" s="2">
        <v>5336.69</v>
      </c>
      <c r="AO18" s="2">
        <v>4330.1899999999996</v>
      </c>
      <c r="AP18" s="2">
        <v>1799.74</v>
      </c>
      <c r="AQ18" s="2">
        <v>2500.7199999999998</v>
      </c>
      <c r="AR18" s="2">
        <v>2871.44</v>
      </c>
      <c r="AS18" s="2">
        <v>1991.54</v>
      </c>
      <c r="AT18" s="2">
        <v>5119.38</v>
      </c>
      <c r="AU18" s="2">
        <v>11903.67</v>
      </c>
      <c r="AV18" s="2">
        <v>6984.59</v>
      </c>
      <c r="AW18" s="2">
        <v>1122.69</v>
      </c>
      <c r="AX18" s="2">
        <v>3270.03</v>
      </c>
      <c r="AY18" s="2">
        <v>2659.87</v>
      </c>
      <c r="AZ18" s="2">
        <v>2462.7600000000002</v>
      </c>
      <c r="BA18" s="2">
        <v>1890.13</v>
      </c>
      <c r="BB18" s="2">
        <v>1571.13</v>
      </c>
      <c r="BC18" s="2">
        <v>6730.24</v>
      </c>
      <c r="BD18" s="2">
        <v>1636.44</v>
      </c>
      <c r="BE18" s="2">
        <v>3982.39</v>
      </c>
      <c r="BF18" s="2">
        <v>2343.46</v>
      </c>
      <c r="BG18" s="2">
        <v>1245.83</v>
      </c>
      <c r="BH18" s="2">
        <v>2194.91</v>
      </c>
      <c r="BI18" s="2">
        <v>1077.4000000000001</v>
      </c>
    </row>
    <row r="19" spans="1:61">
      <c r="A19" s="1">
        <v>16</v>
      </c>
      <c r="B19" s="2">
        <v>3500.46</v>
      </c>
      <c r="C19" s="2">
        <v>2553.8000000000002</v>
      </c>
      <c r="D19" s="2">
        <v>2698.5</v>
      </c>
      <c r="E19" s="2">
        <v>2715.24</v>
      </c>
      <c r="F19" s="2">
        <v>3398.02</v>
      </c>
      <c r="G19" s="2">
        <v>5314.48</v>
      </c>
      <c r="H19" s="2">
        <v>16258.35</v>
      </c>
      <c r="I19" s="2">
        <v>22485.84</v>
      </c>
      <c r="J19" s="2">
        <v>9327.82</v>
      </c>
      <c r="K19" s="2">
        <v>18018.330000000002</v>
      </c>
      <c r="L19" s="2">
        <v>1898.08</v>
      </c>
      <c r="M19" s="2">
        <v>2402.7199999999998</v>
      </c>
      <c r="N19" s="2">
        <v>5290.87</v>
      </c>
      <c r="O19" s="2">
        <v>10287.66</v>
      </c>
      <c r="P19" s="2">
        <v>11399.28</v>
      </c>
      <c r="Q19" s="2">
        <v>3822.43</v>
      </c>
      <c r="R19" s="2">
        <v>5697.61</v>
      </c>
      <c r="S19" s="2">
        <v>5999</v>
      </c>
      <c r="T19" s="2">
        <v>3875.37</v>
      </c>
      <c r="U19" s="2">
        <v>7576.24</v>
      </c>
      <c r="V19" s="2">
        <v>13413.6</v>
      </c>
      <c r="W19" s="2">
        <v>29495.67</v>
      </c>
      <c r="X19" s="2">
        <v>49993.59</v>
      </c>
      <c r="Y19" s="2">
        <v>41559.589999999997</v>
      </c>
      <c r="Z19" s="2">
        <v>31204.99</v>
      </c>
      <c r="AA19" s="2">
        <v>36483.43</v>
      </c>
      <c r="AB19" s="2">
        <v>7276.06</v>
      </c>
      <c r="AC19" s="2">
        <v>2971.49</v>
      </c>
      <c r="AD19" s="2">
        <v>30801.34</v>
      </c>
      <c r="AE19" s="2">
        <v>5973.62</v>
      </c>
      <c r="AF19" s="2">
        <v>4957.24</v>
      </c>
      <c r="AG19" s="2">
        <v>18365.16</v>
      </c>
      <c r="AH19" s="2">
        <v>13150.61</v>
      </c>
      <c r="AI19" s="2">
        <v>9176.56</v>
      </c>
      <c r="AJ19" s="2">
        <v>8079.94</v>
      </c>
      <c r="AK19" s="2">
        <v>2887.24</v>
      </c>
      <c r="AL19" s="2">
        <v>2037.74</v>
      </c>
      <c r="AM19" s="2">
        <v>2089.85</v>
      </c>
      <c r="AN19" s="2">
        <v>7182.15</v>
      </c>
      <c r="AO19" s="2">
        <v>5984.25</v>
      </c>
      <c r="AP19" s="2">
        <v>2147.16</v>
      </c>
      <c r="AQ19" s="2">
        <v>3811.35</v>
      </c>
      <c r="AR19" s="2">
        <v>3082.6</v>
      </c>
      <c r="AS19" s="2">
        <v>2782.52</v>
      </c>
      <c r="AT19" s="2">
        <v>6029.84</v>
      </c>
      <c r="AU19" s="2">
        <v>16380.47</v>
      </c>
      <c r="AV19" s="2">
        <v>8537.01</v>
      </c>
      <c r="AW19" s="2">
        <v>1366.04</v>
      </c>
      <c r="AX19" s="2">
        <v>3748.71</v>
      </c>
      <c r="AY19" s="2">
        <v>2934.25</v>
      </c>
      <c r="AZ19" s="2">
        <v>2790.88</v>
      </c>
      <c r="BA19" s="2">
        <v>2145.33</v>
      </c>
      <c r="BB19" s="2">
        <v>1939.83</v>
      </c>
      <c r="BC19" s="2">
        <v>8722.1</v>
      </c>
      <c r="BD19" s="2">
        <v>1977.71</v>
      </c>
      <c r="BE19" s="2">
        <v>4608.8999999999996</v>
      </c>
      <c r="BF19" s="2">
        <v>2495.2600000000002</v>
      </c>
      <c r="BG19" s="2">
        <v>1566.62</v>
      </c>
      <c r="BH19" s="2">
        <v>2659.25</v>
      </c>
      <c r="BI19" s="2">
        <v>1157.97</v>
      </c>
    </row>
    <row r="20" spans="1:61">
      <c r="A20" s="1">
        <v>17</v>
      </c>
      <c r="B20" s="2">
        <v>2758.41</v>
      </c>
      <c r="C20" s="2">
        <v>2223.62</v>
      </c>
      <c r="D20" s="2">
        <v>1805.35</v>
      </c>
      <c r="E20" s="2">
        <v>2295.0700000000002</v>
      </c>
      <c r="F20" s="2">
        <v>2126.79</v>
      </c>
      <c r="G20" s="2">
        <v>4522.0600000000004</v>
      </c>
      <c r="H20" s="2">
        <v>13454.27</v>
      </c>
      <c r="I20" s="2">
        <v>18213.68</v>
      </c>
      <c r="J20" s="2">
        <v>6939.25</v>
      </c>
      <c r="K20" s="2">
        <v>11501.22</v>
      </c>
      <c r="L20" s="2">
        <v>1078.1199999999999</v>
      </c>
      <c r="M20" s="2">
        <v>2117.08</v>
      </c>
      <c r="N20" s="2">
        <v>3625.71</v>
      </c>
      <c r="O20" s="2">
        <v>5598.67</v>
      </c>
      <c r="P20" s="2">
        <v>6521.76</v>
      </c>
      <c r="Q20" s="2">
        <v>2744.06</v>
      </c>
      <c r="R20" s="2">
        <v>4832.66</v>
      </c>
      <c r="S20" s="2">
        <v>4529.3500000000004</v>
      </c>
      <c r="T20" s="2">
        <v>2672.16</v>
      </c>
      <c r="U20" s="2">
        <v>5801.62</v>
      </c>
      <c r="V20" s="2">
        <v>9133.74</v>
      </c>
      <c r="W20" s="2">
        <v>19700.759999999998</v>
      </c>
      <c r="X20" s="2">
        <v>24730.51</v>
      </c>
      <c r="Y20" s="2">
        <v>23687.27</v>
      </c>
      <c r="Z20" s="2">
        <v>21334.42</v>
      </c>
      <c r="AA20" s="2">
        <v>24656.43</v>
      </c>
      <c r="AB20" s="2">
        <v>5643.28</v>
      </c>
      <c r="AC20" s="2">
        <v>2127.31</v>
      </c>
      <c r="AD20" s="2">
        <v>18899.939999999999</v>
      </c>
      <c r="AE20" s="2">
        <v>4902.6499999999996</v>
      </c>
      <c r="AF20" s="2">
        <v>3857.11</v>
      </c>
      <c r="AG20" s="2">
        <v>13443.06</v>
      </c>
      <c r="AH20" s="2">
        <v>8909.11</v>
      </c>
      <c r="AI20" s="2">
        <v>6791.33</v>
      </c>
      <c r="AJ20" s="2">
        <v>5262.66</v>
      </c>
      <c r="AK20" s="2">
        <v>2058.06</v>
      </c>
      <c r="AL20" s="2">
        <v>1494.82</v>
      </c>
      <c r="AM20" s="2">
        <v>1483.08</v>
      </c>
      <c r="AN20" s="2">
        <v>5824.14</v>
      </c>
      <c r="AO20" s="2">
        <v>3565.9</v>
      </c>
      <c r="AP20" s="2">
        <v>1446.85</v>
      </c>
      <c r="AQ20" s="2">
        <v>2955.59</v>
      </c>
      <c r="AR20" s="2">
        <v>2208.2199999999998</v>
      </c>
      <c r="AS20" s="2">
        <v>2053.8200000000002</v>
      </c>
      <c r="AT20" s="2">
        <v>3760.64</v>
      </c>
      <c r="AU20" s="2">
        <v>12515.8</v>
      </c>
      <c r="AV20" s="2">
        <v>4976.46</v>
      </c>
      <c r="AW20" s="2">
        <v>963.29</v>
      </c>
      <c r="AX20" s="2">
        <v>2757.92</v>
      </c>
      <c r="AY20" s="2">
        <v>2232.16</v>
      </c>
      <c r="AZ20" s="2">
        <v>1779.76</v>
      </c>
      <c r="BA20" s="2">
        <v>1974.02</v>
      </c>
      <c r="BB20" s="2">
        <v>1399.65</v>
      </c>
      <c r="BC20" s="2">
        <v>6279.85</v>
      </c>
      <c r="BD20" s="2">
        <v>1785.38</v>
      </c>
      <c r="BE20" s="2">
        <v>3809.62</v>
      </c>
      <c r="BF20" s="2">
        <v>2002.21</v>
      </c>
      <c r="BG20" s="2">
        <v>1172.73</v>
      </c>
      <c r="BH20" s="2">
        <v>2021.92</v>
      </c>
      <c r="BI20" s="2">
        <v>1081.77</v>
      </c>
    </row>
    <row r="21" spans="1:61">
      <c r="A21" s="1">
        <v>18</v>
      </c>
      <c r="B21" s="2">
        <v>1515.28</v>
      </c>
      <c r="C21" s="2">
        <v>1629.25</v>
      </c>
      <c r="D21" s="2">
        <v>1479.3</v>
      </c>
      <c r="E21" s="2">
        <v>1399.28</v>
      </c>
      <c r="F21" s="2">
        <v>2293.9</v>
      </c>
      <c r="G21" s="2">
        <v>3399.72</v>
      </c>
      <c r="H21" s="2">
        <v>10293.93</v>
      </c>
      <c r="I21" s="2">
        <v>13024.34</v>
      </c>
      <c r="J21" s="2">
        <v>4429.01</v>
      </c>
      <c r="K21" s="2">
        <v>9546.94</v>
      </c>
      <c r="L21" s="2">
        <v>844.51</v>
      </c>
      <c r="M21" s="2">
        <v>1277.04</v>
      </c>
      <c r="N21" s="2">
        <v>2968.27</v>
      </c>
      <c r="O21" s="2">
        <v>5919.14</v>
      </c>
      <c r="P21" s="2">
        <v>5794.36</v>
      </c>
      <c r="Q21" s="2">
        <v>2098.27</v>
      </c>
      <c r="R21" s="2">
        <v>3547.43</v>
      </c>
      <c r="S21" s="2">
        <v>2798.81</v>
      </c>
      <c r="T21" s="2">
        <v>2122.7600000000002</v>
      </c>
      <c r="U21" s="2">
        <v>2900.89</v>
      </c>
      <c r="V21" s="2">
        <v>5981.23</v>
      </c>
      <c r="W21" s="2">
        <v>15473.65</v>
      </c>
      <c r="X21" s="2">
        <v>23728.77</v>
      </c>
      <c r="Y21" s="2">
        <v>19627.919999999998</v>
      </c>
      <c r="Z21" s="2">
        <v>20324.36</v>
      </c>
      <c r="AA21" s="2">
        <v>16657.66</v>
      </c>
      <c r="AB21" s="2">
        <v>4849.3599999999997</v>
      </c>
      <c r="AC21" s="2">
        <v>1782.64</v>
      </c>
      <c r="AD21" s="2">
        <v>16639.86</v>
      </c>
      <c r="AE21" s="2">
        <v>4284.55</v>
      </c>
      <c r="AF21" s="2">
        <v>2979.68</v>
      </c>
      <c r="AG21" s="2">
        <v>11126.95</v>
      </c>
      <c r="AH21" s="2">
        <v>5951.19</v>
      </c>
      <c r="AI21" s="2">
        <v>6426.34</v>
      </c>
      <c r="AJ21" s="2">
        <v>4383.5200000000004</v>
      </c>
      <c r="AK21" s="2">
        <v>1638.67</v>
      </c>
      <c r="AL21" s="2">
        <v>1292.78</v>
      </c>
      <c r="AM21" s="2">
        <v>1062.02</v>
      </c>
      <c r="AN21" s="2">
        <v>3672.92</v>
      </c>
      <c r="AO21" s="2">
        <v>2702.49</v>
      </c>
      <c r="AP21" s="2">
        <v>1560.8</v>
      </c>
      <c r="AQ21" s="2">
        <v>1788.59</v>
      </c>
      <c r="AR21" s="2">
        <v>2101.23</v>
      </c>
      <c r="AS21" s="2">
        <v>1592.63</v>
      </c>
      <c r="AT21" s="2">
        <v>3145</v>
      </c>
      <c r="AU21" s="2">
        <v>8677.92</v>
      </c>
      <c r="AV21" s="2">
        <v>5149.45</v>
      </c>
      <c r="AW21" s="2">
        <v>852.22</v>
      </c>
      <c r="AX21" s="2">
        <v>2415.9299999999998</v>
      </c>
      <c r="AY21" s="2">
        <v>1672.66</v>
      </c>
      <c r="AZ21" s="2">
        <v>1375.73</v>
      </c>
      <c r="BA21" s="2">
        <v>1107.17</v>
      </c>
      <c r="BB21" s="2">
        <v>1174.5</v>
      </c>
      <c r="BC21" s="2">
        <v>4024.3</v>
      </c>
      <c r="BD21" s="2">
        <v>1197.5899999999999</v>
      </c>
      <c r="BE21" s="2">
        <v>2299.48</v>
      </c>
      <c r="BF21" s="2">
        <v>2119.89</v>
      </c>
      <c r="BG21" s="2">
        <v>905.63</v>
      </c>
      <c r="BH21" s="2">
        <v>1385.5</v>
      </c>
      <c r="BI21" s="2">
        <v>816.71</v>
      </c>
    </row>
    <row r="22" spans="1:61">
      <c r="A22" s="1">
        <v>19</v>
      </c>
      <c r="B22" s="2">
        <v>1920.74</v>
      </c>
      <c r="C22" s="2">
        <v>1746.52</v>
      </c>
      <c r="D22" s="2">
        <v>1629.04</v>
      </c>
      <c r="E22" s="2">
        <v>1727.88</v>
      </c>
      <c r="F22" s="2">
        <v>1764.99</v>
      </c>
      <c r="G22" s="2">
        <v>2890.34</v>
      </c>
      <c r="H22" s="2">
        <v>12556.19</v>
      </c>
      <c r="I22" s="2">
        <v>13704.57</v>
      </c>
      <c r="J22" s="2">
        <v>5064.0600000000004</v>
      </c>
      <c r="K22" s="2">
        <v>10363.24</v>
      </c>
      <c r="L22" s="2">
        <v>1245.33</v>
      </c>
      <c r="M22" s="2">
        <v>1338.6</v>
      </c>
      <c r="N22" s="2">
        <v>3382.48</v>
      </c>
      <c r="O22" s="2">
        <v>4359.41</v>
      </c>
      <c r="P22" s="2">
        <v>6181.65</v>
      </c>
      <c r="Q22" s="2">
        <v>2220.65</v>
      </c>
      <c r="R22" s="2">
        <v>3243.71</v>
      </c>
      <c r="S22" s="2">
        <v>3338.34</v>
      </c>
      <c r="T22" s="2">
        <v>2308.02</v>
      </c>
      <c r="U22" s="2">
        <v>4292.8100000000004</v>
      </c>
      <c r="V22" s="2">
        <v>7275.2</v>
      </c>
      <c r="W22" s="2">
        <v>18252.439999999999</v>
      </c>
      <c r="X22" s="2">
        <v>23192.21</v>
      </c>
      <c r="Y22" s="2">
        <v>17729.53</v>
      </c>
      <c r="Z22" s="2">
        <v>19087.95</v>
      </c>
      <c r="AA22" s="2">
        <v>19680.939999999999</v>
      </c>
      <c r="AB22" s="2">
        <v>3072.91</v>
      </c>
      <c r="AC22" s="2">
        <v>1937.4</v>
      </c>
      <c r="AD22" s="2">
        <v>13710.34</v>
      </c>
      <c r="AE22" s="2">
        <v>2644.37</v>
      </c>
      <c r="AF22" s="2">
        <v>2452.33</v>
      </c>
      <c r="AG22" s="2">
        <v>11576.27</v>
      </c>
      <c r="AH22" s="2">
        <v>6879.71</v>
      </c>
      <c r="AI22" s="2">
        <v>6394.28</v>
      </c>
      <c r="AJ22" s="2">
        <v>4483.4799999999996</v>
      </c>
      <c r="AK22" s="2">
        <v>1483.12</v>
      </c>
      <c r="AL22" s="2">
        <v>1416.25</v>
      </c>
      <c r="AM22" s="2">
        <v>1118.24</v>
      </c>
      <c r="AN22" s="2">
        <v>3266.71</v>
      </c>
      <c r="AO22" s="2">
        <v>3047.86</v>
      </c>
      <c r="AP22" s="2">
        <v>998.78</v>
      </c>
      <c r="AQ22" s="2">
        <v>2299.7800000000002</v>
      </c>
      <c r="AR22" s="2">
        <v>1989.39</v>
      </c>
      <c r="AS22" s="2">
        <v>1334.65</v>
      </c>
      <c r="AT22" s="2">
        <v>3307.35</v>
      </c>
      <c r="AU22" s="2">
        <v>8327.31</v>
      </c>
      <c r="AV22" s="2">
        <v>4569.75</v>
      </c>
      <c r="AW22" s="2">
        <v>626.52</v>
      </c>
      <c r="AX22" s="2">
        <v>2133.77</v>
      </c>
      <c r="AY22" s="2">
        <v>1677.75</v>
      </c>
      <c r="AZ22" s="2">
        <v>1373.09</v>
      </c>
      <c r="BA22" s="2">
        <v>1309.23</v>
      </c>
      <c r="BB22" s="2">
        <v>996.67</v>
      </c>
      <c r="BC22" s="2">
        <v>4526.49</v>
      </c>
      <c r="BD22" s="2">
        <v>1075.6199999999999</v>
      </c>
      <c r="BE22" s="2">
        <v>2466.75</v>
      </c>
      <c r="BF22" s="2">
        <v>1553.69</v>
      </c>
      <c r="BG22" s="2">
        <v>1229.3599999999999</v>
      </c>
      <c r="BH22" s="2">
        <v>1745.62</v>
      </c>
      <c r="BI22" s="2">
        <v>614.38</v>
      </c>
    </row>
    <row r="23" spans="1:61">
      <c r="A23" s="1">
        <v>20</v>
      </c>
      <c r="B23" s="2">
        <v>1839.93</v>
      </c>
      <c r="C23" s="2">
        <v>1859.19</v>
      </c>
      <c r="D23" s="2">
        <v>1826.67</v>
      </c>
      <c r="E23" s="2">
        <v>1791.2</v>
      </c>
      <c r="F23" s="2">
        <v>1934.27</v>
      </c>
      <c r="G23" s="2">
        <v>3260.25</v>
      </c>
      <c r="H23" s="2">
        <v>10379.15</v>
      </c>
      <c r="I23" s="2">
        <v>14392</v>
      </c>
      <c r="J23" s="2">
        <v>5164.46</v>
      </c>
      <c r="K23" s="2">
        <v>7041.21</v>
      </c>
      <c r="L23" s="2">
        <v>969.31</v>
      </c>
      <c r="M23" s="2">
        <v>1313.34</v>
      </c>
      <c r="N23" s="2">
        <v>3514.22</v>
      </c>
      <c r="O23" s="2">
        <v>4832.1899999999996</v>
      </c>
      <c r="P23" s="2">
        <v>5951.6</v>
      </c>
      <c r="Q23" s="2">
        <v>2526.75</v>
      </c>
      <c r="R23" s="2">
        <v>2909.17</v>
      </c>
      <c r="S23" s="2">
        <v>3589.37</v>
      </c>
      <c r="T23" s="2">
        <v>2818.84</v>
      </c>
      <c r="U23" s="2">
        <v>2886.71</v>
      </c>
      <c r="V23" s="2">
        <v>6779</v>
      </c>
      <c r="W23" s="2">
        <v>23367.64</v>
      </c>
      <c r="X23" s="2">
        <v>32206.82</v>
      </c>
      <c r="Y23" s="2">
        <v>27282.32</v>
      </c>
      <c r="Z23" s="2">
        <v>22940.959999999999</v>
      </c>
      <c r="AA23" s="2">
        <v>14431.92</v>
      </c>
      <c r="AB23" s="2">
        <v>4852.93</v>
      </c>
      <c r="AC23" s="2">
        <v>1995.54</v>
      </c>
      <c r="AD23" s="2">
        <v>20618.900000000001</v>
      </c>
      <c r="AE23" s="2">
        <v>3442.57</v>
      </c>
      <c r="AF23" s="2">
        <v>3210.27</v>
      </c>
      <c r="AG23" s="2">
        <v>12666.38</v>
      </c>
      <c r="AH23" s="2">
        <v>7175.49</v>
      </c>
      <c r="AI23" s="2">
        <v>6699.92</v>
      </c>
      <c r="AJ23" s="2">
        <v>6353.96</v>
      </c>
      <c r="AK23" s="2">
        <v>1507.94</v>
      </c>
      <c r="AL23" s="2">
        <v>1111.92</v>
      </c>
      <c r="AM23" s="2">
        <v>1184.42</v>
      </c>
      <c r="AN23" s="2">
        <v>3594.99</v>
      </c>
      <c r="AO23" s="2">
        <v>3152.6</v>
      </c>
      <c r="AP23" s="2">
        <v>1533.44</v>
      </c>
      <c r="AQ23" s="2">
        <v>2483.63</v>
      </c>
      <c r="AR23" s="2">
        <v>2157.5100000000002</v>
      </c>
      <c r="AS23" s="2">
        <v>1315.03</v>
      </c>
      <c r="AT23" s="2">
        <v>3861.44</v>
      </c>
      <c r="AU23" s="2">
        <v>7138.76</v>
      </c>
      <c r="AV23" s="2">
        <v>5848.22</v>
      </c>
      <c r="AW23" s="2">
        <v>861.56</v>
      </c>
      <c r="AX23" s="2">
        <v>2553.14</v>
      </c>
      <c r="AY23" s="2">
        <v>2060.2199999999998</v>
      </c>
      <c r="AZ23" s="2">
        <v>1572.39</v>
      </c>
      <c r="BA23" s="2">
        <v>1252.49</v>
      </c>
      <c r="BB23" s="2">
        <v>1302.43</v>
      </c>
      <c r="BC23" s="2">
        <v>3962.23</v>
      </c>
      <c r="BD23" s="2">
        <v>1272.2</v>
      </c>
      <c r="BE23" s="2">
        <v>3169.21</v>
      </c>
      <c r="BF23" s="2">
        <v>2002.03</v>
      </c>
      <c r="BG23" s="2">
        <v>1037.52</v>
      </c>
      <c r="BH23" s="2">
        <v>1942.06</v>
      </c>
      <c r="BI23" s="2">
        <v>634.91999999999996</v>
      </c>
    </row>
    <row r="24" spans="1:61">
      <c r="A24" s="1">
        <v>21</v>
      </c>
      <c r="B24" s="2">
        <v>2372.04</v>
      </c>
      <c r="C24" s="2">
        <v>1856.61</v>
      </c>
      <c r="D24" s="2">
        <v>1588.79</v>
      </c>
      <c r="E24" s="2">
        <v>2253.61</v>
      </c>
      <c r="F24" s="2">
        <v>2277.84</v>
      </c>
      <c r="G24" s="2">
        <v>4292.58</v>
      </c>
      <c r="H24" s="2">
        <v>11437.58</v>
      </c>
      <c r="I24" s="2">
        <v>15989.38</v>
      </c>
      <c r="J24" s="2">
        <v>6736.72</v>
      </c>
      <c r="K24" s="2">
        <v>14431.47</v>
      </c>
      <c r="L24" s="2">
        <v>1275.32</v>
      </c>
      <c r="M24" s="2">
        <v>1715.92</v>
      </c>
      <c r="N24" s="2">
        <v>3958.36</v>
      </c>
      <c r="O24" s="2">
        <v>6223.07</v>
      </c>
      <c r="P24" s="2">
        <v>7145.82</v>
      </c>
      <c r="Q24" s="2">
        <v>2806.04</v>
      </c>
      <c r="R24" s="2">
        <v>4580.04</v>
      </c>
      <c r="S24" s="2">
        <v>3403.23</v>
      </c>
      <c r="T24" s="2">
        <v>2664.25</v>
      </c>
      <c r="U24" s="2">
        <v>6363.51</v>
      </c>
      <c r="V24" s="2">
        <v>9474.5400000000009</v>
      </c>
      <c r="W24" s="2">
        <v>27620.78</v>
      </c>
      <c r="X24" s="2">
        <v>29407.46</v>
      </c>
      <c r="Y24" s="2">
        <v>31296.94</v>
      </c>
      <c r="Z24" s="2">
        <v>14030.97</v>
      </c>
      <c r="AA24" s="2">
        <v>17301.98</v>
      </c>
      <c r="AB24" s="2">
        <v>5251.75</v>
      </c>
      <c r="AC24" s="2">
        <v>2168.1999999999998</v>
      </c>
      <c r="AD24" s="2">
        <v>15594.36</v>
      </c>
      <c r="AE24" s="2">
        <v>4293.97</v>
      </c>
      <c r="AF24" s="2">
        <v>3369.56</v>
      </c>
      <c r="AG24" s="2">
        <v>13007.57</v>
      </c>
      <c r="AH24" s="2">
        <v>7135.18</v>
      </c>
      <c r="AI24" s="2">
        <v>6287.09</v>
      </c>
      <c r="AJ24" s="2">
        <v>4976.75</v>
      </c>
      <c r="AK24" s="2">
        <v>2134.6999999999998</v>
      </c>
      <c r="AL24" s="2">
        <v>1334.31</v>
      </c>
      <c r="AM24" s="2">
        <v>1321.99</v>
      </c>
      <c r="AN24" s="2">
        <v>5120.9799999999996</v>
      </c>
      <c r="AO24" s="2">
        <v>4078.71</v>
      </c>
      <c r="AP24" s="2">
        <v>1476.41</v>
      </c>
      <c r="AQ24" s="2">
        <v>2786.44</v>
      </c>
      <c r="AR24" s="2">
        <v>2481.9899999999998</v>
      </c>
      <c r="AS24" s="2">
        <v>2151.17</v>
      </c>
      <c r="AT24" s="2">
        <v>5106.7700000000004</v>
      </c>
      <c r="AU24" s="2">
        <v>8778.73</v>
      </c>
      <c r="AV24" s="2">
        <v>4385.7</v>
      </c>
      <c r="AW24" s="2">
        <v>857.88</v>
      </c>
      <c r="AX24" s="2">
        <v>1929.42</v>
      </c>
      <c r="AY24" s="2">
        <v>2492.61</v>
      </c>
      <c r="AZ24" s="2">
        <v>2100.56</v>
      </c>
      <c r="BA24" s="2">
        <v>1494.19</v>
      </c>
      <c r="BB24" s="2">
        <v>1314.78</v>
      </c>
      <c r="BC24" s="2">
        <v>6440.47</v>
      </c>
      <c r="BD24" s="2">
        <v>1198.73</v>
      </c>
      <c r="BE24" s="2">
        <v>3536.48</v>
      </c>
      <c r="BF24" s="2">
        <v>1739.17</v>
      </c>
      <c r="BG24" s="2">
        <v>1171.8399999999999</v>
      </c>
      <c r="BH24" s="2">
        <v>1723.11</v>
      </c>
      <c r="BI24" s="2">
        <v>941.39</v>
      </c>
    </row>
    <row r="25" spans="1:61">
      <c r="A25" s="1">
        <v>22</v>
      </c>
      <c r="B25" s="2">
        <v>3606.79</v>
      </c>
      <c r="C25" s="2">
        <v>3058.6</v>
      </c>
      <c r="D25" s="2">
        <v>2285.69</v>
      </c>
      <c r="E25" s="2">
        <v>2675.52</v>
      </c>
      <c r="F25" s="2">
        <v>3160.6</v>
      </c>
      <c r="G25" s="2">
        <v>5592.1</v>
      </c>
      <c r="H25" s="2">
        <v>16668.87</v>
      </c>
      <c r="I25" s="2">
        <v>24621.81</v>
      </c>
      <c r="J25" s="2">
        <v>7119.65</v>
      </c>
      <c r="K25" s="2">
        <v>14324.22</v>
      </c>
      <c r="L25" s="2">
        <v>1460.31</v>
      </c>
      <c r="M25" s="2">
        <v>1917.42</v>
      </c>
      <c r="N25" s="2">
        <v>4164.25</v>
      </c>
      <c r="O25" s="2">
        <v>9000.06</v>
      </c>
      <c r="P25" s="2">
        <v>9519.75</v>
      </c>
      <c r="Q25" s="2">
        <v>4027.83</v>
      </c>
      <c r="R25" s="2">
        <v>4520.8900000000003</v>
      </c>
      <c r="S25" s="2">
        <v>5786.48</v>
      </c>
      <c r="T25" s="2">
        <v>3783.8</v>
      </c>
      <c r="U25" s="2">
        <v>7179.43</v>
      </c>
      <c r="V25" s="2">
        <v>12032.6</v>
      </c>
      <c r="W25" s="2">
        <v>27296</v>
      </c>
      <c r="X25" s="2">
        <v>42669.86</v>
      </c>
      <c r="Y25" s="2">
        <v>32705.91</v>
      </c>
      <c r="Z25" s="2">
        <v>29198.75</v>
      </c>
      <c r="AA25" s="2">
        <v>28831.33</v>
      </c>
      <c r="AB25" s="2">
        <v>6828.11</v>
      </c>
      <c r="AC25" s="2">
        <v>2552.71</v>
      </c>
      <c r="AD25" s="2">
        <v>24289.45</v>
      </c>
      <c r="AE25" s="2">
        <v>5929.11</v>
      </c>
      <c r="AF25" s="2">
        <v>4231.17</v>
      </c>
      <c r="AG25" s="2">
        <v>18044.259999999998</v>
      </c>
      <c r="AH25" s="2">
        <v>13890.96</v>
      </c>
      <c r="AI25" s="2">
        <v>8470.83</v>
      </c>
      <c r="AJ25" s="2">
        <v>7493.15</v>
      </c>
      <c r="AK25" s="2">
        <v>2408.84</v>
      </c>
      <c r="AL25" s="2">
        <v>1924.72</v>
      </c>
      <c r="AM25" s="2">
        <v>1801.25</v>
      </c>
      <c r="AN25" s="2">
        <v>5649.73</v>
      </c>
      <c r="AO25" s="2">
        <v>4378.46</v>
      </c>
      <c r="AP25" s="2">
        <v>2075.77</v>
      </c>
      <c r="AQ25" s="2">
        <v>3600.98</v>
      </c>
      <c r="AR25" s="2">
        <v>3094.51</v>
      </c>
      <c r="AS25" s="2">
        <v>2201.12</v>
      </c>
      <c r="AT25" s="2">
        <v>6094.24</v>
      </c>
      <c r="AU25" s="2">
        <v>12024.59</v>
      </c>
      <c r="AV25" s="2">
        <v>8155.56</v>
      </c>
      <c r="AW25" s="2">
        <v>1263.56</v>
      </c>
      <c r="AX25" s="2">
        <v>3922.64</v>
      </c>
      <c r="AY25" s="2">
        <v>3093</v>
      </c>
      <c r="AZ25" s="2">
        <v>2547.0700000000002</v>
      </c>
      <c r="BA25" s="2">
        <v>1942.5</v>
      </c>
      <c r="BB25" s="2">
        <v>1642.76</v>
      </c>
      <c r="BC25" s="2">
        <v>7434.32</v>
      </c>
      <c r="BD25" s="2">
        <v>1775.99</v>
      </c>
      <c r="BE25" s="2">
        <v>3563.13</v>
      </c>
      <c r="BF25" s="2">
        <v>2647.32</v>
      </c>
      <c r="BG25" s="2">
        <v>1503.74</v>
      </c>
      <c r="BH25" s="2">
        <v>2637.13</v>
      </c>
      <c r="BI25" s="2">
        <v>1117.4100000000001</v>
      </c>
    </row>
    <row r="26" spans="1:61">
      <c r="A26" s="1">
        <v>23</v>
      </c>
      <c r="B26" s="2">
        <v>4190</v>
      </c>
      <c r="C26" s="2">
        <v>3212.16</v>
      </c>
      <c r="D26" s="2">
        <v>3152.43</v>
      </c>
      <c r="E26" s="2">
        <v>3084.62</v>
      </c>
      <c r="F26" s="2">
        <v>3693.48</v>
      </c>
      <c r="G26" s="2">
        <v>6471.57</v>
      </c>
      <c r="H26" s="2">
        <v>20917.64</v>
      </c>
      <c r="I26" s="2">
        <v>30039.16</v>
      </c>
      <c r="J26" s="2">
        <v>9286.19</v>
      </c>
      <c r="K26" s="2">
        <v>16939.259999999998</v>
      </c>
      <c r="L26" s="2">
        <v>1811.65</v>
      </c>
      <c r="M26" s="2">
        <v>2508.8000000000002</v>
      </c>
      <c r="N26" s="2">
        <v>5098.01</v>
      </c>
      <c r="O26" s="2">
        <v>9943.68</v>
      </c>
      <c r="P26" s="2">
        <v>12458.73</v>
      </c>
      <c r="Q26" s="2">
        <v>4254.3999999999996</v>
      </c>
      <c r="R26" s="2">
        <v>6187.58</v>
      </c>
      <c r="S26" s="2">
        <v>7041.21</v>
      </c>
      <c r="T26" s="2">
        <v>4435.1099999999997</v>
      </c>
      <c r="U26" s="2">
        <v>9038.08</v>
      </c>
      <c r="V26" s="2">
        <v>14201.57</v>
      </c>
      <c r="W26" s="2">
        <v>29507.32</v>
      </c>
      <c r="X26" s="2">
        <v>57562.720000000001</v>
      </c>
      <c r="Y26" s="2">
        <v>44742.36</v>
      </c>
      <c r="Z26" s="2">
        <v>34393.82</v>
      </c>
      <c r="AA26" s="2">
        <v>33063.43</v>
      </c>
      <c r="AB26" s="2">
        <v>9037.41</v>
      </c>
      <c r="AC26" s="2">
        <v>4064.84</v>
      </c>
      <c r="AD26" s="2">
        <v>32167.87</v>
      </c>
      <c r="AE26" s="2">
        <v>7502.03</v>
      </c>
      <c r="AF26" s="2">
        <v>4836.92</v>
      </c>
      <c r="AG26" s="2">
        <v>21787.1</v>
      </c>
      <c r="AH26" s="2">
        <v>14896.64</v>
      </c>
      <c r="AI26" s="2">
        <v>12637.95</v>
      </c>
      <c r="AJ26" s="2">
        <v>8618.4699999999993</v>
      </c>
      <c r="AK26" s="2">
        <v>3007.21</v>
      </c>
      <c r="AL26" s="2">
        <v>2333.61</v>
      </c>
      <c r="AM26" s="2">
        <v>2221.0500000000002</v>
      </c>
      <c r="AN26" s="2">
        <v>6823.71</v>
      </c>
      <c r="AO26" s="2">
        <v>6327.58</v>
      </c>
      <c r="AP26" s="2">
        <v>2415.5</v>
      </c>
      <c r="AQ26" s="2">
        <v>4654.83</v>
      </c>
      <c r="AR26" s="2">
        <v>4188.53</v>
      </c>
      <c r="AS26" s="2">
        <v>3017.85</v>
      </c>
      <c r="AT26" s="2">
        <v>7206.17</v>
      </c>
      <c r="AU26" s="2">
        <v>16636.64</v>
      </c>
      <c r="AV26" s="2">
        <v>7626.21</v>
      </c>
      <c r="AW26" s="2">
        <v>1430.31</v>
      </c>
      <c r="AX26" s="2">
        <v>4354.58</v>
      </c>
      <c r="AY26" s="2">
        <v>3409.94</v>
      </c>
      <c r="AZ26" s="2">
        <v>3267.1</v>
      </c>
      <c r="BA26" s="2">
        <v>2351.35</v>
      </c>
      <c r="BB26" s="2">
        <v>2323.04</v>
      </c>
      <c r="BC26" s="2">
        <v>8784.26</v>
      </c>
      <c r="BD26" s="2">
        <v>2080.34</v>
      </c>
      <c r="BE26" s="2">
        <v>5393.67</v>
      </c>
      <c r="BF26" s="2">
        <v>2904.92</v>
      </c>
      <c r="BG26" s="2">
        <v>1952.8</v>
      </c>
      <c r="BH26" s="2">
        <v>3197.1</v>
      </c>
      <c r="BI26" s="2">
        <v>1378.16</v>
      </c>
    </row>
    <row r="27" spans="1:61">
      <c r="A27" s="1">
        <v>24</v>
      </c>
      <c r="B27" s="2">
        <v>2793.29</v>
      </c>
      <c r="C27" s="2">
        <v>2292.0100000000002</v>
      </c>
      <c r="D27" s="2">
        <v>2488.12</v>
      </c>
      <c r="E27" s="2">
        <v>2558.56</v>
      </c>
      <c r="F27" s="2">
        <v>2617.23</v>
      </c>
      <c r="G27" s="2">
        <v>4723.17</v>
      </c>
      <c r="H27" s="2">
        <v>16893.169999999998</v>
      </c>
      <c r="I27" s="2">
        <v>18499.759999999998</v>
      </c>
      <c r="J27" s="2">
        <v>8481.68</v>
      </c>
      <c r="K27" s="2">
        <v>14254.56</v>
      </c>
      <c r="L27" s="2">
        <v>1468.15</v>
      </c>
      <c r="M27" s="2">
        <v>1697.78</v>
      </c>
      <c r="N27" s="2">
        <v>3667.91</v>
      </c>
      <c r="O27" s="2">
        <v>7993.38</v>
      </c>
      <c r="P27" s="2">
        <v>7969.73</v>
      </c>
      <c r="Q27" s="2">
        <v>3142.79</v>
      </c>
      <c r="R27" s="2">
        <v>5282.91</v>
      </c>
      <c r="S27" s="2">
        <v>4853.5</v>
      </c>
      <c r="T27" s="2">
        <v>3654.19</v>
      </c>
      <c r="U27" s="2">
        <v>6764.7</v>
      </c>
      <c r="V27" s="2">
        <v>11396.66</v>
      </c>
      <c r="W27" s="2">
        <v>23918.58</v>
      </c>
      <c r="X27" s="2">
        <v>40736.03</v>
      </c>
      <c r="Y27" s="2">
        <v>29660.65</v>
      </c>
      <c r="Z27" s="2">
        <v>23043.71</v>
      </c>
      <c r="AA27" s="2">
        <v>26750.37</v>
      </c>
      <c r="AB27" s="2">
        <v>6287.99</v>
      </c>
      <c r="AC27" s="2">
        <v>2670.66</v>
      </c>
      <c r="AD27" s="2">
        <v>17670.419999999998</v>
      </c>
      <c r="AE27" s="2">
        <v>5816.59</v>
      </c>
      <c r="AF27" s="2">
        <v>3277.75</v>
      </c>
      <c r="AG27" s="2">
        <v>12368.21</v>
      </c>
      <c r="AH27" s="2">
        <v>10783.56</v>
      </c>
      <c r="AI27" s="2">
        <v>8180.17</v>
      </c>
      <c r="AJ27" s="2">
        <v>6755.84</v>
      </c>
      <c r="AK27" s="2">
        <v>2411.92</v>
      </c>
      <c r="AL27" s="2">
        <v>1651.49</v>
      </c>
      <c r="AM27" s="2">
        <v>1594.2</v>
      </c>
      <c r="AN27" s="2">
        <v>5802.25</v>
      </c>
      <c r="AO27" s="2">
        <v>4247.74</v>
      </c>
      <c r="AP27" s="2">
        <v>1799.02</v>
      </c>
      <c r="AQ27" s="2">
        <v>3513.83</v>
      </c>
      <c r="AR27" s="2">
        <v>3163.62</v>
      </c>
      <c r="AS27" s="2">
        <v>2200.69</v>
      </c>
      <c r="AT27" s="2">
        <v>4676.8900000000003</v>
      </c>
      <c r="AU27" s="2">
        <v>11971.65</v>
      </c>
      <c r="AV27" s="2">
        <v>7641.57</v>
      </c>
      <c r="AW27" s="2">
        <v>1073.0899999999999</v>
      </c>
      <c r="AX27" s="2">
        <v>2998.77</v>
      </c>
      <c r="AY27" s="2">
        <v>3307.1</v>
      </c>
      <c r="AZ27" s="2">
        <v>2334.64</v>
      </c>
      <c r="BA27" s="2">
        <v>1953.23</v>
      </c>
      <c r="BB27" s="2">
        <v>1686.57</v>
      </c>
      <c r="BC27" s="2">
        <v>6159.04</v>
      </c>
      <c r="BD27" s="2">
        <v>1540.23</v>
      </c>
      <c r="BE27" s="2">
        <v>4101.25</v>
      </c>
      <c r="BF27" s="2">
        <v>1905.96</v>
      </c>
      <c r="BG27" s="2">
        <v>1210.58</v>
      </c>
      <c r="BH27" s="2">
        <v>2325.25</v>
      </c>
      <c r="BI27" s="2">
        <v>995.51</v>
      </c>
    </row>
    <row r="28" spans="1:61">
      <c r="A28" s="1">
        <v>25</v>
      </c>
      <c r="B28" s="2">
        <v>2361.25</v>
      </c>
      <c r="C28" s="2">
        <v>1753.71</v>
      </c>
      <c r="D28" s="2">
        <v>2171.39</v>
      </c>
      <c r="E28" s="2">
        <v>1838.58</v>
      </c>
      <c r="F28" s="2">
        <v>1859.66</v>
      </c>
      <c r="G28" s="2">
        <v>4275.16</v>
      </c>
      <c r="H28" s="2">
        <v>15174.58</v>
      </c>
      <c r="I28" s="2">
        <v>12876.21</v>
      </c>
      <c r="J28" s="2">
        <v>5760.14</v>
      </c>
      <c r="K28" s="2">
        <v>12774.98</v>
      </c>
      <c r="L28" s="2">
        <v>1232.75</v>
      </c>
      <c r="M28" s="2">
        <v>1679.03</v>
      </c>
      <c r="N28" s="2">
        <v>3285.75</v>
      </c>
      <c r="O28" s="2">
        <v>5529.6</v>
      </c>
      <c r="P28" s="2">
        <v>6812.21</v>
      </c>
      <c r="Q28" s="2">
        <v>2931.01</v>
      </c>
      <c r="R28" s="2">
        <v>4373.95</v>
      </c>
      <c r="S28" s="2">
        <v>3912.23</v>
      </c>
      <c r="T28" s="2">
        <v>3057.05</v>
      </c>
      <c r="U28" s="2">
        <v>5627.1</v>
      </c>
      <c r="V28" s="2">
        <v>7943.21</v>
      </c>
      <c r="W28" s="2">
        <v>19721.04</v>
      </c>
      <c r="X28" s="2">
        <v>31071.66</v>
      </c>
      <c r="Y28" s="2">
        <v>16335.04</v>
      </c>
      <c r="Z28" s="2">
        <v>19399.37</v>
      </c>
      <c r="AA28" s="2">
        <v>14426.35</v>
      </c>
      <c r="AB28" s="2">
        <v>5989.97</v>
      </c>
      <c r="AC28" s="2">
        <v>2081.98</v>
      </c>
      <c r="AD28" s="2">
        <v>17328.61</v>
      </c>
      <c r="AE28" s="2">
        <v>5070</v>
      </c>
      <c r="AF28" s="2">
        <v>3309.22</v>
      </c>
      <c r="AG28" s="2">
        <v>12845.41</v>
      </c>
      <c r="AH28" s="2">
        <v>9587.5</v>
      </c>
      <c r="AI28" s="2">
        <v>4142.41</v>
      </c>
      <c r="AJ28" s="2">
        <v>5567.89</v>
      </c>
      <c r="AK28" s="2">
        <v>2034.11</v>
      </c>
      <c r="AL28" s="2">
        <v>1217.4000000000001</v>
      </c>
      <c r="AM28" s="2">
        <v>1429.94</v>
      </c>
      <c r="AN28" s="2">
        <v>3838.39</v>
      </c>
      <c r="AO28" s="2">
        <v>3197.23</v>
      </c>
      <c r="AP28" s="2">
        <v>1590.1</v>
      </c>
      <c r="AQ28" s="2">
        <v>2440.33</v>
      </c>
      <c r="AR28" s="2">
        <v>2213.27</v>
      </c>
      <c r="AS28" s="2">
        <v>2018.68</v>
      </c>
      <c r="AT28" s="2">
        <v>4125.9399999999996</v>
      </c>
      <c r="AU28" s="2">
        <v>9622.2199999999993</v>
      </c>
      <c r="AV28" s="2">
        <v>5951.69</v>
      </c>
      <c r="AW28" s="2">
        <v>948.13</v>
      </c>
      <c r="AX28" s="2">
        <v>2450.31</v>
      </c>
      <c r="AY28" s="2">
        <v>1553.59</v>
      </c>
      <c r="AZ28" s="2">
        <v>1929.44</v>
      </c>
      <c r="BA28" s="2">
        <v>1632.26</v>
      </c>
      <c r="BB28" s="2">
        <v>1525.83</v>
      </c>
      <c r="BC28" s="2">
        <v>4750.57</v>
      </c>
      <c r="BD28" s="2">
        <v>1290.5</v>
      </c>
      <c r="BE28" s="2">
        <v>2870.28</v>
      </c>
      <c r="BF28" s="2">
        <v>2028.96</v>
      </c>
      <c r="BG28" s="2">
        <v>1165.78</v>
      </c>
      <c r="BH28" s="2">
        <v>1969.3</v>
      </c>
      <c r="BI28" s="2">
        <v>715.9</v>
      </c>
    </row>
    <row r="29" spans="1:61">
      <c r="A29" s="1">
        <v>26</v>
      </c>
      <c r="B29" s="2">
        <v>2382.86</v>
      </c>
      <c r="C29" s="2">
        <v>2057.38</v>
      </c>
      <c r="D29" s="2">
        <v>1666.09</v>
      </c>
      <c r="E29" s="2">
        <v>2143.5300000000002</v>
      </c>
      <c r="F29" s="2">
        <v>2178.7399999999998</v>
      </c>
      <c r="G29" s="2">
        <v>3738.3</v>
      </c>
      <c r="H29" s="2">
        <v>12488.56</v>
      </c>
      <c r="I29" s="2">
        <v>21106.79</v>
      </c>
      <c r="J29" s="2">
        <v>5390.76</v>
      </c>
      <c r="K29" s="2">
        <v>11608.75</v>
      </c>
      <c r="L29" s="2">
        <v>1245.53</v>
      </c>
      <c r="M29" s="2">
        <v>1592.2</v>
      </c>
      <c r="N29" s="2">
        <v>3490.33</v>
      </c>
      <c r="O29" s="2">
        <v>7198.73</v>
      </c>
      <c r="P29" s="2">
        <v>6449.54</v>
      </c>
      <c r="Q29" s="2">
        <v>2889.1</v>
      </c>
      <c r="R29" s="2">
        <v>4249.4799999999996</v>
      </c>
      <c r="S29" s="2">
        <v>2982.88</v>
      </c>
      <c r="T29" s="2">
        <v>2864.26</v>
      </c>
      <c r="U29" s="2">
        <v>4189.08</v>
      </c>
      <c r="V29" s="2">
        <v>5407.41</v>
      </c>
      <c r="W29" s="2">
        <v>20138.86</v>
      </c>
      <c r="X29" s="2">
        <v>29790.75</v>
      </c>
      <c r="Y29" s="2">
        <v>24922.86</v>
      </c>
      <c r="Z29" s="2">
        <v>17776.7</v>
      </c>
      <c r="AA29" s="2">
        <v>18699.09</v>
      </c>
      <c r="AB29" s="2">
        <v>4737.9399999999996</v>
      </c>
      <c r="AC29" s="2">
        <v>2239.4499999999998</v>
      </c>
      <c r="AD29" s="2">
        <v>21079.39</v>
      </c>
      <c r="AE29" s="2">
        <v>3471.74</v>
      </c>
      <c r="AF29" s="2">
        <v>3265.3</v>
      </c>
      <c r="AG29" s="2">
        <v>12870.08</v>
      </c>
      <c r="AH29" s="2">
        <v>7955</v>
      </c>
      <c r="AI29" s="2">
        <v>5821.57</v>
      </c>
      <c r="AJ29" s="2">
        <v>4614.16</v>
      </c>
      <c r="AK29" s="2">
        <v>1962.28</v>
      </c>
      <c r="AL29" s="2">
        <v>1110.6199999999999</v>
      </c>
      <c r="AM29" s="2">
        <v>1388.29</v>
      </c>
      <c r="AN29" s="2">
        <v>4144.96</v>
      </c>
      <c r="AO29" s="2">
        <v>3015.82</v>
      </c>
      <c r="AP29" s="2">
        <v>1524.27</v>
      </c>
      <c r="AQ29" s="2">
        <v>2754.63</v>
      </c>
      <c r="AR29" s="2">
        <v>2627.24</v>
      </c>
      <c r="AS29" s="2">
        <v>1677.77</v>
      </c>
      <c r="AT29" s="2">
        <v>3447.67</v>
      </c>
      <c r="AU29" s="2">
        <v>11232.74</v>
      </c>
      <c r="AV29" s="2">
        <v>5204.66</v>
      </c>
      <c r="AW29" s="2">
        <v>1111.69</v>
      </c>
      <c r="AX29" s="2">
        <v>2474.48</v>
      </c>
      <c r="AY29" s="2">
        <v>1947.53</v>
      </c>
      <c r="AZ29" s="2">
        <v>2000.83</v>
      </c>
      <c r="BA29" s="2">
        <v>1831.57</v>
      </c>
      <c r="BB29" s="2">
        <v>1298.4000000000001</v>
      </c>
      <c r="BC29" s="2">
        <v>4549.1000000000004</v>
      </c>
      <c r="BD29" s="2">
        <v>1414.21</v>
      </c>
      <c r="BE29" s="2">
        <v>2882.35</v>
      </c>
      <c r="BF29" s="2">
        <v>1590.09</v>
      </c>
      <c r="BG29" s="2">
        <v>1210.4100000000001</v>
      </c>
      <c r="BH29" s="2">
        <v>1596.55</v>
      </c>
      <c r="BI29" s="2">
        <v>821.97</v>
      </c>
    </row>
    <row r="30" spans="1:61">
      <c r="A30" s="1">
        <v>27</v>
      </c>
      <c r="B30" s="2">
        <v>2239.46</v>
      </c>
      <c r="C30" s="2">
        <v>1880.63</v>
      </c>
      <c r="D30" s="2">
        <v>1868.3</v>
      </c>
      <c r="E30" s="2">
        <v>2148.65</v>
      </c>
      <c r="F30" s="2">
        <v>2142.04</v>
      </c>
      <c r="G30" s="2">
        <v>4556.3599999999997</v>
      </c>
      <c r="H30" s="2">
        <v>11904.72</v>
      </c>
      <c r="I30" s="2">
        <v>14524.88</v>
      </c>
      <c r="J30" s="2">
        <v>6590.85</v>
      </c>
      <c r="K30" s="2">
        <v>12198.41</v>
      </c>
      <c r="L30" s="2">
        <v>1347.33</v>
      </c>
      <c r="M30" s="2">
        <v>1656.52</v>
      </c>
      <c r="N30" s="2">
        <v>4648.68</v>
      </c>
      <c r="O30" s="2">
        <v>6610.96</v>
      </c>
      <c r="P30" s="2">
        <v>7642.51</v>
      </c>
      <c r="Q30" s="2">
        <v>2439.56</v>
      </c>
      <c r="R30" s="2">
        <v>3405.34</v>
      </c>
      <c r="S30" s="2">
        <v>4106.8</v>
      </c>
      <c r="T30" s="2">
        <v>2408.56</v>
      </c>
      <c r="U30" s="2">
        <v>6497</v>
      </c>
      <c r="V30" s="2">
        <v>9090.9500000000007</v>
      </c>
      <c r="W30" s="2">
        <v>15105.89</v>
      </c>
      <c r="X30" s="2">
        <v>42252.29</v>
      </c>
      <c r="Y30" s="2">
        <v>29646.52</v>
      </c>
      <c r="Z30" s="2">
        <v>22951.91</v>
      </c>
      <c r="AA30" s="2">
        <v>21453.62</v>
      </c>
      <c r="AB30" s="2">
        <v>5240.12</v>
      </c>
      <c r="AC30" s="2">
        <v>2379.42</v>
      </c>
      <c r="AD30" s="2">
        <v>19276.419999999998</v>
      </c>
      <c r="AE30" s="2">
        <v>3750.89</v>
      </c>
      <c r="AF30" s="2">
        <v>4012.87</v>
      </c>
      <c r="AG30" s="2">
        <v>11584.02</v>
      </c>
      <c r="AH30" s="2">
        <v>8497.2099999999991</v>
      </c>
      <c r="AI30" s="2">
        <v>6125.5</v>
      </c>
      <c r="AJ30" s="2">
        <v>4908.5</v>
      </c>
      <c r="AK30" s="2">
        <v>1570.08</v>
      </c>
      <c r="AL30" s="2">
        <v>1090.23</v>
      </c>
      <c r="AM30" s="2">
        <v>1345.19</v>
      </c>
      <c r="AN30" s="2">
        <v>5366.78</v>
      </c>
      <c r="AO30" s="2">
        <v>4155.07</v>
      </c>
      <c r="AP30" s="2">
        <v>1416.98</v>
      </c>
      <c r="AQ30" s="2">
        <v>2854.79</v>
      </c>
      <c r="AR30" s="2">
        <v>1937.19</v>
      </c>
      <c r="AS30" s="2">
        <v>2003.28</v>
      </c>
      <c r="AT30" s="2">
        <v>4722.12</v>
      </c>
      <c r="AU30" s="2">
        <v>9559.64</v>
      </c>
      <c r="AV30" s="2">
        <v>5736.63</v>
      </c>
      <c r="AW30" s="2">
        <v>795.94</v>
      </c>
      <c r="AX30" s="2">
        <v>2218.4699999999998</v>
      </c>
      <c r="AY30" s="2">
        <v>2854.3</v>
      </c>
      <c r="AZ30" s="2">
        <v>2375.3200000000002</v>
      </c>
      <c r="BA30" s="2">
        <v>1689.21</v>
      </c>
      <c r="BB30" s="2">
        <v>1442.42</v>
      </c>
      <c r="BC30" s="2">
        <v>4763.5</v>
      </c>
      <c r="BD30" s="2">
        <v>1357.68</v>
      </c>
      <c r="BE30" s="2">
        <v>3735.87</v>
      </c>
      <c r="BF30" s="2">
        <v>1752.55</v>
      </c>
      <c r="BG30" s="2">
        <v>897.7</v>
      </c>
      <c r="BH30" s="2">
        <v>2287.9899999999998</v>
      </c>
      <c r="BI30" s="2">
        <v>839.62</v>
      </c>
    </row>
    <row r="31" spans="1:61">
      <c r="A31" s="1">
        <v>28</v>
      </c>
      <c r="B31" s="2">
        <v>2817.22</v>
      </c>
      <c r="C31" s="2">
        <v>2634.64</v>
      </c>
      <c r="D31" s="2">
        <v>2536.0300000000002</v>
      </c>
      <c r="E31" s="2">
        <v>2647.49</v>
      </c>
      <c r="F31" s="2">
        <v>2561.5700000000002</v>
      </c>
      <c r="G31" s="2">
        <v>4453.76</v>
      </c>
      <c r="H31" s="2">
        <v>16122.72</v>
      </c>
      <c r="I31" s="2">
        <v>17695.95</v>
      </c>
      <c r="J31" s="2">
        <v>7009.65</v>
      </c>
      <c r="K31" s="2">
        <v>11916.59</v>
      </c>
      <c r="L31" s="2">
        <v>1335.14</v>
      </c>
      <c r="M31" s="2">
        <v>1670.31</v>
      </c>
      <c r="N31" s="2">
        <v>4352.16</v>
      </c>
      <c r="O31" s="2">
        <v>6906.97</v>
      </c>
      <c r="P31" s="2">
        <v>7876.01</v>
      </c>
      <c r="Q31" s="2">
        <v>2870.08</v>
      </c>
      <c r="R31" s="2">
        <v>4461.05</v>
      </c>
      <c r="S31" s="2">
        <v>4316.0200000000004</v>
      </c>
      <c r="T31" s="2">
        <v>2730.58</v>
      </c>
      <c r="U31" s="2">
        <v>7102.17</v>
      </c>
      <c r="V31" s="2">
        <v>7912.87</v>
      </c>
      <c r="W31" s="2">
        <v>22333.98</v>
      </c>
      <c r="X31" s="2">
        <v>41273</v>
      </c>
      <c r="Y31" s="2">
        <v>29402.79</v>
      </c>
      <c r="Z31" s="2">
        <v>26025.69</v>
      </c>
      <c r="AA31" s="2">
        <v>23312.28</v>
      </c>
      <c r="AB31" s="2">
        <v>4820.7</v>
      </c>
      <c r="AC31" s="2">
        <v>2768.66</v>
      </c>
      <c r="AD31" s="2">
        <v>24435.57</v>
      </c>
      <c r="AE31" s="2">
        <v>4791.76</v>
      </c>
      <c r="AF31" s="2">
        <v>4105.8999999999996</v>
      </c>
      <c r="AG31" s="2">
        <v>12733.09</v>
      </c>
      <c r="AH31" s="2">
        <v>10449.06</v>
      </c>
      <c r="AI31" s="2">
        <v>6772.61</v>
      </c>
      <c r="AJ31" s="2">
        <v>5912.38</v>
      </c>
      <c r="AK31" s="2">
        <v>2233.5</v>
      </c>
      <c r="AL31" s="2">
        <v>1592.16</v>
      </c>
      <c r="AM31" s="2">
        <v>1719.55</v>
      </c>
      <c r="AN31" s="2">
        <v>5507.04</v>
      </c>
      <c r="AO31" s="2">
        <v>4075.76</v>
      </c>
      <c r="AP31" s="2">
        <v>1868.01</v>
      </c>
      <c r="AQ31" s="2">
        <v>3227.3</v>
      </c>
      <c r="AR31" s="2">
        <v>2376.09</v>
      </c>
      <c r="AS31" s="2">
        <v>1928.15</v>
      </c>
      <c r="AT31" s="2">
        <v>4742.58</v>
      </c>
      <c r="AU31" s="2">
        <v>11660.95</v>
      </c>
      <c r="AV31" s="2">
        <v>6105.27</v>
      </c>
      <c r="AW31" s="2">
        <v>982.57</v>
      </c>
      <c r="AX31" s="2">
        <v>3276.08</v>
      </c>
      <c r="AY31" s="2">
        <v>2938.58</v>
      </c>
      <c r="AZ31" s="2">
        <v>1786.26</v>
      </c>
      <c r="BA31" s="2">
        <v>1547.17</v>
      </c>
      <c r="BB31" s="2">
        <v>1712.48</v>
      </c>
      <c r="BC31" s="2">
        <v>6572.93</v>
      </c>
      <c r="BD31" s="2">
        <v>1414.39</v>
      </c>
      <c r="BE31" s="2">
        <v>4071</v>
      </c>
      <c r="BF31" s="2">
        <v>2166.19</v>
      </c>
      <c r="BG31" s="2">
        <v>1337.92</v>
      </c>
      <c r="BH31" s="2">
        <v>2278.14</v>
      </c>
      <c r="BI31" s="2">
        <v>930.72</v>
      </c>
    </row>
    <row r="32" spans="1:61">
      <c r="A32" s="1">
        <v>29</v>
      </c>
      <c r="B32" s="2">
        <v>4192.42</v>
      </c>
      <c r="C32" s="2">
        <v>2412.7600000000002</v>
      </c>
      <c r="D32" s="2">
        <v>2609.5100000000002</v>
      </c>
      <c r="E32" s="2">
        <v>2501.5</v>
      </c>
      <c r="F32" s="2">
        <v>3878.76</v>
      </c>
      <c r="G32" s="2">
        <v>4794.9799999999996</v>
      </c>
      <c r="H32" s="2">
        <v>20715.04</v>
      </c>
      <c r="I32" s="2">
        <v>26723.02</v>
      </c>
      <c r="J32" s="2">
        <v>9432.2900000000009</v>
      </c>
      <c r="K32" s="2">
        <v>20011.759999999998</v>
      </c>
      <c r="L32" s="2">
        <v>1732.31</v>
      </c>
      <c r="M32" s="2">
        <v>2467.12</v>
      </c>
      <c r="N32" s="2">
        <v>5714.17</v>
      </c>
      <c r="O32" s="2">
        <v>9922.81</v>
      </c>
      <c r="P32" s="2">
        <v>11047.39</v>
      </c>
      <c r="Q32" s="2">
        <v>4303.8</v>
      </c>
      <c r="R32" s="2">
        <v>5346.79</v>
      </c>
      <c r="S32" s="2">
        <v>5002.55</v>
      </c>
      <c r="T32" s="2">
        <v>4502.38</v>
      </c>
      <c r="U32" s="2">
        <v>8388.32</v>
      </c>
      <c r="V32" s="2">
        <v>12272.08</v>
      </c>
      <c r="W32" s="2">
        <v>30307.91</v>
      </c>
      <c r="X32" s="2">
        <v>53110.94</v>
      </c>
      <c r="Y32" s="2">
        <v>39799.11</v>
      </c>
      <c r="Z32" s="2">
        <v>27962.07</v>
      </c>
      <c r="AA32" s="2">
        <v>28735.48</v>
      </c>
      <c r="AB32" s="2">
        <v>7411.48</v>
      </c>
      <c r="AC32" s="2">
        <v>3510.94</v>
      </c>
      <c r="AD32" s="2">
        <v>27819.55</v>
      </c>
      <c r="AE32" s="2">
        <v>5474.49</v>
      </c>
      <c r="AF32" s="2">
        <v>5080.41</v>
      </c>
      <c r="AG32" s="2">
        <v>18675.27</v>
      </c>
      <c r="AH32" s="2">
        <v>12455.81</v>
      </c>
      <c r="AI32" s="2">
        <v>7622.29</v>
      </c>
      <c r="AJ32" s="2">
        <v>7979.55</v>
      </c>
      <c r="AK32" s="2">
        <v>3241.61</v>
      </c>
      <c r="AL32" s="2">
        <v>1810.39</v>
      </c>
      <c r="AM32" s="2">
        <v>1786.85</v>
      </c>
      <c r="AN32" s="2">
        <v>6552.78</v>
      </c>
      <c r="AO32" s="2">
        <v>5332.09</v>
      </c>
      <c r="AP32" s="2">
        <v>2406.14</v>
      </c>
      <c r="AQ32" s="2">
        <v>3869.03</v>
      </c>
      <c r="AR32" s="2">
        <v>3616.3</v>
      </c>
      <c r="AS32" s="2">
        <v>2591.73</v>
      </c>
      <c r="AT32" s="2">
        <v>5803.05</v>
      </c>
      <c r="AU32" s="2">
        <v>15879.92</v>
      </c>
      <c r="AV32" s="2">
        <v>8845.5</v>
      </c>
      <c r="AW32" s="2">
        <v>1504.56</v>
      </c>
      <c r="AX32" s="2">
        <v>3530.57</v>
      </c>
      <c r="AY32" s="2">
        <v>2996.81</v>
      </c>
      <c r="AZ32" s="2">
        <v>2904.98</v>
      </c>
      <c r="BA32" s="2">
        <v>2524.61</v>
      </c>
      <c r="BB32" s="2">
        <v>1959.57</v>
      </c>
      <c r="BC32" s="2">
        <v>8460.0300000000007</v>
      </c>
      <c r="BD32" s="2">
        <v>1694.58</v>
      </c>
      <c r="BE32" s="2">
        <v>5044.6000000000004</v>
      </c>
      <c r="BF32" s="2">
        <v>2629.01</v>
      </c>
      <c r="BG32" s="2">
        <v>1606.1</v>
      </c>
      <c r="BH32" s="2">
        <v>2715.22</v>
      </c>
      <c r="BI32" s="2">
        <v>1098.68</v>
      </c>
    </row>
    <row r="33" spans="1:61">
      <c r="A33" s="1">
        <v>30</v>
      </c>
      <c r="B33" s="2">
        <v>4483.76</v>
      </c>
      <c r="C33" s="2">
        <v>4008.73</v>
      </c>
      <c r="D33" s="2">
        <v>2822.52</v>
      </c>
      <c r="E33" s="2">
        <v>3507.16</v>
      </c>
      <c r="F33" s="2">
        <v>4245.26</v>
      </c>
      <c r="G33" s="2">
        <v>7062.23</v>
      </c>
      <c r="H33" s="2">
        <v>22510.06</v>
      </c>
      <c r="I33" s="2">
        <v>30218.59</v>
      </c>
      <c r="J33" s="2">
        <v>11072.7</v>
      </c>
      <c r="K33" s="2">
        <v>21002.92</v>
      </c>
      <c r="L33" s="2">
        <v>1896.29</v>
      </c>
      <c r="M33" s="2">
        <v>2438.23</v>
      </c>
      <c r="N33" s="2">
        <v>6289.46</v>
      </c>
      <c r="O33" s="2">
        <v>11617.2</v>
      </c>
      <c r="P33" s="2">
        <v>12598.46</v>
      </c>
      <c r="Q33" s="2">
        <v>4735.8500000000004</v>
      </c>
      <c r="R33" s="2">
        <v>7308.17</v>
      </c>
      <c r="S33" s="2">
        <v>7297</v>
      </c>
      <c r="T33" s="2">
        <v>4951.8999999999996</v>
      </c>
      <c r="U33" s="2">
        <v>11107.29</v>
      </c>
      <c r="V33" s="2">
        <v>15348.7</v>
      </c>
      <c r="W33" s="2">
        <v>38172.019999999997</v>
      </c>
      <c r="X33" s="2">
        <v>65949.53</v>
      </c>
      <c r="Y33" s="2">
        <v>41535.47</v>
      </c>
      <c r="Z33" s="2">
        <v>37106.620000000003</v>
      </c>
      <c r="AA33" s="2">
        <v>41754.870000000003</v>
      </c>
      <c r="AB33" s="2">
        <v>8449.41</v>
      </c>
      <c r="AC33" s="2">
        <v>3823.78</v>
      </c>
      <c r="AD33" s="2">
        <v>34845.550000000003</v>
      </c>
      <c r="AE33" s="2">
        <v>8192.84</v>
      </c>
      <c r="AF33" s="2">
        <v>5682.66</v>
      </c>
      <c r="AG33" s="2">
        <v>22798.639999999999</v>
      </c>
      <c r="AH33" s="2">
        <v>15414.77</v>
      </c>
      <c r="AI33" s="2">
        <v>12903.48</v>
      </c>
      <c r="AJ33" s="2">
        <v>9991.73</v>
      </c>
      <c r="AK33" s="2">
        <v>3337</v>
      </c>
      <c r="AL33" s="2">
        <v>2324.42</v>
      </c>
      <c r="AM33" s="2">
        <v>2509.7600000000002</v>
      </c>
      <c r="AN33" s="2">
        <v>6990.56</v>
      </c>
      <c r="AO33" s="2">
        <v>7092.24</v>
      </c>
      <c r="AP33" s="2">
        <v>2775.36</v>
      </c>
      <c r="AQ33" s="2">
        <v>4810.47</v>
      </c>
      <c r="AR33" s="2">
        <v>4436.62</v>
      </c>
      <c r="AS33" s="2">
        <v>2800.56</v>
      </c>
      <c r="AT33" s="2">
        <v>7265.72</v>
      </c>
      <c r="AU33" s="2">
        <v>18854.39</v>
      </c>
      <c r="AV33" s="2">
        <v>9575.7900000000009</v>
      </c>
      <c r="AW33" s="2">
        <v>1700.36</v>
      </c>
      <c r="AX33" s="2">
        <v>5060.32</v>
      </c>
      <c r="AY33" s="2">
        <v>3864.08</v>
      </c>
      <c r="AZ33" s="2">
        <v>3053.21</v>
      </c>
      <c r="BA33" s="2">
        <v>2707.35</v>
      </c>
      <c r="BB33" s="2">
        <v>2315.6999999999998</v>
      </c>
      <c r="BC33" s="2">
        <v>9057.17</v>
      </c>
      <c r="BD33" s="2">
        <v>2133.42</v>
      </c>
      <c r="BE33" s="2">
        <v>6219.56</v>
      </c>
      <c r="BF33" s="2">
        <v>3019.12</v>
      </c>
      <c r="BG33" s="2">
        <v>2060.73</v>
      </c>
      <c r="BH33" s="2">
        <v>3215.23</v>
      </c>
      <c r="BI33" s="2">
        <v>1468.98</v>
      </c>
    </row>
    <row r="34" spans="1:61">
      <c r="A34" s="1">
        <v>31</v>
      </c>
      <c r="B34" s="2">
        <v>3636.6</v>
      </c>
      <c r="C34" s="2">
        <v>3133.44</v>
      </c>
      <c r="D34" s="2">
        <v>2611.1</v>
      </c>
      <c r="E34" s="2">
        <v>2923.91</v>
      </c>
      <c r="F34" s="2">
        <v>3244.11</v>
      </c>
      <c r="G34" s="2">
        <v>5718.03</v>
      </c>
      <c r="H34" s="2">
        <v>19660.41</v>
      </c>
      <c r="I34" s="2">
        <v>23847.13</v>
      </c>
      <c r="J34" s="2">
        <v>7445.33</v>
      </c>
      <c r="K34" s="2">
        <v>16964.05</v>
      </c>
      <c r="L34" s="2">
        <v>1649.75</v>
      </c>
      <c r="M34" s="2">
        <v>1914.22</v>
      </c>
      <c r="N34" s="2">
        <v>5365.27</v>
      </c>
      <c r="O34" s="2">
        <v>8282.18</v>
      </c>
      <c r="P34" s="2">
        <v>9119.83</v>
      </c>
      <c r="Q34" s="2">
        <v>3070.41</v>
      </c>
      <c r="R34" s="2">
        <v>4513.6899999999996</v>
      </c>
      <c r="S34" s="2">
        <v>5518.4</v>
      </c>
      <c r="T34" s="2">
        <v>3382.92</v>
      </c>
      <c r="U34" s="2">
        <v>8136.18</v>
      </c>
      <c r="V34" s="2">
        <v>10914.05</v>
      </c>
      <c r="W34" s="2">
        <v>33126.81</v>
      </c>
      <c r="X34" s="2">
        <v>38180.79</v>
      </c>
      <c r="Y34" s="2">
        <v>37248.620000000003</v>
      </c>
      <c r="Z34" s="2">
        <v>29703.14</v>
      </c>
      <c r="AA34" s="2">
        <v>29363.85</v>
      </c>
      <c r="AB34" s="2">
        <v>6420.9</v>
      </c>
      <c r="AC34" s="2">
        <v>3058.08</v>
      </c>
      <c r="AD34" s="2">
        <v>25180.41</v>
      </c>
      <c r="AE34" s="2">
        <v>5896.78</v>
      </c>
      <c r="AF34" s="2">
        <v>4195.7</v>
      </c>
      <c r="AG34" s="2">
        <v>17572.919999999998</v>
      </c>
      <c r="AH34" s="2">
        <v>10208.15</v>
      </c>
      <c r="AI34" s="2">
        <v>10110.31</v>
      </c>
      <c r="AJ34" s="2">
        <v>7136.53</v>
      </c>
      <c r="AK34" s="2">
        <v>2435.88</v>
      </c>
      <c r="AL34" s="2">
        <v>1673.19</v>
      </c>
      <c r="AM34" s="2">
        <v>1747.33</v>
      </c>
      <c r="AN34" s="2">
        <v>6055.85</v>
      </c>
      <c r="AO34" s="2">
        <v>4355.7700000000004</v>
      </c>
      <c r="AP34" s="2">
        <v>1983.71</v>
      </c>
      <c r="AQ34" s="2">
        <v>3880.46</v>
      </c>
      <c r="AR34" s="2">
        <v>3287.87</v>
      </c>
      <c r="AS34" s="2">
        <v>2642.16</v>
      </c>
      <c r="AT34" s="2">
        <v>5418.19</v>
      </c>
      <c r="AU34" s="2">
        <v>11925.49</v>
      </c>
      <c r="AV34" s="2">
        <v>5677.93</v>
      </c>
      <c r="AW34" s="2">
        <v>1330.16</v>
      </c>
      <c r="AX34" s="2">
        <v>3835.02</v>
      </c>
      <c r="AY34" s="2">
        <v>2532.73</v>
      </c>
      <c r="AZ34" s="2">
        <v>2751.85</v>
      </c>
      <c r="BA34" s="2">
        <v>2383.29</v>
      </c>
      <c r="BB34" s="2">
        <v>1816.35</v>
      </c>
      <c r="BC34" s="2">
        <v>7160.98</v>
      </c>
      <c r="BD34" s="2">
        <v>1807.98</v>
      </c>
      <c r="BE34" s="2">
        <v>3346.86</v>
      </c>
      <c r="BF34" s="2">
        <v>2370.7800000000002</v>
      </c>
      <c r="BG34" s="2">
        <v>1590.62</v>
      </c>
      <c r="BH34" s="2">
        <v>2372.7199999999998</v>
      </c>
      <c r="BI34" s="2">
        <v>1260.08</v>
      </c>
    </row>
    <row r="35" spans="1:61">
      <c r="A35" s="1">
        <v>32</v>
      </c>
      <c r="B35" s="2">
        <v>2870.77</v>
      </c>
      <c r="C35" s="2">
        <v>2358.9699999999998</v>
      </c>
      <c r="D35" s="2">
        <v>1906.25</v>
      </c>
      <c r="E35" s="2">
        <v>2341.75</v>
      </c>
      <c r="F35" s="2">
        <v>2707.13</v>
      </c>
      <c r="G35" s="2">
        <v>3791.86</v>
      </c>
      <c r="H35" s="2">
        <v>12648.28</v>
      </c>
      <c r="I35" s="2">
        <v>17571.490000000002</v>
      </c>
      <c r="J35" s="2">
        <v>6499.57</v>
      </c>
      <c r="K35" s="2">
        <v>11897.55</v>
      </c>
      <c r="L35" s="2">
        <v>1282.69</v>
      </c>
      <c r="M35" s="2">
        <v>1608.93</v>
      </c>
      <c r="N35" s="2">
        <v>3032.15</v>
      </c>
      <c r="O35" s="2">
        <v>7750.18</v>
      </c>
      <c r="P35" s="2">
        <v>7751.49</v>
      </c>
      <c r="Q35" s="2">
        <v>3349.08</v>
      </c>
      <c r="R35" s="2">
        <v>4101.95</v>
      </c>
      <c r="S35" s="2">
        <v>3785.13</v>
      </c>
      <c r="T35" s="2">
        <v>3465.47</v>
      </c>
      <c r="U35" s="2">
        <v>5850.48</v>
      </c>
      <c r="V35" s="2">
        <v>9695.99</v>
      </c>
      <c r="W35" s="2">
        <v>23067.48</v>
      </c>
      <c r="X35" s="2">
        <v>34180.17</v>
      </c>
      <c r="Y35" s="2">
        <v>29927.61</v>
      </c>
      <c r="Z35" s="2">
        <v>16352.5</v>
      </c>
      <c r="AA35" s="2">
        <v>23741.93</v>
      </c>
      <c r="AB35" s="2">
        <v>5099.88</v>
      </c>
      <c r="AC35" s="2">
        <v>2132.65</v>
      </c>
      <c r="AD35" s="2">
        <v>23088.35</v>
      </c>
      <c r="AE35" s="2">
        <v>4451.5</v>
      </c>
      <c r="AF35" s="2">
        <v>3276.8</v>
      </c>
      <c r="AG35" s="2">
        <v>14044.06</v>
      </c>
      <c r="AH35" s="2">
        <v>10317.68</v>
      </c>
      <c r="AI35" s="2">
        <v>8792.33</v>
      </c>
      <c r="AJ35" s="2">
        <v>6211.89</v>
      </c>
      <c r="AK35" s="2">
        <v>1853.91</v>
      </c>
      <c r="AL35" s="2">
        <v>1304.83</v>
      </c>
      <c r="AM35" s="2">
        <v>1553.24</v>
      </c>
      <c r="AN35" s="2">
        <v>6415.01</v>
      </c>
      <c r="AO35" s="2">
        <v>4688.05</v>
      </c>
      <c r="AP35" s="2">
        <v>1753.63</v>
      </c>
      <c r="AQ35" s="2">
        <v>3285.22</v>
      </c>
      <c r="AR35" s="2">
        <v>2919.63</v>
      </c>
      <c r="AS35" s="2">
        <v>2215.9899999999998</v>
      </c>
      <c r="AT35" s="2">
        <v>4320.8999999999996</v>
      </c>
      <c r="AU35" s="2">
        <v>10095.16</v>
      </c>
      <c r="AV35" s="2">
        <v>6443.91</v>
      </c>
      <c r="AW35" s="2">
        <v>1072.18</v>
      </c>
      <c r="AX35" s="2">
        <v>3313.84</v>
      </c>
      <c r="AY35" s="2">
        <v>2773.45</v>
      </c>
      <c r="AZ35" s="2">
        <v>2050.36</v>
      </c>
      <c r="BA35" s="2">
        <v>1900.64</v>
      </c>
      <c r="BB35" s="2">
        <v>1627.26</v>
      </c>
      <c r="BC35" s="2">
        <v>6099.29</v>
      </c>
      <c r="BD35" s="2">
        <v>1502.12</v>
      </c>
      <c r="BE35" s="2">
        <v>3948.89</v>
      </c>
      <c r="BF35" s="2">
        <v>2033.17</v>
      </c>
      <c r="BG35" s="2">
        <v>1296.79</v>
      </c>
      <c r="BH35" s="2">
        <v>2086.79</v>
      </c>
      <c r="BI35" s="2">
        <v>963.69</v>
      </c>
    </row>
    <row r="36" spans="1:61">
      <c r="A36" s="1">
        <v>33</v>
      </c>
      <c r="B36" s="2">
        <v>2256.94</v>
      </c>
      <c r="C36" s="2">
        <v>2317.35</v>
      </c>
      <c r="D36" s="2">
        <v>1982.99</v>
      </c>
      <c r="E36" s="2">
        <v>2232.6799999999998</v>
      </c>
      <c r="F36" s="2">
        <v>2326.8000000000002</v>
      </c>
      <c r="G36" s="2">
        <v>4599.1400000000003</v>
      </c>
      <c r="H36" s="2">
        <v>12497.42</v>
      </c>
      <c r="I36" s="2">
        <v>15611.83</v>
      </c>
      <c r="J36" s="2">
        <v>7248.19</v>
      </c>
      <c r="K36" s="2">
        <v>12203.5</v>
      </c>
      <c r="L36" s="2">
        <v>1243.76</v>
      </c>
      <c r="M36" s="2">
        <v>1737.89</v>
      </c>
      <c r="N36" s="2">
        <v>4278.53</v>
      </c>
      <c r="O36" s="2">
        <v>7140.15</v>
      </c>
      <c r="P36" s="2">
        <v>7883.54</v>
      </c>
      <c r="Q36" s="2">
        <v>2759.64</v>
      </c>
      <c r="R36" s="2">
        <v>4691.6400000000003</v>
      </c>
      <c r="S36" s="2">
        <v>4294.5</v>
      </c>
      <c r="T36" s="2">
        <v>3386.76</v>
      </c>
      <c r="U36" s="2">
        <v>6244.77</v>
      </c>
      <c r="V36" s="2">
        <v>8689.2199999999993</v>
      </c>
      <c r="W36" s="2">
        <v>23382.95</v>
      </c>
      <c r="X36" s="2">
        <v>32271.9</v>
      </c>
      <c r="Y36" s="2">
        <v>28219.23</v>
      </c>
      <c r="Z36" s="2">
        <v>18014.7</v>
      </c>
      <c r="AA36" s="2">
        <v>20518.939999999999</v>
      </c>
      <c r="AB36" s="2">
        <v>5729.33</v>
      </c>
      <c r="AC36" s="2">
        <v>2899.1</v>
      </c>
      <c r="AD36" s="2">
        <v>22683.15</v>
      </c>
      <c r="AE36" s="2">
        <v>4892.54</v>
      </c>
      <c r="AF36" s="2">
        <v>3664.71</v>
      </c>
      <c r="AG36" s="2">
        <v>13409.06</v>
      </c>
      <c r="AH36" s="2">
        <v>6902.85</v>
      </c>
      <c r="AI36" s="2">
        <v>8907.83</v>
      </c>
      <c r="AJ36" s="2">
        <v>4652.93</v>
      </c>
      <c r="AK36" s="2">
        <v>2272.3200000000002</v>
      </c>
      <c r="AL36" s="2">
        <v>1566.55</v>
      </c>
      <c r="AM36" s="2">
        <v>1214.8699999999999</v>
      </c>
      <c r="AN36" s="2">
        <v>4673.49</v>
      </c>
      <c r="AO36" s="2">
        <v>4311.18</v>
      </c>
      <c r="AP36" s="2">
        <v>1677.08</v>
      </c>
      <c r="AQ36" s="2">
        <v>3124.24</v>
      </c>
      <c r="AR36" s="2">
        <v>2505.84</v>
      </c>
      <c r="AS36" s="2">
        <v>2276.2800000000002</v>
      </c>
      <c r="AT36" s="2">
        <v>4742.09</v>
      </c>
      <c r="AU36" s="2">
        <v>10934.17</v>
      </c>
      <c r="AV36" s="2">
        <v>5688.12</v>
      </c>
      <c r="AW36" s="2">
        <v>1058.72</v>
      </c>
      <c r="AX36" s="2">
        <v>2787.36</v>
      </c>
      <c r="AY36" s="2">
        <v>2324.25</v>
      </c>
      <c r="AZ36" s="2">
        <v>2117.46</v>
      </c>
      <c r="BA36" s="2">
        <v>1927.66</v>
      </c>
      <c r="BB36" s="2">
        <v>1306.3499999999999</v>
      </c>
      <c r="BC36" s="2">
        <v>6943.36</v>
      </c>
      <c r="BD36" s="2">
        <v>1475.52</v>
      </c>
      <c r="BE36" s="2">
        <v>3969.4</v>
      </c>
      <c r="BF36" s="2">
        <v>1831.72</v>
      </c>
      <c r="BG36" s="2">
        <v>1077.8599999999999</v>
      </c>
      <c r="BH36" s="2">
        <v>2307.4699999999998</v>
      </c>
      <c r="BI36" s="2">
        <v>927.09</v>
      </c>
    </row>
    <row r="37" spans="1:61">
      <c r="A37" s="1">
        <v>34</v>
      </c>
      <c r="B37" s="2">
        <v>2335.35</v>
      </c>
      <c r="C37" s="2">
        <v>2311.4699999999998</v>
      </c>
      <c r="D37" s="2">
        <v>2033.45</v>
      </c>
      <c r="E37" s="2">
        <v>2029.25</v>
      </c>
      <c r="F37" s="2">
        <v>2850.17</v>
      </c>
      <c r="G37" s="2">
        <v>5237.01</v>
      </c>
      <c r="H37" s="2">
        <v>15284.78</v>
      </c>
      <c r="I37" s="2">
        <v>17427.740000000002</v>
      </c>
      <c r="J37" s="2">
        <v>6418.24</v>
      </c>
      <c r="K37" s="2">
        <v>12235.83</v>
      </c>
      <c r="L37" s="2">
        <v>1451.01</v>
      </c>
      <c r="M37" s="2">
        <v>1621.7</v>
      </c>
      <c r="N37" s="2">
        <v>4133.99</v>
      </c>
      <c r="O37" s="2">
        <v>5140.57</v>
      </c>
      <c r="P37" s="2">
        <v>6523.02</v>
      </c>
      <c r="Q37" s="2">
        <v>2842.88</v>
      </c>
      <c r="R37" s="2">
        <v>3987.4</v>
      </c>
      <c r="S37" s="2">
        <v>3767.6</v>
      </c>
      <c r="T37" s="2">
        <v>3503.11</v>
      </c>
      <c r="U37" s="2">
        <v>5082.16</v>
      </c>
      <c r="V37" s="2">
        <v>9634.51</v>
      </c>
      <c r="W37" s="2">
        <v>24540.11</v>
      </c>
      <c r="X37" s="2">
        <v>43535.4</v>
      </c>
      <c r="Y37" s="2">
        <v>27215.56</v>
      </c>
      <c r="Z37" s="2">
        <v>24437.14</v>
      </c>
      <c r="AA37" s="2">
        <v>27708.37</v>
      </c>
      <c r="AB37" s="2">
        <v>5743.07</v>
      </c>
      <c r="AC37" s="2">
        <v>2585.36</v>
      </c>
      <c r="AD37" s="2">
        <v>18283.14</v>
      </c>
      <c r="AE37" s="2">
        <v>4581.8100000000004</v>
      </c>
      <c r="AF37" s="2">
        <v>4053.53</v>
      </c>
      <c r="AG37" s="2">
        <v>14810.22</v>
      </c>
      <c r="AH37" s="2">
        <v>9001.11</v>
      </c>
      <c r="AI37" s="2">
        <v>8369.06</v>
      </c>
      <c r="AJ37" s="2">
        <v>6058.38</v>
      </c>
      <c r="AK37" s="2">
        <v>2422.67</v>
      </c>
      <c r="AL37" s="2">
        <v>1658.12</v>
      </c>
      <c r="AM37" s="2">
        <v>1683.08</v>
      </c>
      <c r="AN37" s="2">
        <v>3969.83</v>
      </c>
      <c r="AO37" s="2">
        <v>4150.68</v>
      </c>
      <c r="AP37" s="2">
        <v>1844.64</v>
      </c>
      <c r="AQ37" s="2">
        <v>2934.27</v>
      </c>
      <c r="AR37" s="2">
        <v>2721.47</v>
      </c>
      <c r="AS37" s="2">
        <v>2349.5</v>
      </c>
      <c r="AT37" s="2">
        <v>4883.82</v>
      </c>
      <c r="AU37" s="2">
        <v>11839.26</v>
      </c>
      <c r="AV37" s="2">
        <v>7548.72</v>
      </c>
      <c r="AW37" s="2">
        <v>983.67</v>
      </c>
      <c r="AX37" s="2">
        <v>2880.01</v>
      </c>
      <c r="AY37" s="2">
        <v>2573.48</v>
      </c>
      <c r="AZ37" s="2">
        <v>2081.1799999999998</v>
      </c>
      <c r="BA37" s="2">
        <v>1585.58</v>
      </c>
      <c r="BB37" s="2">
        <v>1476.38</v>
      </c>
      <c r="BC37" s="2">
        <v>7053.82</v>
      </c>
      <c r="BD37" s="2">
        <v>1387.02</v>
      </c>
      <c r="BE37" s="2">
        <v>4430.3999999999996</v>
      </c>
      <c r="BF37" s="2">
        <v>1976.83</v>
      </c>
      <c r="BG37" s="2">
        <v>1226.81</v>
      </c>
      <c r="BH37" s="2">
        <v>2096.92</v>
      </c>
      <c r="BI37" s="2">
        <v>1098.79</v>
      </c>
    </row>
    <row r="38" spans="1:61">
      <c r="A38" s="1">
        <v>35</v>
      </c>
      <c r="B38" s="2">
        <v>2962.2</v>
      </c>
      <c r="C38" s="2">
        <v>2541.13</v>
      </c>
      <c r="D38" s="2">
        <v>2565.6999999999998</v>
      </c>
      <c r="E38" s="2">
        <v>2478.69</v>
      </c>
      <c r="F38" s="2">
        <v>2855.84</v>
      </c>
      <c r="G38" s="2">
        <v>5927.13</v>
      </c>
      <c r="H38" s="2">
        <v>17552.34</v>
      </c>
      <c r="I38" s="2">
        <v>17792.38</v>
      </c>
      <c r="J38" s="2">
        <v>7000.7</v>
      </c>
      <c r="K38" s="2">
        <v>17535.32</v>
      </c>
      <c r="L38" s="2">
        <v>1559.05</v>
      </c>
      <c r="M38" s="2">
        <v>2216.14</v>
      </c>
      <c r="N38" s="2">
        <v>4556.32</v>
      </c>
      <c r="O38" s="2">
        <v>9977.65</v>
      </c>
      <c r="P38" s="2">
        <v>9608.2800000000007</v>
      </c>
      <c r="Q38" s="2">
        <v>3795.79</v>
      </c>
      <c r="R38" s="2">
        <v>4012.25</v>
      </c>
      <c r="S38" s="2">
        <v>5187.6400000000003</v>
      </c>
      <c r="T38" s="2">
        <v>3105.25</v>
      </c>
      <c r="U38" s="2">
        <v>7981.42</v>
      </c>
      <c r="V38" s="2">
        <v>11330.46</v>
      </c>
      <c r="W38" s="2">
        <v>27350.5</v>
      </c>
      <c r="X38" s="2">
        <v>48624.76</v>
      </c>
      <c r="Y38" s="2">
        <v>29711.95</v>
      </c>
      <c r="Z38" s="2">
        <v>26450.77</v>
      </c>
      <c r="AA38" s="2">
        <v>26024.09</v>
      </c>
      <c r="AB38" s="2">
        <v>6187.94</v>
      </c>
      <c r="AC38" s="2">
        <v>3063.7</v>
      </c>
      <c r="AD38" s="2">
        <v>25114.65</v>
      </c>
      <c r="AE38" s="2">
        <v>5823.1</v>
      </c>
      <c r="AF38" s="2">
        <v>4384.21</v>
      </c>
      <c r="AG38" s="2">
        <v>17463.060000000001</v>
      </c>
      <c r="AH38" s="2">
        <v>8679.84</v>
      </c>
      <c r="AI38" s="2">
        <v>8716.52</v>
      </c>
      <c r="AJ38" s="2">
        <v>6981.6</v>
      </c>
      <c r="AK38" s="2">
        <v>2265.5700000000002</v>
      </c>
      <c r="AL38" s="2">
        <v>1649.11</v>
      </c>
      <c r="AM38" s="2">
        <v>1459.76</v>
      </c>
      <c r="AN38" s="2">
        <v>5280.23</v>
      </c>
      <c r="AO38" s="2">
        <v>4198.54</v>
      </c>
      <c r="AP38" s="2">
        <v>1828.35</v>
      </c>
      <c r="AQ38" s="2">
        <v>3754.75</v>
      </c>
      <c r="AR38" s="2">
        <v>3782.41</v>
      </c>
      <c r="AS38" s="2">
        <v>2330.4499999999998</v>
      </c>
      <c r="AT38" s="2">
        <v>5183.6499999999996</v>
      </c>
      <c r="AU38" s="2">
        <v>12985.39</v>
      </c>
      <c r="AV38" s="2">
        <v>6675.32</v>
      </c>
      <c r="AW38" s="2">
        <v>1162.31</v>
      </c>
      <c r="AX38" s="2">
        <v>3472.27</v>
      </c>
      <c r="AY38" s="2">
        <v>2565.59</v>
      </c>
      <c r="AZ38" s="2">
        <v>2204.63</v>
      </c>
      <c r="BA38" s="2">
        <v>1853.75</v>
      </c>
      <c r="BB38" s="2">
        <v>1622.94</v>
      </c>
      <c r="BC38" s="2">
        <v>6288.11</v>
      </c>
      <c r="BD38" s="2">
        <v>1631.45</v>
      </c>
      <c r="BE38" s="2">
        <v>3842.92</v>
      </c>
      <c r="BF38" s="2">
        <v>2295.27</v>
      </c>
      <c r="BG38" s="2">
        <v>1547.23</v>
      </c>
      <c r="BH38" s="2">
        <v>2161.3200000000002</v>
      </c>
      <c r="BI38" s="2">
        <v>1050.67</v>
      </c>
    </row>
    <row r="39" spans="1:61">
      <c r="A39" s="1">
        <v>36</v>
      </c>
      <c r="B39" s="2">
        <v>3580.27</v>
      </c>
      <c r="C39" s="2">
        <v>3079.65</v>
      </c>
      <c r="D39" s="2">
        <v>2513.9699999999998</v>
      </c>
      <c r="E39" s="2">
        <v>2661.75</v>
      </c>
      <c r="F39" s="2">
        <v>3782.87</v>
      </c>
      <c r="G39" s="2">
        <v>5971.45</v>
      </c>
      <c r="H39" s="2">
        <v>22012</v>
      </c>
      <c r="I39" s="2">
        <v>24308.42</v>
      </c>
      <c r="J39" s="2">
        <v>9524.48</v>
      </c>
      <c r="K39" s="2">
        <v>19285.439999999999</v>
      </c>
      <c r="L39" s="2">
        <v>1962.03</v>
      </c>
      <c r="M39" s="2">
        <v>2354.7399999999998</v>
      </c>
      <c r="N39" s="2">
        <v>5967.57</v>
      </c>
      <c r="O39" s="2">
        <v>10450.379999999999</v>
      </c>
      <c r="P39" s="2">
        <v>10856.04</v>
      </c>
      <c r="Q39" s="2">
        <v>4348.79</v>
      </c>
      <c r="R39" s="2">
        <v>6374.34</v>
      </c>
      <c r="S39" s="2">
        <v>5975.95</v>
      </c>
      <c r="T39" s="2">
        <v>3786.52</v>
      </c>
      <c r="U39" s="2">
        <v>9420.67</v>
      </c>
      <c r="V39" s="2">
        <v>12383.63</v>
      </c>
      <c r="W39" s="2">
        <v>37770.33</v>
      </c>
      <c r="X39" s="2">
        <v>50736.18</v>
      </c>
      <c r="Y39" s="2">
        <v>44837.13</v>
      </c>
      <c r="Z39" s="2">
        <v>36491.730000000003</v>
      </c>
      <c r="AA39" s="2">
        <v>36938.22</v>
      </c>
      <c r="AB39" s="2">
        <v>8089.87</v>
      </c>
      <c r="AC39" s="2">
        <v>3439.18</v>
      </c>
      <c r="AD39" s="2">
        <v>27820.37</v>
      </c>
      <c r="AE39" s="2">
        <v>7233.27</v>
      </c>
      <c r="AF39" s="2">
        <v>5545.06</v>
      </c>
      <c r="AG39" s="2">
        <v>18918.55</v>
      </c>
      <c r="AH39" s="2">
        <v>12848.38</v>
      </c>
      <c r="AI39" s="2">
        <v>10457.08</v>
      </c>
      <c r="AJ39" s="2">
        <v>8353.3799999999992</v>
      </c>
      <c r="AK39" s="2">
        <v>3123.26</v>
      </c>
      <c r="AL39" s="2">
        <v>2162.33</v>
      </c>
      <c r="AM39" s="2">
        <v>2143.52</v>
      </c>
      <c r="AN39" s="2">
        <v>6881.84</v>
      </c>
      <c r="AO39" s="2">
        <v>6243.11</v>
      </c>
      <c r="AP39" s="2">
        <v>2479.6999999999998</v>
      </c>
      <c r="AQ39" s="2">
        <v>4416.88</v>
      </c>
      <c r="AR39" s="2">
        <v>3866.78</v>
      </c>
      <c r="AS39" s="2">
        <v>3063.63</v>
      </c>
      <c r="AT39" s="2">
        <v>6138.76</v>
      </c>
      <c r="AU39" s="2">
        <v>16198.77</v>
      </c>
      <c r="AV39" s="2">
        <v>9007.41</v>
      </c>
      <c r="AW39" s="2">
        <v>1408.22</v>
      </c>
      <c r="AX39" s="2">
        <v>4811.57</v>
      </c>
      <c r="AY39" s="2">
        <v>3762.59</v>
      </c>
      <c r="AZ39" s="2">
        <v>2808.72</v>
      </c>
      <c r="BA39" s="2">
        <v>2489.4699999999998</v>
      </c>
      <c r="BB39" s="2">
        <v>2358.7399999999998</v>
      </c>
      <c r="BC39" s="2">
        <v>7164.41</v>
      </c>
      <c r="BD39" s="2">
        <v>2038.02</v>
      </c>
      <c r="BE39" s="2">
        <v>5191.3</v>
      </c>
      <c r="BF39" s="2">
        <v>2512.77</v>
      </c>
      <c r="BG39" s="2">
        <v>1960.65</v>
      </c>
      <c r="BH39" s="2">
        <v>3311.46</v>
      </c>
      <c r="BI39" s="2">
        <v>1238.57</v>
      </c>
    </row>
    <row r="40" spans="1:61">
      <c r="A40" s="1">
        <v>37</v>
      </c>
      <c r="B40" s="2">
        <v>4077.09</v>
      </c>
      <c r="C40" s="2">
        <v>3593.11</v>
      </c>
      <c r="D40" s="2">
        <v>3851.09</v>
      </c>
      <c r="E40" s="2">
        <v>3401.49</v>
      </c>
      <c r="F40" s="2">
        <v>4250.79</v>
      </c>
      <c r="G40" s="2">
        <v>7985.33</v>
      </c>
      <c r="H40" s="2">
        <v>23278.78</v>
      </c>
      <c r="I40" s="2">
        <v>31583.66</v>
      </c>
      <c r="J40" s="2">
        <v>11324.25</v>
      </c>
      <c r="K40" s="2">
        <v>21814.75</v>
      </c>
      <c r="L40" s="2">
        <v>2100.66</v>
      </c>
      <c r="M40" s="2">
        <v>2494.61</v>
      </c>
      <c r="N40" s="2">
        <v>6503.61</v>
      </c>
      <c r="O40" s="2">
        <v>14207.04</v>
      </c>
      <c r="P40" s="2">
        <v>14512.33</v>
      </c>
      <c r="Q40" s="2">
        <v>4875.93</v>
      </c>
      <c r="R40" s="2">
        <v>8022.79</v>
      </c>
      <c r="S40" s="2">
        <v>7287.99</v>
      </c>
      <c r="T40" s="2">
        <v>4809.2299999999996</v>
      </c>
      <c r="U40" s="2">
        <v>10161.780000000001</v>
      </c>
      <c r="V40" s="2">
        <v>16007.72</v>
      </c>
      <c r="W40" s="2">
        <v>39346.9</v>
      </c>
      <c r="X40" s="2">
        <v>70026.009999999995</v>
      </c>
      <c r="Y40" s="2">
        <v>43522.64</v>
      </c>
      <c r="Z40" s="2">
        <v>38753.71</v>
      </c>
      <c r="AA40" s="2">
        <v>41221.56</v>
      </c>
      <c r="AB40" s="2">
        <v>10028.36</v>
      </c>
      <c r="AC40" s="2">
        <v>4379.62</v>
      </c>
      <c r="AD40" s="2">
        <v>34506.17</v>
      </c>
      <c r="AE40" s="2">
        <v>7534.92</v>
      </c>
      <c r="AF40" s="2">
        <v>6110.83</v>
      </c>
      <c r="AG40" s="2">
        <v>24635.72</v>
      </c>
      <c r="AH40" s="2">
        <v>17547.12</v>
      </c>
      <c r="AI40" s="2">
        <v>14772.47</v>
      </c>
      <c r="AJ40" s="2">
        <v>9995.4699999999993</v>
      </c>
      <c r="AK40" s="2">
        <v>3664</v>
      </c>
      <c r="AL40" s="2">
        <v>2427.39</v>
      </c>
      <c r="AM40" s="2">
        <v>2636.15</v>
      </c>
      <c r="AN40" s="2">
        <v>8045.76</v>
      </c>
      <c r="AO40" s="2">
        <v>6877.22</v>
      </c>
      <c r="AP40" s="2">
        <v>2785.67</v>
      </c>
      <c r="AQ40" s="2">
        <v>5265.91</v>
      </c>
      <c r="AR40" s="2">
        <v>4198.53</v>
      </c>
      <c r="AS40" s="2">
        <v>3498.1</v>
      </c>
      <c r="AT40" s="2">
        <v>6754.3</v>
      </c>
      <c r="AU40" s="2">
        <v>21090.53</v>
      </c>
      <c r="AV40" s="2">
        <v>11170.49</v>
      </c>
      <c r="AW40" s="2">
        <v>1801.64</v>
      </c>
      <c r="AX40" s="2">
        <v>5457.42</v>
      </c>
      <c r="AY40" s="2">
        <v>4247.01</v>
      </c>
      <c r="AZ40" s="2">
        <v>3458.64</v>
      </c>
      <c r="BA40" s="2">
        <v>2721.07</v>
      </c>
      <c r="BB40" s="2">
        <v>2466.41</v>
      </c>
      <c r="BC40" s="2">
        <v>11070.32</v>
      </c>
      <c r="BD40" s="2">
        <v>2439.83</v>
      </c>
      <c r="BE40" s="2">
        <v>5875.74</v>
      </c>
      <c r="BF40" s="2">
        <v>3285.54</v>
      </c>
      <c r="BG40" s="2">
        <v>1833.73</v>
      </c>
      <c r="BH40" s="2">
        <v>3559.08</v>
      </c>
      <c r="BI40" s="2">
        <v>1395.05</v>
      </c>
    </row>
    <row r="41" spans="1:61">
      <c r="A41" s="1">
        <v>38</v>
      </c>
      <c r="B41" s="2">
        <v>3808.08</v>
      </c>
      <c r="C41" s="2">
        <v>2479.04</v>
      </c>
      <c r="D41" s="2">
        <v>2504.9699999999998</v>
      </c>
      <c r="E41" s="2">
        <v>3265.26</v>
      </c>
      <c r="F41" s="2">
        <v>3278.32</v>
      </c>
      <c r="G41" s="2">
        <v>5300.68</v>
      </c>
      <c r="H41" s="2">
        <v>20885.23</v>
      </c>
      <c r="I41" s="2">
        <v>25888.98</v>
      </c>
      <c r="J41" s="2">
        <v>8081.99</v>
      </c>
      <c r="K41" s="2">
        <v>16249.54</v>
      </c>
      <c r="L41" s="2">
        <v>1715.12</v>
      </c>
      <c r="M41" s="2">
        <v>2354.25</v>
      </c>
      <c r="N41" s="2">
        <v>4593.47</v>
      </c>
      <c r="O41" s="2">
        <v>9464.39</v>
      </c>
      <c r="P41" s="2">
        <v>10658.41</v>
      </c>
      <c r="Q41" s="2">
        <v>3779.98</v>
      </c>
      <c r="R41" s="2">
        <v>5050.6400000000003</v>
      </c>
      <c r="S41" s="2">
        <v>5424.55</v>
      </c>
      <c r="T41" s="2">
        <v>3973.9</v>
      </c>
      <c r="U41" s="2">
        <v>7154.42</v>
      </c>
      <c r="V41" s="2">
        <v>12210.97</v>
      </c>
      <c r="W41" s="2">
        <v>34707.19</v>
      </c>
      <c r="X41" s="2">
        <v>53270.11</v>
      </c>
      <c r="Y41" s="2">
        <v>31800.14</v>
      </c>
      <c r="Z41" s="2">
        <v>36321.410000000003</v>
      </c>
      <c r="AA41" s="2">
        <v>30755.53</v>
      </c>
      <c r="AB41" s="2">
        <v>7214.17</v>
      </c>
      <c r="AC41" s="2">
        <v>2895.18</v>
      </c>
      <c r="AD41" s="2">
        <v>24524.11</v>
      </c>
      <c r="AE41" s="2">
        <v>6156.24</v>
      </c>
      <c r="AF41" s="2">
        <v>4848.12</v>
      </c>
      <c r="AG41" s="2">
        <v>15657.1</v>
      </c>
      <c r="AH41" s="2">
        <v>12270.48</v>
      </c>
      <c r="AI41" s="2">
        <v>9924.39</v>
      </c>
      <c r="AJ41" s="2">
        <v>9367.3700000000008</v>
      </c>
      <c r="AK41" s="2">
        <v>2611.54</v>
      </c>
      <c r="AL41" s="2">
        <v>2059.2600000000002</v>
      </c>
      <c r="AM41" s="2">
        <v>1656.79</v>
      </c>
      <c r="AN41" s="2">
        <v>6533.88</v>
      </c>
      <c r="AO41" s="2">
        <v>4921.6000000000004</v>
      </c>
      <c r="AP41" s="2">
        <v>2534.2199999999998</v>
      </c>
      <c r="AQ41" s="2">
        <v>4256.3500000000004</v>
      </c>
      <c r="AR41" s="2">
        <v>3642.84</v>
      </c>
      <c r="AS41" s="2">
        <v>2573.52</v>
      </c>
      <c r="AT41" s="2">
        <v>5751.16</v>
      </c>
      <c r="AU41" s="2">
        <v>15327.14</v>
      </c>
      <c r="AV41" s="2">
        <v>8450.7900000000009</v>
      </c>
      <c r="AW41" s="2">
        <v>1277.55</v>
      </c>
      <c r="AX41" s="2">
        <v>4513.24</v>
      </c>
      <c r="AY41" s="2">
        <v>3145.52</v>
      </c>
      <c r="AZ41" s="2">
        <v>2580.02</v>
      </c>
      <c r="BA41" s="2">
        <v>2202.0500000000002</v>
      </c>
      <c r="BB41" s="2">
        <v>1927.09</v>
      </c>
      <c r="BC41" s="2">
        <v>7564.84</v>
      </c>
      <c r="BD41" s="2">
        <v>1966.12</v>
      </c>
      <c r="BE41" s="2">
        <v>4856.1899999999996</v>
      </c>
      <c r="BF41" s="2">
        <v>2628.02</v>
      </c>
      <c r="BG41" s="2">
        <v>1559.58</v>
      </c>
      <c r="BH41" s="2">
        <v>2929.2</v>
      </c>
      <c r="BI41" s="2">
        <v>1240.06</v>
      </c>
    </row>
    <row r="42" spans="1:61">
      <c r="A42" s="1">
        <v>39</v>
      </c>
      <c r="B42" s="2">
        <v>2788.92</v>
      </c>
      <c r="C42" s="2">
        <v>2597.19</v>
      </c>
      <c r="D42" s="2">
        <v>2448.09</v>
      </c>
      <c r="E42" s="2">
        <v>2012.36</v>
      </c>
      <c r="F42" s="2">
        <v>2688.75</v>
      </c>
      <c r="G42" s="2">
        <v>5087.59</v>
      </c>
      <c r="H42" s="2">
        <v>14128.97</v>
      </c>
      <c r="I42" s="2">
        <v>14709.13</v>
      </c>
      <c r="J42" s="2">
        <v>6489.11</v>
      </c>
      <c r="K42" s="2">
        <v>12807.8</v>
      </c>
      <c r="L42" s="2">
        <v>1065.82</v>
      </c>
      <c r="M42" s="2">
        <v>1843.58</v>
      </c>
      <c r="N42" s="2">
        <v>3723.61</v>
      </c>
      <c r="O42" s="2">
        <v>7411.11</v>
      </c>
      <c r="P42" s="2">
        <v>8915.2000000000007</v>
      </c>
      <c r="Q42" s="2">
        <v>3293.84</v>
      </c>
      <c r="R42" s="2">
        <v>4664.6899999999996</v>
      </c>
      <c r="S42" s="2">
        <v>4214.67</v>
      </c>
      <c r="T42" s="2">
        <v>4266.1899999999996</v>
      </c>
      <c r="U42" s="2">
        <v>6403.11</v>
      </c>
      <c r="V42" s="2">
        <v>10590.71</v>
      </c>
      <c r="W42" s="2">
        <v>20885.580000000002</v>
      </c>
      <c r="X42" s="2">
        <v>38015.57</v>
      </c>
      <c r="Y42" s="2">
        <v>35276.01</v>
      </c>
      <c r="Z42" s="2">
        <v>27959.05</v>
      </c>
      <c r="AA42" s="2">
        <v>27028.05</v>
      </c>
      <c r="AB42" s="2">
        <v>5943.26</v>
      </c>
      <c r="AC42" s="2">
        <v>2486.2199999999998</v>
      </c>
      <c r="AD42" s="2">
        <v>23884.45</v>
      </c>
      <c r="AE42" s="2">
        <v>4691.8500000000004</v>
      </c>
      <c r="AF42" s="2">
        <v>3946.04</v>
      </c>
      <c r="AG42" s="2">
        <v>12783.6</v>
      </c>
      <c r="AH42" s="2">
        <v>10987.64</v>
      </c>
      <c r="AI42" s="2">
        <v>6772.08</v>
      </c>
      <c r="AJ42" s="2">
        <v>7434.3</v>
      </c>
      <c r="AK42" s="2">
        <v>1750.16</v>
      </c>
      <c r="AL42" s="2">
        <v>1640.15</v>
      </c>
      <c r="AM42" s="2">
        <v>1575.53</v>
      </c>
      <c r="AN42" s="2">
        <v>5247.49</v>
      </c>
      <c r="AO42" s="2">
        <v>4585.6400000000003</v>
      </c>
      <c r="AP42" s="2">
        <v>1752.74</v>
      </c>
      <c r="AQ42" s="2">
        <v>3455.29</v>
      </c>
      <c r="AR42" s="2">
        <v>2723.05</v>
      </c>
      <c r="AS42" s="2">
        <v>2472.56</v>
      </c>
      <c r="AT42" s="2">
        <v>5110.16</v>
      </c>
      <c r="AU42" s="2">
        <v>14220.19</v>
      </c>
      <c r="AV42" s="2">
        <v>7153</v>
      </c>
      <c r="AW42" s="2">
        <v>997.55</v>
      </c>
      <c r="AX42" s="2">
        <v>3170.7</v>
      </c>
      <c r="AY42" s="2">
        <v>2503.67</v>
      </c>
      <c r="AZ42" s="2">
        <v>2128.9699999999998</v>
      </c>
      <c r="BA42" s="2">
        <v>1835.47</v>
      </c>
      <c r="BB42" s="2">
        <v>1679.11</v>
      </c>
      <c r="BC42" s="2">
        <v>7545.12</v>
      </c>
      <c r="BD42" s="2">
        <v>1584.01</v>
      </c>
      <c r="BE42" s="2">
        <v>4313.47</v>
      </c>
      <c r="BF42" s="2">
        <v>2198.9299999999998</v>
      </c>
      <c r="BG42" s="2">
        <v>1540.01</v>
      </c>
      <c r="BH42" s="2">
        <v>2231.98</v>
      </c>
      <c r="BI42" s="2">
        <v>897.1</v>
      </c>
    </row>
    <row r="43" spans="1:61">
      <c r="A43" s="1">
        <v>40</v>
      </c>
      <c r="B43" s="2">
        <v>2557.6</v>
      </c>
      <c r="C43" s="2">
        <v>2676.01</v>
      </c>
      <c r="D43" s="2">
        <v>2101.9</v>
      </c>
      <c r="E43" s="2">
        <v>2363.88</v>
      </c>
      <c r="F43" s="2">
        <v>2536.88</v>
      </c>
      <c r="G43" s="2">
        <v>4307.87</v>
      </c>
      <c r="H43" s="2">
        <v>15355.71</v>
      </c>
      <c r="I43" s="2">
        <v>16465.310000000001</v>
      </c>
      <c r="J43" s="2">
        <v>7045.67</v>
      </c>
      <c r="K43" s="2">
        <v>15743.56</v>
      </c>
      <c r="L43" s="2">
        <v>1495.99</v>
      </c>
      <c r="M43" s="2">
        <v>1673.02</v>
      </c>
      <c r="N43" s="2">
        <v>5012.5600000000004</v>
      </c>
      <c r="O43" s="2">
        <v>6047.71</v>
      </c>
      <c r="P43" s="2">
        <v>8507.9500000000007</v>
      </c>
      <c r="Q43" s="2">
        <v>2865.96</v>
      </c>
      <c r="R43" s="2">
        <v>4542.74</v>
      </c>
      <c r="S43" s="2">
        <v>4307.28</v>
      </c>
      <c r="T43" s="2">
        <v>2823.76</v>
      </c>
      <c r="U43" s="2">
        <v>6764.96</v>
      </c>
      <c r="V43" s="2">
        <v>9141.82</v>
      </c>
      <c r="W43" s="2">
        <v>24525.27</v>
      </c>
      <c r="X43" s="2">
        <v>41601.42</v>
      </c>
      <c r="Y43" s="2">
        <v>33257.46</v>
      </c>
      <c r="Z43" s="2">
        <v>25746.02</v>
      </c>
      <c r="AA43" s="2">
        <v>22158.35</v>
      </c>
      <c r="AB43" s="2">
        <v>6065.7</v>
      </c>
      <c r="AC43" s="2">
        <v>2154.7199999999998</v>
      </c>
      <c r="AD43" s="2">
        <v>21642.35</v>
      </c>
      <c r="AE43" s="2">
        <v>4478.2299999999996</v>
      </c>
      <c r="AF43" s="2">
        <v>3442.62</v>
      </c>
      <c r="AG43" s="2">
        <v>16587.62</v>
      </c>
      <c r="AH43" s="2">
        <v>9423.35</v>
      </c>
      <c r="AI43" s="2">
        <v>6860.64</v>
      </c>
      <c r="AJ43" s="2">
        <v>6599.52</v>
      </c>
      <c r="AK43" s="2">
        <v>2118.23</v>
      </c>
      <c r="AL43" s="2">
        <v>1763.3</v>
      </c>
      <c r="AM43" s="2">
        <v>1544.21</v>
      </c>
      <c r="AN43" s="2">
        <v>5677.15</v>
      </c>
      <c r="AO43" s="2">
        <v>4820.4399999999996</v>
      </c>
      <c r="AP43" s="2">
        <v>1647.23</v>
      </c>
      <c r="AQ43" s="2">
        <v>3273.8</v>
      </c>
      <c r="AR43" s="2">
        <v>2353.3000000000002</v>
      </c>
      <c r="AS43" s="2">
        <v>2162.0100000000002</v>
      </c>
      <c r="AT43" s="2">
        <v>5207.59</v>
      </c>
      <c r="AU43" s="2">
        <v>12480.65</v>
      </c>
      <c r="AV43" s="2">
        <v>6626.11</v>
      </c>
      <c r="AW43" s="2">
        <v>1174.8499999999999</v>
      </c>
      <c r="AX43" s="2">
        <v>3323.76</v>
      </c>
      <c r="AY43" s="2">
        <v>2826.97</v>
      </c>
      <c r="AZ43" s="2">
        <v>1754.74</v>
      </c>
      <c r="BA43" s="2">
        <v>2022.09</v>
      </c>
      <c r="BB43" s="2">
        <v>1767.45</v>
      </c>
      <c r="BC43" s="2">
        <v>6459.79</v>
      </c>
      <c r="BD43" s="2">
        <v>1527.97</v>
      </c>
      <c r="BE43" s="2">
        <v>4388.4799999999996</v>
      </c>
      <c r="BF43" s="2">
        <v>1969.42</v>
      </c>
      <c r="BG43" s="2">
        <v>1298.9100000000001</v>
      </c>
      <c r="BH43" s="2">
        <v>2524.52</v>
      </c>
      <c r="BI43" s="2">
        <v>961.69</v>
      </c>
    </row>
    <row r="44" spans="1:61">
      <c r="A44" s="1">
        <v>41</v>
      </c>
      <c r="B44" s="2">
        <v>3041.08</v>
      </c>
      <c r="C44" s="2">
        <v>2512.35</v>
      </c>
      <c r="D44" s="2">
        <v>2225.52</v>
      </c>
      <c r="E44" s="2">
        <v>2182.34</v>
      </c>
      <c r="F44" s="2">
        <v>3051.85</v>
      </c>
      <c r="G44" s="2">
        <v>4977.4399999999996</v>
      </c>
      <c r="H44" s="2">
        <v>15864.84</v>
      </c>
      <c r="I44" s="2">
        <v>18919.36</v>
      </c>
      <c r="J44" s="2">
        <v>7893.35</v>
      </c>
      <c r="K44" s="2">
        <v>14273.19</v>
      </c>
      <c r="L44" s="2">
        <v>1309.06</v>
      </c>
      <c r="M44" s="2">
        <v>1891.08</v>
      </c>
      <c r="N44" s="2">
        <v>4592.6899999999996</v>
      </c>
      <c r="O44" s="2">
        <v>7403</v>
      </c>
      <c r="P44" s="2">
        <v>7114.79</v>
      </c>
      <c r="Q44" s="2">
        <v>3492.98</v>
      </c>
      <c r="R44" s="2">
        <v>4779.82</v>
      </c>
      <c r="S44" s="2">
        <v>4092.86</v>
      </c>
      <c r="T44" s="2">
        <v>3180.64</v>
      </c>
      <c r="U44" s="2">
        <v>7109</v>
      </c>
      <c r="V44" s="2">
        <v>10814.27</v>
      </c>
      <c r="W44" s="2">
        <v>22049.06</v>
      </c>
      <c r="X44" s="2">
        <v>35875.879999999997</v>
      </c>
      <c r="Y44" s="2">
        <v>33024.980000000003</v>
      </c>
      <c r="Z44" s="2">
        <v>24239.360000000001</v>
      </c>
      <c r="AA44" s="2">
        <v>30726.83</v>
      </c>
      <c r="AB44" s="2">
        <v>5680.1</v>
      </c>
      <c r="AC44" s="2">
        <v>2804.46</v>
      </c>
      <c r="AD44" s="2">
        <v>20788.61</v>
      </c>
      <c r="AE44" s="2">
        <v>5405.48</v>
      </c>
      <c r="AF44" s="2">
        <v>4628.91</v>
      </c>
      <c r="AG44" s="2">
        <v>14488.35</v>
      </c>
      <c r="AH44" s="2">
        <v>10167.56</v>
      </c>
      <c r="AI44" s="2">
        <v>8004.08</v>
      </c>
      <c r="AJ44" s="2">
        <v>6021.19</v>
      </c>
      <c r="AK44" s="2">
        <v>2450.87</v>
      </c>
      <c r="AL44" s="2">
        <v>1730.32</v>
      </c>
      <c r="AM44" s="2">
        <v>1438.3</v>
      </c>
      <c r="AN44" s="2">
        <v>4907.3500000000004</v>
      </c>
      <c r="AO44" s="2">
        <v>4617.4799999999996</v>
      </c>
      <c r="AP44" s="2">
        <v>1810.34</v>
      </c>
      <c r="AQ44" s="2">
        <v>3489.78</v>
      </c>
      <c r="AR44" s="2">
        <v>2679.96</v>
      </c>
      <c r="AS44" s="2">
        <v>2315.19</v>
      </c>
      <c r="AT44" s="2">
        <v>5369.93</v>
      </c>
      <c r="AU44" s="2">
        <v>13893.24</v>
      </c>
      <c r="AV44" s="2">
        <v>7108.66</v>
      </c>
      <c r="AW44" s="2">
        <v>1140.94</v>
      </c>
      <c r="AX44" s="2">
        <v>3005.83</v>
      </c>
      <c r="AY44" s="2">
        <v>2289.02</v>
      </c>
      <c r="AZ44" s="2">
        <v>1814.73</v>
      </c>
      <c r="BA44" s="2">
        <v>2041.97</v>
      </c>
      <c r="BB44" s="2">
        <v>1642.51</v>
      </c>
      <c r="BC44" s="2">
        <v>7627.07</v>
      </c>
      <c r="BD44" s="2">
        <v>1688.51</v>
      </c>
      <c r="BE44" s="2">
        <v>3616.56</v>
      </c>
      <c r="BF44" s="2">
        <v>2247.9699999999998</v>
      </c>
      <c r="BG44" s="2">
        <v>1361.29</v>
      </c>
      <c r="BH44" s="2">
        <v>2062.77</v>
      </c>
      <c r="BI44" s="2">
        <v>988.24</v>
      </c>
    </row>
    <row r="45" spans="1:61">
      <c r="A45" s="1">
        <v>42</v>
      </c>
      <c r="B45" s="2">
        <v>3692.58</v>
      </c>
      <c r="C45" s="2">
        <v>2510.27</v>
      </c>
      <c r="D45" s="2">
        <v>2542.71</v>
      </c>
      <c r="E45" s="2">
        <v>2659.4</v>
      </c>
      <c r="F45" s="2">
        <v>3048.3</v>
      </c>
      <c r="G45" s="2">
        <v>3843.79</v>
      </c>
      <c r="H45" s="2">
        <v>16848.88</v>
      </c>
      <c r="I45" s="2">
        <v>19578.310000000001</v>
      </c>
      <c r="J45" s="2">
        <v>8540.39</v>
      </c>
      <c r="K45" s="2">
        <v>17340.39</v>
      </c>
      <c r="L45" s="2">
        <v>1646.57</v>
      </c>
      <c r="M45" s="2">
        <v>2123.31</v>
      </c>
      <c r="N45" s="2">
        <v>4306.8100000000004</v>
      </c>
      <c r="O45" s="2">
        <v>7455.02</v>
      </c>
      <c r="P45" s="2">
        <v>10294.74</v>
      </c>
      <c r="Q45" s="2">
        <v>3504.27</v>
      </c>
      <c r="R45" s="2">
        <v>5491.49</v>
      </c>
      <c r="S45" s="2">
        <v>5176.42</v>
      </c>
      <c r="T45" s="2">
        <v>4348.0200000000004</v>
      </c>
      <c r="U45" s="2">
        <v>8114.93</v>
      </c>
      <c r="V45" s="2">
        <v>10605.26</v>
      </c>
      <c r="W45" s="2">
        <v>30524.07</v>
      </c>
      <c r="X45" s="2">
        <v>44934.1</v>
      </c>
      <c r="Y45" s="2">
        <v>34277.129999999997</v>
      </c>
      <c r="Z45" s="2">
        <v>29053.97</v>
      </c>
      <c r="AA45" s="2">
        <v>24010.65</v>
      </c>
      <c r="AB45" s="2">
        <v>6175.69</v>
      </c>
      <c r="AC45" s="2">
        <v>2462.9499999999998</v>
      </c>
      <c r="AD45" s="2">
        <v>27171</v>
      </c>
      <c r="AE45" s="2">
        <v>5802.19</v>
      </c>
      <c r="AF45" s="2">
        <v>4087.25</v>
      </c>
      <c r="AG45" s="2">
        <v>16102.35</v>
      </c>
      <c r="AH45" s="2">
        <v>11434.06</v>
      </c>
      <c r="AI45" s="2">
        <v>8326.8700000000008</v>
      </c>
      <c r="AJ45" s="2">
        <v>7222.09</v>
      </c>
      <c r="AK45" s="2">
        <v>2423.31</v>
      </c>
      <c r="AL45" s="2">
        <v>1573.76</v>
      </c>
      <c r="AM45" s="2">
        <v>1896.88</v>
      </c>
      <c r="AN45" s="2">
        <v>5661.42</v>
      </c>
      <c r="AO45" s="2">
        <v>5297.88</v>
      </c>
      <c r="AP45" s="2">
        <v>1979.36</v>
      </c>
      <c r="AQ45" s="2">
        <v>3970.33</v>
      </c>
      <c r="AR45" s="2">
        <v>3192.94</v>
      </c>
      <c r="AS45" s="2">
        <v>2662.53</v>
      </c>
      <c r="AT45" s="2">
        <v>5839.65</v>
      </c>
      <c r="AU45" s="2">
        <v>13374.74</v>
      </c>
      <c r="AV45" s="2">
        <v>6558.86</v>
      </c>
      <c r="AW45" s="2">
        <v>1138.9100000000001</v>
      </c>
      <c r="AX45" s="2">
        <v>3301.16</v>
      </c>
      <c r="AY45" s="2">
        <v>2932.85</v>
      </c>
      <c r="AZ45" s="2">
        <v>2606.94</v>
      </c>
      <c r="BA45" s="2">
        <v>2180.3000000000002</v>
      </c>
      <c r="BB45" s="2">
        <v>1769.46</v>
      </c>
      <c r="BC45" s="2">
        <v>6692.72</v>
      </c>
      <c r="BD45" s="2">
        <v>1736.9</v>
      </c>
      <c r="BE45" s="2">
        <v>4126.22</v>
      </c>
      <c r="BF45" s="2">
        <v>2162.33</v>
      </c>
      <c r="BG45" s="2">
        <v>1334.04</v>
      </c>
      <c r="BH45" s="2">
        <v>2484.35</v>
      </c>
      <c r="BI45" s="2">
        <v>1088.6400000000001</v>
      </c>
    </row>
    <row r="46" spans="1:61">
      <c r="A46" s="1">
        <v>43</v>
      </c>
      <c r="B46" s="2">
        <v>3736.47</v>
      </c>
      <c r="C46" s="2">
        <v>3478.21</v>
      </c>
      <c r="D46" s="2">
        <v>3138.95</v>
      </c>
      <c r="E46" s="2">
        <v>3334.31</v>
      </c>
      <c r="F46" s="2">
        <v>3664.44</v>
      </c>
      <c r="G46" s="2">
        <v>6530.34</v>
      </c>
      <c r="H46" s="2">
        <v>22707.85</v>
      </c>
      <c r="I46" s="2">
        <v>28743.63</v>
      </c>
      <c r="J46" s="2">
        <v>10356.67</v>
      </c>
      <c r="K46" s="2">
        <v>20418.59</v>
      </c>
      <c r="L46" s="2">
        <v>2222.37</v>
      </c>
      <c r="M46" s="2">
        <v>2660.83</v>
      </c>
      <c r="N46" s="2">
        <v>5718.78</v>
      </c>
      <c r="O46" s="2">
        <v>11134.6</v>
      </c>
      <c r="P46" s="2">
        <v>11142.73</v>
      </c>
      <c r="Q46" s="2">
        <v>4913.5600000000004</v>
      </c>
      <c r="R46" s="2">
        <v>6712.09</v>
      </c>
      <c r="S46" s="2">
        <v>6603.38</v>
      </c>
      <c r="T46" s="2">
        <v>4394.24</v>
      </c>
      <c r="U46" s="2">
        <v>10287.08</v>
      </c>
      <c r="V46" s="2">
        <v>13695.52</v>
      </c>
      <c r="W46" s="2">
        <v>39143.39</v>
      </c>
      <c r="X46" s="2">
        <v>55933.72</v>
      </c>
      <c r="Y46" s="2">
        <v>44836.86</v>
      </c>
      <c r="Z46" s="2">
        <v>36442.800000000003</v>
      </c>
      <c r="AA46" s="2">
        <v>34754.720000000001</v>
      </c>
      <c r="AB46" s="2">
        <v>7936.18</v>
      </c>
      <c r="AC46" s="2">
        <v>3124.9</v>
      </c>
      <c r="AD46" s="2">
        <v>33280.35</v>
      </c>
      <c r="AE46" s="2">
        <v>7683.47</v>
      </c>
      <c r="AF46" s="2">
        <v>4961.3999999999996</v>
      </c>
      <c r="AG46" s="2">
        <v>20834.62</v>
      </c>
      <c r="AH46" s="2">
        <v>14112.95</v>
      </c>
      <c r="AI46" s="2">
        <v>11063.13</v>
      </c>
      <c r="AJ46" s="2">
        <v>8791.82</v>
      </c>
      <c r="AK46" s="2">
        <v>3513.73</v>
      </c>
      <c r="AL46" s="2">
        <v>2327.75</v>
      </c>
      <c r="AM46" s="2">
        <v>2299.19</v>
      </c>
      <c r="AN46" s="2">
        <v>8001.84</v>
      </c>
      <c r="AO46" s="2">
        <v>5539.2</v>
      </c>
      <c r="AP46" s="2">
        <v>2619.31</v>
      </c>
      <c r="AQ46" s="2">
        <v>4858.78</v>
      </c>
      <c r="AR46" s="2">
        <v>4336.96</v>
      </c>
      <c r="AS46" s="2">
        <v>3195.75</v>
      </c>
      <c r="AT46" s="2">
        <v>7376.57</v>
      </c>
      <c r="AU46" s="2">
        <v>18422.21</v>
      </c>
      <c r="AV46" s="2">
        <v>9302.7999999999993</v>
      </c>
      <c r="AW46" s="2">
        <v>1426.4</v>
      </c>
      <c r="AX46" s="2">
        <v>4781.5600000000004</v>
      </c>
      <c r="AY46" s="2">
        <v>4313.92</v>
      </c>
      <c r="AZ46" s="2">
        <v>2846.87</v>
      </c>
      <c r="BA46" s="2">
        <v>2423.44</v>
      </c>
      <c r="BB46" s="2">
        <v>2370.59</v>
      </c>
      <c r="BC46" s="2">
        <v>9111.93</v>
      </c>
      <c r="BD46" s="2">
        <v>2200.31</v>
      </c>
      <c r="BE46" s="2">
        <v>5706.41</v>
      </c>
      <c r="BF46" s="2">
        <v>2890.82</v>
      </c>
      <c r="BG46" s="2">
        <v>1796.35</v>
      </c>
      <c r="BH46" s="2">
        <v>3084.57</v>
      </c>
      <c r="BI46" s="2">
        <v>1323.71</v>
      </c>
    </row>
    <row r="47" spans="1:61">
      <c r="A47" s="1">
        <v>44</v>
      </c>
      <c r="B47" s="2">
        <v>5010.79</v>
      </c>
      <c r="C47" s="2">
        <v>3814.64</v>
      </c>
      <c r="D47" s="2">
        <v>3696.37</v>
      </c>
      <c r="E47" s="2">
        <v>3835.93</v>
      </c>
      <c r="F47" s="2">
        <v>4475.18</v>
      </c>
      <c r="G47" s="2">
        <v>7930.26</v>
      </c>
      <c r="H47" s="2">
        <v>25265.78</v>
      </c>
      <c r="I47" s="2">
        <v>33972.51</v>
      </c>
      <c r="J47" s="2">
        <v>12682.92</v>
      </c>
      <c r="K47" s="2">
        <v>22512.240000000002</v>
      </c>
      <c r="L47" s="2">
        <v>2216.11</v>
      </c>
      <c r="M47" s="2">
        <v>3126.96</v>
      </c>
      <c r="N47" s="2">
        <v>7477.84</v>
      </c>
      <c r="O47" s="2">
        <v>12817.59</v>
      </c>
      <c r="P47" s="2">
        <v>14073.01</v>
      </c>
      <c r="Q47" s="2">
        <v>5767.37</v>
      </c>
      <c r="R47" s="2">
        <v>7636.37</v>
      </c>
      <c r="S47" s="2">
        <v>7567.42</v>
      </c>
      <c r="T47" s="2">
        <v>5545.9</v>
      </c>
      <c r="U47" s="2">
        <v>10958.76</v>
      </c>
      <c r="V47" s="2">
        <v>15067.31</v>
      </c>
      <c r="W47" s="2">
        <v>41686.58</v>
      </c>
      <c r="X47" s="2">
        <v>64236.37</v>
      </c>
      <c r="Y47" s="2">
        <v>52172.05</v>
      </c>
      <c r="Z47" s="2">
        <v>44248.47</v>
      </c>
      <c r="AA47" s="2">
        <v>40956</v>
      </c>
      <c r="AB47" s="2">
        <v>9546.66</v>
      </c>
      <c r="AC47" s="2">
        <v>4023.49</v>
      </c>
      <c r="AD47" s="2">
        <v>37997.43</v>
      </c>
      <c r="AE47" s="2">
        <v>8150.22</v>
      </c>
      <c r="AF47" s="2">
        <v>6888.8</v>
      </c>
      <c r="AG47" s="2">
        <v>24257.5</v>
      </c>
      <c r="AH47" s="2">
        <v>16337.87</v>
      </c>
      <c r="AI47" s="2">
        <v>14518.11</v>
      </c>
      <c r="AJ47" s="2">
        <v>12392.55</v>
      </c>
      <c r="AK47" s="2">
        <v>3839.99</v>
      </c>
      <c r="AL47" s="2">
        <v>2646.52</v>
      </c>
      <c r="AM47" s="2">
        <v>2590.25</v>
      </c>
      <c r="AN47" s="2">
        <v>9731.5300000000007</v>
      </c>
      <c r="AO47" s="2">
        <v>7645.47</v>
      </c>
      <c r="AP47" s="2">
        <v>2518.23</v>
      </c>
      <c r="AQ47" s="2">
        <v>5732.04</v>
      </c>
      <c r="AR47" s="2">
        <v>5081</v>
      </c>
      <c r="AS47" s="2">
        <v>3822.11</v>
      </c>
      <c r="AT47" s="2">
        <v>7963.5</v>
      </c>
      <c r="AU47" s="2">
        <v>20654.310000000001</v>
      </c>
      <c r="AV47" s="2">
        <v>10585.5</v>
      </c>
      <c r="AW47" s="2">
        <v>1759.42</v>
      </c>
      <c r="AX47" s="2">
        <v>5155.6400000000003</v>
      </c>
      <c r="AY47" s="2">
        <v>4207.01</v>
      </c>
      <c r="AZ47" s="2">
        <v>3142.97</v>
      </c>
      <c r="BA47" s="2">
        <v>2990.02</v>
      </c>
      <c r="BB47" s="2">
        <v>2300.69</v>
      </c>
      <c r="BC47" s="2">
        <v>10646.84</v>
      </c>
      <c r="BD47" s="2">
        <v>2242.42</v>
      </c>
      <c r="BE47" s="2">
        <v>6590.23</v>
      </c>
      <c r="BF47" s="2">
        <v>3818.75</v>
      </c>
      <c r="BG47" s="2">
        <v>2363.62</v>
      </c>
      <c r="BH47" s="2">
        <v>3649.12</v>
      </c>
      <c r="BI47" s="2">
        <v>1607.48</v>
      </c>
    </row>
    <row r="48" spans="1:61">
      <c r="A48" s="1">
        <v>45</v>
      </c>
      <c r="B48" s="2">
        <v>3764.52</v>
      </c>
      <c r="C48" s="2">
        <v>3169.78</v>
      </c>
      <c r="D48" s="2">
        <v>2447.86</v>
      </c>
      <c r="E48" s="2">
        <v>2754.81</v>
      </c>
      <c r="F48" s="2">
        <v>3446.91</v>
      </c>
      <c r="G48" s="2">
        <v>6418.37</v>
      </c>
      <c r="H48" s="2">
        <v>16364.54</v>
      </c>
      <c r="I48" s="2">
        <v>25269.34</v>
      </c>
      <c r="J48" s="2">
        <v>7986.75</v>
      </c>
      <c r="K48" s="2">
        <v>19213.240000000002</v>
      </c>
      <c r="L48" s="2">
        <v>1976.33</v>
      </c>
      <c r="M48" s="2">
        <v>2560.41</v>
      </c>
      <c r="N48" s="2">
        <v>5258.47</v>
      </c>
      <c r="O48" s="2">
        <v>10151.879999999999</v>
      </c>
      <c r="P48" s="2">
        <v>10790.8</v>
      </c>
      <c r="Q48" s="2">
        <v>4138.55</v>
      </c>
      <c r="R48" s="2">
        <v>6067.91</v>
      </c>
      <c r="S48" s="2">
        <v>6578.08</v>
      </c>
      <c r="T48" s="2">
        <v>4144.05</v>
      </c>
      <c r="U48" s="2">
        <v>8062.34</v>
      </c>
      <c r="V48" s="2">
        <v>14311.46</v>
      </c>
      <c r="W48" s="2">
        <v>33338.300000000003</v>
      </c>
      <c r="X48" s="2">
        <v>50758.63</v>
      </c>
      <c r="Y48" s="2">
        <v>31454.59</v>
      </c>
      <c r="Z48" s="2">
        <v>36039.440000000002</v>
      </c>
      <c r="AA48" s="2">
        <v>30793.82</v>
      </c>
      <c r="AB48" s="2">
        <v>8015.71</v>
      </c>
      <c r="AC48" s="2">
        <v>3185.41</v>
      </c>
      <c r="AD48" s="2">
        <v>29333.64</v>
      </c>
      <c r="AE48" s="2">
        <v>7261.26</v>
      </c>
      <c r="AF48" s="2">
        <v>4548.04</v>
      </c>
      <c r="AG48" s="2">
        <v>19532.72</v>
      </c>
      <c r="AH48" s="2">
        <v>13539.51</v>
      </c>
      <c r="AI48" s="2">
        <v>10286.39</v>
      </c>
      <c r="AJ48" s="2">
        <v>9013.41</v>
      </c>
      <c r="AK48" s="2">
        <v>2933.82</v>
      </c>
      <c r="AL48" s="2">
        <v>1981.86</v>
      </c>
      <c r="AM48" s="2">
        <v>2183.91</v>
      </c>
      <c r="AN48" s="2">
        <v>7079.56</v>
      </c>
      <c r="AO48" s="2">
        <v>5594.69</v>
      </c>
      <c r="AP48" s="2">
        <v>2529.65</v>
      </c>
      <c r="AQ48" s="2">
        <v>4829</v>
      </c>
      <c r="AR48" s="2">
        <v>3898.77</v>
      </c>
      <c r="AS48" s="2">
        <v>3189.92</v>
      </c>
      <c r="AT48" s="2">
        <v>6268.69</v>
      </c>
      <c r="AU48" s="2">
        <v>15050.02</v>
      </c>
      <c r="AV48" s="2">
        <v>8866.18</v>
      </c>
      <c r="AW48" s="2">
        <v>1398.99</v>
      </c>
      <c r="AX48" s="2">
        <v>5238.24</v>
      </c>
      <c r="AY48" s="2">
        <v>3683.01</v>
      </c>
      <c r="AZ48" s="2">
        <v>2434.37</v>
      </c>
      <c r="BA48" s="2">
        <v>2247.98</v>
      </c>
      <c r="BB48" s="2">
        <v>2105.6999999999998</v>
      </c>
      <c r="BC48" s="2">
        <v>8309.09</v>
      </c>
      <c r="BD48" s="2">
        <v>1848.16</v>
      </c>
      <c r="BE48" s="2">
        <v>5005.1499999999996</v>
      </c>
      <c r="BF48" s="2">
        <v>3083.37</v>
      </c>
      <c r="BG48" s="2">
        <v>1640.05</v>
      </c>
      <c r="BH48" s="2">
        <v>3086.48</v>
      </c>
      <c r="BI48" s="2">
        <v>1284.23</v>
      </c>
    </row>
    <row r="49" spans="1:61">
      <c r="A49" s="1">
        <v>46</v>
      </c>
      <c r="B49" s="2">
        <v>3543.16</v>
      </c>
      <c r="C49" s="2">
        <v>2693.17</v>
      </c>
      <c r="D49" s="2">
        <v>2396.98</v>
      </c>
      <c r="E49" s="2">
        <v>2828.88</v>
      </c>
      <c r="F49" s="2">
        <v>2817.29</v>
      </c>
      <c r="G49" s="2">
        <v>4882.0200000000004</v>
      </c>
      <c r="H49" s="2">
        <v>17055.93</v>
      </c>
      <c r="I49" s="2">
        <v>22223.67</v>
      </c>
      <c r="J49" s="2">
        <v>7429.16</v>
      </c>
      <c r="K49" s="2">
        <v>11767.77</v>
      </c>
      <c r="L49" s="2">
        <v>1626.42</v>
      </c>
      <c r="M49" s="2">
        <v>1848.89</v>
      </c>
      <c r="N49" s="2">
        <v>4006.06</v>
      </c>
      <c r="O49" s="2">
        <v>8677.0499999999993</v>
      </c>
      <c r="P49" s="2">
        <v>9498.5499999999993</v>
      </c>
      <c r="Q49" s="2">
        <v>4045.05</v>
      </c>
      <c r="R49" s="2">
        <v>4286.05</v>
      </c>
      <c r="S49" s="2">
        <v>4915.12</v>
      </c>
      <c r="T49" s="2">
        <v>3224.76</v>
      </c>
      <c r="U49" s="2">
        <v>6017</v>
      </c>
      <c r="V49" s="2">
        <v>10253.61</v>
      </c>
      <c r="W49" s="2">
        <v>23996.55</v>
      </c>
      <c r="X49" s="2">
        <v>54395.83</v>
      </c>
      <c r="Y49" s="2">
        <v>34579.1</v>
      </c>
      <c r="Z49" s="2">
        <v>30161.119999999999</v>
      </c>
      <c r="AA49" s="2">
        <v>28945.93</v>
      </c>
      <c r="AB49" s="2">
        <v>4558.74</v>
      </c>
      <c r="AC49" s="2">
        <v>3101.22</v>
      </c>
      <c r="AD49" s="2">
        <v>26022.66</v>
      </c>
      <c r="AE49" s="2">
        <v>5219.01</v>
      </c>
      <c r="AF49" s="2">
        <v>3932.37</v>
      </c>
      <c r="AG49" s="2">
        <v>14006.59</v>
      </c>
      <c r="AH49" s="2">
        <v>11462.84</v>
      </c>
      <c r="AI49" s="2">
        <v>9196.5499999999993</v>
      </c>
      <c r="AJ49" s="2">
        <v>6400.25</v>
      </c>
      <c r="AK49" s="2">
        <v>2153.44</v>
      </c>
      <c r="AL49" s="2">
        <v>1513.53</v>
      </c>
      <c r="AM49" s="2">
        <v>1544.03</v>
      </c>
      <c r="AN49" s="2">
        <v>5433.85</v>
      </c>
      <c r="AO49" s="2">
        <v>4628.2299999999996</v>
      </c>
      <c r="AP49" s="2">
        <v>1854.09</v>
      </c>
      <c r="AQ49" s="2">
        <v>3438.48</v>
      </c>
      <c r="AR49" s="2">
        <v>2922.47</v>
      </c>
      <c r="AS49" s="2">
        <v>2294.89</v>
      </c>
      <c r="AT49" s="2">
        <v>4920.29</v>
      </c>
      <c r="AU49" s="2">
        <v>11415.82</v>
      </c>
      <c r="AV49" s="2">
        <v>6625.81</v>
      </c>
      <c r="AW49" s="2">
        <v>1066.51</v>
      </c>
      <c r="AX49" s="2">
        <v>3543.3</v>
      </c>
      <c r="AY49" s="2">
        <v>3038.17</v>
      </c>
      <c r="AZ49" s="2">
        <v>2155.41</v>
      </c>
      <c r="BA49" s="2">
        <v>1900.04</v>
      </c>
      <c r="BB49" s="2">
        <v>1888.97</v>
      </c>
      <c r="BC49" s="2">
        <v>6251.72</v>
      </c>
      <c r="BD49" s="2">
        <v>1541.8</v>
      </c>
      <c r="BE49" s="2">
        <v>4544.66</v>
      </c>
      <c r="BF49" s="2">
        <v>1859.45</v>
      </c>
      <c r="BG49" s="2">
        <v>1566.4</v>
      </c>
      <c r="BH49" s="2">
        <v>2656.32</v>
      </c>
      <c r="BI49" s="2">
        <v>983.05</v>
      </c>
    </row>
    <row r="50" spans="1:61">
      <c r="A50" s="1">
        <v>47</v>
      </c>
      <c r="B50" s="2">
        <v>3317.05</v>
      </c>
      <c r="C50" s="2">
        <v>2933.23</v>
      </c>
      <c r="D50" s="2">
        <v>2109.0300000000002</v>
      </c>
      <c r="E50" s="2">
        <v>2233.89</v>
      </c>
      <c r="F50" s="2">
        <v>3038.82</v>
      </c>
      <c r="G50" s="2">
        <v>5334.71</v>
      </c>
      <c r="H50" s="2">
        <v>18615.189999999999</v>
      </c>
      <c r="I50" s="2">
        <v>20548.509999999998</v>
      </c>
      <c r="J50" s="2">
        <v>8144.96</v>
      </c>
      <c r="K50" s="2">
        <v>15063.78</v>
      </c>
      <c r="L50" s="2">
        <v>1612.19</v>
      </c>
      <c r="M50" s="2">
        <v>1863.66</v>
      </c>
      <c r="N50" s="2">
        <v>4901.25</v>
      </c>
      <c r="O50" s="2">
        <v>8017.85</v>
      </c>
      <c r="P50" s="2">
        <v>9117.33</v>
      </c>
      <c r="Q50" s="2">
        <v>3278.91</v>
      </c>
      <c r="R50" s="2">
        <v>4574.38</v>
      </c>
      <c r="S50" s="2">
        <v>4457.3900000000003</v>
      </c>
      <c r="T50" s="2">
        <v>3443.89</v>
      </c>
      <c r="U50" s="2">
        <v>6057.71</v>
      </c>
      <c r="V50" s="2">
        <v>10438.16</v>
      </c>
      <c r="W50" s="2">
        <v>22681.15</v>
      </c>
      <c r="X50" s="2">
        <v>34703.050000000003</v>
      </c>
      <c r="Y50" s="2">
        <v>23324.35</v>
      </c>
      <c r="Z50" s="2">
        <v>27268.82</v>
      </c>
      <c r="AA50" s="2">
        <v>28551.26</v>
      </c>
      <c r="AB50" s="2">
        <v>6472.4</v>
      </c>
      <c r="AC50" s="2">
        <v>2776.81</v>
      </c>
      <c r="AD50" s="2">
        <v>21227.54</v>
      </c>
      <c r="AE50" s="2">
        <v>4872</v>
      </c>
      <c r="AF50" s="2">
        <v>4146.2700000000004</v>
      </c>
      <c r="AG50" s="2">
        <v>14608.36</v>
      </c>
      <c r="AH50" s="2">
        <v>12012.9</v>
      </c>
      <c r="AI50" s="2">
        <v>8746.2099999999991</v>
      </c>
      <c r="AJ50" s="2">
        <v>6643.46</v>
      </c>
      <c r="AK50" s="2">
        <v>2088.9699999999998</v>
      </c>
      <c r="AL50" s="2">
        <v>1611.33</v>
      </c>
      <c r="AM50" s="2">
        <v>1802.56</v>
      </c>
      <c r="AN50" s="2">
        <v>5357.87</v>
      </c>
      <c r="AO50" s="2">
        <v>4643.8900000000003</v>
      </c>
      <c r="AP50" s="2">
        <v>1956.38</v>
      </c>
      <c r="AQ50" s="2">
        <v>2853.71</v>
      </c>
      <c r="AR50" s="2">
        <v>2900.67</v>
      </c>
      <c r="AS50" s="2">
        <v>2223.3000000000002</v>
      </c>
      <c r="AT50" s="2">
        <v>4695.46</v>
      </c>
      <c r="AU50" s="2">
        <v>12403.09</v>
      </c>
      <c r="AV50" s="2">
        <v>7095.39</v>
      </c>
      <c r="AW50" s="2">
        <v>1174.53</v>
      </c>
      <c r="AX50" s="2">
        <v>3138.48</v>
      </c>
      <c r="AY50" s="2">
        <v>2305.6799999999998</v>
      </c>
      <c r="AZ50" s="2">
        <v>2281.42</v>
      </c>
      <c r="BA50" s="2">
        <v>2217.4699999999998</v>
      </c>
      <c r="BB50" s="2">
        <v>1611.61</v>
      </c>
      <c r="BC50" s="2">
        <v>7051.57</v>
      </c>
      <c r="BD50" s="2">
        <v>1625.19</v>
      </c>
      <c r="BE50" s="2">
        <v>4301.57</v>
      </c>
      <c r="BF50" s="2">
        <v>1969.44</v>
      </c>
      <c r="BG50" s="2">
        <v>1361.67</v>
      </c>
      <c r="BH50" s="2">
        <v>2245.5500000000002</v>
      </c>
      <c r="BI50" s="2">
        <v>1107.55</v>
      </c>
    </row>
    <row r="51" spans="1:61">
      <c r="A51" s="1">
        <v>48</v>
      </c>
      <c r="B51" s="2">
        <v>2897.12</v>
      </c>
      <c r="C51" s="2">
        <v>2456.5300000000002</v>
      </c>
      <c r="D51" s="2">
        <v>2762.41</v>
      </c>
      <c r="E51" s="2">
        <v>2202.29</v>
      </c>
      <c r="F51" s="2">
        <v>2825.45</v>
      </c>
      <c r="G51" s="2">
        <v>4549.7700000000004</v>
      </c>
      <c r="H51" s="2">
        <v>17945.560000000001</v>
      </c>
      <c r="I51" s="2">
        <v>21852.17</v>
      </c>
      <c r="J51" s="2">
        <v>7449.32</v>
      </c>
      <c r="K51" s="2">
        <v>13423.7</v>
      </c>
      <c r="L51" s="2">
        <v>1829.58</v>
      </c>
      <c r="M51" s="2">
        <v>1873.79</v>
      </c>
      <c r="N51" s="2">
        <v>5012.66</v>
      </c>
      <c r="O51" s="2">
        <v>7498.97</v>
      </c>
      <c r="P51" s="2">
        <v>8719.6</v>
      </c>
      <c r="Q51" s="2">
        <v>3956.83</v>
      </c>
      <c r="R51" s="2">
        <v>4936.3999999999996</v>
      </c>
      <c r="S51" s="2">
        <v>4526.05</v>
      </c>
      <c r="T51" s="2">
        <v>3901.72</v>
      </c>
      <c r="U51" s="2">
        <v>6169.13</v>
      </c>
      <c r="V51" s="2">
        <v>11216.9</v>
      </c>
      <c r="W51" s="2">
        <v>29433.75</v>
      </c>
      <c r="X51" s="2">
        <v>39256.620000000003</v>
      </c>
      <c r="Y51" s="2">
        <v>29782.01</v>
      </c>
      <c r="Z51" s="2">
        <v>23722.37</v>
      </c>
      <c r="AA51" s="2">
        <v>28654.82</v>
      </c>
      <c r="AB51" s="2">
        <v>5831.52</v>
      </c>
      <c r="AC51" s="2">
        <v>2845.38</v>
      </c>
      <c r="AD51" s="2">
        <v>25795.41</v>
      </c>
      <c r="AE51" s="2">
        <v>5390.06</v>
      </c>
      <c r="AF51" s="2">
        <v>4023.67</v>
      </c>
      <c r="AG51" s="2">
        <v>15714.24</v>
      </c>
      <c r="AH51" s="2">
        <v>11456.1</v>
      </c>
      <c r="AI51" s="2">
        <v>8326.3799999999992</v>
      </c>
      <c r="AJ51" s="2">
        <v>7307.08</v>
      </c>
      <c r="AK51" s="2">
        <v>2238.84</v>
      </c>
      <c r="AL51" s="2">
        <v>1652.87</v>
      </c>
      <c r="AM51" s="2">
        <v>1683.15</v>
      </c>
      <c r="AN51" s="2">
        <v>6371.53</v>
      </c>
      <c r="AO51" s="2">
        <v>4908.8900000000003</v>
      </c>
      <c r="AP51" s="2">
        <v>2239.8200000000002</v>
      </c>
      <c r="AQ51" s="2">
        <v>3567.97</v>
      </c>
      <c r="AR51" s="2">
        <v>3694.6</v>
      </c>
      <c r="AS51" s="2">
        <v>2530.58</v>
      </c>
      <c r="AT51" s="2">
        <v>4543.25</v>
      </c>
      <c r="AU51" s="2">
        <v>13860.65</v>
      </c>
      <c r="AV51" s="2">
        <v>6891.96</v>
      </c>
      <c r="AW51" s="2">
        <v>1190.1199999999999</v>
      </c>
      <c r="AX51" s="2">
        <v>3557.72</v>
      </c>
      <c r="AY51" s="2">
        <v>3054.83</v>
      </c>
      <c r="AZ51" s="2">
        <v>2233.52</v>
      </c>
      <c r="BA51" s="2">
        <v>2010.36</v>
      </c>
      <c r="BB51" s="2">
        <v>1643.42</v>
      </c>
      <c r="BC51" s="2">
        <v>6414.27</v>
      </c>
      <c r="BD51" s="2">
        <v>1801.17</v>
      </c>
      <c r="BE51" s="2">
        <v>3578.41</v>
      </c>
      <c r="BF51" s="2">
        <v>2512.8200000000002</v>
      </c>
      <c r="BG51" s="2">
        <v>1425.72</v>
      </c>
      <c r="BH51" s="2">
        <v>2718.49</v>
      </c>
      <c r="BI51" s="2">
        <v>1086.44</v>
      </c>
    </row>
    <row r="52" spans="1:61">
      <c r="A52" s="1">
        <v>49</v>
      </c>
      <c r="B52" s="2">
        <v>3295.74</v>
      </c>
      <c r="C52" s="2">
        <v>3012.58</v>
      </c>
      <c r="D52" s="2">
        <v>2471.13</v>
      </c>
      <c r="E52" s="2">
        <v>2455.71</v>
      </c>
      <c r="F52" s="2">
        <v>3225.85</v>
      </c>
      <c r="G52" s="2">
        <v>6314.75</v>
      </c>
      <c r="H52" s="2">
        <v>16118.92</v>
      </c>
      <c r="I52" s="2">
        <v>22625.58</v>
      </c>
      <c r="J52" s="2">
        <v>7951.68</v>
      </c>
      <c r="K52" s="2">
        <v>16542.63</v>
      </c>
      <c r="L52" s="2">
        <v>1453.33</v>
      </c>
      <c r="M52" s="2">
        <v>2333.2600000000002</v>
      </c>
      <c r="N52" s="2">
        <v>5471.71</v>
      </c>
      <c r="O52" s="2">
        <v>8963.51</v>
      </c>
      <c r="P52" s="2">
        <v>9449.65</v>
      </c>
      <c r="Q52" s="2">
        <v>3670.1</v>
      </c>
      <c r="R52" s="2">
        <v>5421.11</v>
      </c>
      <c r="S52" s="2">
        <v>5109.54</v>
      </c>
      <c r="T52" s="2">
        <v>3617.02</v>
      </c>
      <c r="U52" s="2">
        <v>6950.28</v>
      </c>
      <c r="V52" s="2">
        <v>10741.05</v>
      </c>
      <c r="W52" s="2">
        <v>36071.81</v>
      </c>
      <c r="X52" s="2">
        <v>47456.26</v>
      </c>
      <c r="Y52" s="2">
        <v>33619</v>
      </c>
      <c r="Z52" s="2">
        <v>28356.45</v>
      </c>
      <c r="AA52" s="2">
        <v>32866.660000000003</v>
      </c>
      <c r="AB52" s="2">
        <v>7055.76</v>
      </c>
      <c r="AC52" s="2">
        <v>3037.01</v>
      </c>
      <c r="AD52" s="2">
        <v>27778.66</v>
      </c>
      <c r="AE52" s="2">
        <v>5670.64</v>
      </c>
      <c r="AF52" s="2">
        <v>4807.32</v>
      </c>
      <c r="AG52" s="2">
        <v>19384.919999999998</v>
      </c>
      <c r="AH52" s="2">
        <v>11982.76</v>
      </c>
      <c r="AI52" s="2">
        <v>9301.34</v>
      </c>
      <c r="AJ52" s="2">
        <v>7728.32</v>
      </c>
      <c r="AK52" s="2">
        <v>2728.56</v>
      </c>
      <c r="AL52" s="2">
        <v>1945.53</v>
      </c>
      <c r="AM52" s="2">
        <v>1933.06</v>
      </c>
      <c r="AN52" s="2">
        <v>6654.44</v>
      </c>
      <c r="AO52" s="2">
        <v>5304.83</v>
      </c>
      <c r="AP52" s="2">
        <v>2263.14</v>
      </c>
      <c r="AQ52" s="2">
        <v>3959.7</v>
      </c>
      <c r="AR52" s="2">
        <v>3032.98</v>
      </c>
      <c r="AS52" s="2">
        <v>2439.13</v>
      </c>
      <c r="AT52" s="2">
        <v>5508.07</v>
      </c>
      <c r="AU52" s="2">
        <v>15305.08</v>
      </c>
      <c r="AV52" s="2">
        <v>6418.27</v>
      </c>
      <c r="AW52" s="2">
        <v>1291.4100000000001</v>
      </c>
      <c r="AX52" s="2">
        <v>4272.8999999999996</v>
      </c>
      <c r="AY52" s="2">
        <v>2825.39</v>
      </c>
      <c r="AZ52" s="2">
        <v>2489.9699999999998</v>
      </c>
      <c r="BA52" s="2">
        <v>2107.1799999999998</v>
      </c>
      <c r="BB52" s="2">
        <v>1774.03</v>
      </c>
      <c r="BC52" s="2">
        <v>7382.1</v>
      </c>
      <c r="BD52" s="2">
        <v>1746.21</v>
      </c>
      <c r="BE52" s="2">
        <v>4888.08</v>
      </c>
      <c r="BF52" s="2">
        <v>2588.61</v>
      </c>
      <c r="BG52" s="2">
        <v>1644.47</v>
      </c>
      <c r="BH52" s="2">
        <v>2664.24</v>
      </c>
      <c r="BI52" s="2">
        <v>1079.79</v>
      </c>
    </row>
    <row r="53" spans="1:61">
      <c r="A53" s="1">
        <v>50</v>
      </c>
      <c r="B53" s="2">
        <v>4307.6899999999996</v>
      </c>
      <c r="C53" s="2">
        <v>3562.64</v>
      </c>
      <c r="D53" s="2">
        <v>3390.69</v>
      </c>
      <c r="E53" s="2">
        <v>3221.66</v>
      </c>
      <c r="F53" s="2">
        <v>3847.1</v>
      </c>
      <c r="G53" s="2">
        <v>6597.9</v>
      </c>
      <c r="H53" s="2">
        <v>22312.29</v>
      </c>
      <c r="I53" s="2">
        <v>26046.62</v>
      </c>
      <c r="J53" s="2">
        <v>11155.14</v>
      </c>
      <c r="K53" s="2">
        <v>20507.150000000001</v>
      </c>
      <c r="L53" s="2">
        <v>1975.28</v>
      </c>
      <c r="M53" s="2">
        <v>2602.9</v>
      </c>
      <c r="N53" s="2">
        <v>6133.88</v>
      </c>
      <c r="O53" s="2">
        <v>11623.01</v>
      </c>
      <c r="P53" s="2">
        <v>13619.14</v>
      </c>
      <c r="Q53" s="2">
        <v>4217.6400000000003</v>
      </c>
      <c r="R53" s="2">
        <v>6786.57</v>
      </c>
      <c r="S53" s="2">
        <v>6971.04</v>
      </c>
      <c r="T53" s="2">
        <v>5146.38</v>
      </c>
      <c r="U53" s="2">
        <v>10049.41</v>
      </c>
      <c r="V53" s="2">
        <v>15431.86</v>
      </c>
      <c r="W53" s="2">
        <v>36858.870000000003</v>
      </c>
      <c r="X53" s="2">
        <v>50743.97</v>
      </c>
      <c r="Y53" s="2">
        <v>42253.37</v>
      </c>
      <c r="Z53" s="2">
        <v>40945.449999999997</v>
      </c>
      <c r="AA53" s="2">
        <v>44021.440000000002</v>
      </c>
      <c r="AB53" s="2">
        <v>8312.42</v>
      </c>
      <c r="AC53" s="2">
        <v>3789.96</v>
      </c>
      <c r="AD53" s="2">
        <v>33395.35</v>
      </c>
      <c r="AE53" s="2">
        <v>7674.46</v>
      </c>
      <c r="AF53" s="2">
        <v>5440.7</v>
      </c>
      <c r="AG53" s="2">
        <v>22084.9</v>
      </c>
      <c r="AH53" s="2">
        <v>16243.37</v>
      </c>
      <c r="AI53" s="2">
        <v>11667.11</v>
      </c>
      <c r="AJ53" s="2">
        <v>10283.34</v>
      </c>
      <c r="AK53" s="2">
        <v>3626.29</v>
      </c>
      <c r="AL53" s="2">
        <v>2068.33</v>
      </c>
      <c r="AM53" s="2">
        <v>2376.89</v>
      </c>
      <c r="AN53" s="2">
        <v>8020.78</v>
      </c>
      <c r="AO53" s="2">
        <v>6404.5</v>
      </c>
      <c r="AP53" s="2">
        <v>2699.61</v>
      </c>
      <c r="AQ53" s="2">
        <v>4603.8100000000004</v>
      </c>
      <c r="AR53" s="2">
        <v>4050.54</v>
      </c>
      <c r="AS53" s="2">
        <v>3319.93</v>
      </c>
      <c r="AT53" s="2">
        <v>6191.32</v>
      </c>
      <c r="AU53" s="2">
        <v>16810.2</v>
      </c>
      <c r="AV53" s="2">
        <v>9675.49</v>
      </c>
      <c r="AW53" s="2">
        <v>1350.38</v>
      </c>
      <c r="AX53" s="2">
        <v>4735.5</v>
      </c>
      <c r="AY53" s="2">
        <v>3622.2</v>
      </c>
      <c r="AZ53" s="2">
        <v>3259.41</v>
      </c>
      <c r="BA53" s="2">
        <v>2954.43</v>
      </c>
      <c r="BB53" s="2">
        <v>2119.37</v>
      </c>
      <c r="BC53" s="2">
        <v>9880.5400000000009</v>
      </c>
      <c r="BD53" s="2">
        <v>2005.34</v>
      </c>
      <c r="BE53" s="2">
        <v>6532.85</v>
      </c>
      <c r="BF53" s="2">
        <v>3149.59</v>
      </c>
      <c r="BG53" s="2">
        <v>2094.3000000000002</v>
      </c>
      <c r="BH53" s="2">
        <v>3241.54</v>
      </c>
      <c r="BI53" s="2">
        <v>1464.64</v>
      </c>
    </row>
    <row r="54" spans="1:61">
      <c r="A54" s="1">
        <v>51</v>
      </c>
      <c r="B54" s="2">
        <v>5013.12</v>
      </c>
      <c r="C54" s="2">
        <v>3921.68</v>
      </c>
      <c r="D54" s="2">
        <v>3522.4</v>
      </c>
      <c r="E54" s="2">
        <v>3861.59</v>
      </c>
      <c r="F54" s="2">
        <v>4711.54</v>
      </c>
      <c r="G54" s="2">
        <v>8461.7999999999993</v>
      </c>
      <c r="H54" s="2">
        <v>25533.3</v>
      </c>
      <c r="I54" s="2">
        <v>31935.22</v>
      </c>
      <c r="J54" s="2">
        <v>13163.36</v>
      </c>
      <c r="K54" s="2">
        <v>20801.310000000001</v>
      </c>
      <c r="L54" s="2">
        <v>2714.5</v>
      </c>
      <c r="M54" s="2">
        <v>3266.18</v>
      </c>
      <c r="N54" s="2">
        <v>7121.68</v>
      </c>
      <c r="O54" s="2">
        <v>12354</v>
      </c>
      <c r="P54" s="2">
        <v>14668.16</v>
      </c>
      <c r="Q54" s="2">
        <v>5793.75</v>
      </c>
      <c r="R54" s="2">
        <v>7207.72</v>
      </c>
      <c r="S54" s="2">
        <v>8045.02</v>
      </c>
      <c r="T54" s="2">
        <v>5987.54</v>
      </c>
      <c r="U54" s="2">
        <v>11805.3</v>
      </c>
      <c r="V54" s="2">
        <v>16819.55</v>
      </c>
      <c r="W54" s="2">
        <v>43909.73</v>
      </c>
      <c r="X54" s="2">
        <v>72611.89</v>
      </c>
      <c r="Y54" s="2">
        <v>48272.69</v>
      </c>
      <c r="Z54" s="2">
        <v>45133.21</v>
      </c>
      <c r="AA54" s="2">
        <v>46466.87</v>
      </c>
      <c r="AB54" s="2">
        <v>9716.1200000000008</v>
      </c>
      <c r="AC54" s="2">
        <v>4658.68</v>
      </c>
      <c r="AD54" s="2">
        <v>41369.89</v>
      </c>
      <c r="AE54" s="2">
        <v>8230.51</v>
      </c>
      <c r="AF54" s="2">
        <v>6276.77</v>
      </c>
      <c r="AG54" s="2">
        <v>28018.19</v>
      </c>
      <c r="AH54" s="2">
        <v>17006.87</v>
      </c>
      <c r="AI54" s="2">
        <v>13991.44</v>
      </c>
      <c r="AJ54" s="2">
        <v>11124.21</v>
      </c>
      <c r="AK54" s="2">
        <v>4260.22</v>
      </c>
      <c r="AL54" s="2">
        <v>2465.9499999999998</v>
      </c>
      <c r="AM54" s="2">
        <v>2535.92</v>
      </c>
      <c r="AN54" s="2">
        <v>8594.75</v>
      </c>
      <c r="AO54" s="2">
        <v>6788.52</v>
      </c>
      <c r="AP54" s="2">
        <v>2818.09</v>
      </c>
      <c r="AQ54" s="2">
        <v>4817.62</v>
      </c>
      <c r="AR54" s="2">
        <v>4510.93</v>
      </c>
      <c r="AS54" s="2">
        <v>3881</v>
      </c>
      <c r="AT54" s="2">
        <v>8179.29</v>
      </c>
      <c r="AU54" s="2">
        <v>18215.419999999998</v>
      </c>
      <c r="AV54" s="2">
        <v>11898.14</v>
      </c>
      <c r="AW54" s="2">
        <v>1795.44</v>
      </c>
      <c r="AX54" s="2">
        <v>5854.02</v>
      </c>
      <c r="AY54" s="2">
        <v>4317.7299999999996</v>
      </c>
      <c r="AZ54" s="2">
        <v>3774.44</v>
      </c>
      <c r="BA54" s="2">
        <v>2710.92</v>
      </c>
      <c r="BB54" s="2">
        <v>2624.65</v>
      </c>
      <c r="BC54" s="2">
        <v>10593.05</v>
      </c>
      <c r="BD54" s="2">
        <v>2785.47</v>
      </c>
      <c r="BE54" s="2">
        <v>6878.59</v>
      </c>
      <c r="BF54" s="2">
        <v>3258.53</v>
      </c>
      <c r="BG54" s="2">
        <v>2237.34</v>
      </c>
      <c r="BH54" s="2">
        <v>3728.5</v>
      </c>
      <c r="BI54" s="2">
        <v>1608.38</v>
      </c>
    </row>
    <row r="55" spans="1:61">
      <c r="A55" s="1">
        <v>52</v>
      </c>
      <c r="B55" s="2">
        <v>3950.11</v>
      </c>
      <c r="C55" s="2">
        <v>3482.44</v>
      </c>
      <c r="D55" s="2">
        <v>2797.45</v>
      </c>
      <c r="E55" s="2">
        <v>2902.93</v>
      </c>
      <c r="F55" s="2">
        <v>3438.52</v>
      </c>
      <c r="G55" s="2">
        <v>6677.55</v>
      </c>
      <c r="H55" s="2">
        <v>22054.87</v>
      </c>
      <c r="I55" s="2">
        <v>26094.23</v>
      </c>
      <c r="J55" s="2">
        <v>9116.26</v>
      </c>
      <c r="K55" s="2">
        <v>18492.23</v>
      </c>
      <c r="L55" s="2">
        <v>1874.02</v>
      </c>
      <c r="M55" s="2">
        <v>2516.9699999999998</v>
      </c>
      <c r="N55" s="2">
        <v>5736.3</v>
      </c>
      <c r="O55" s="2">
        <v>9351.44</v>
      </c>
      <c r="P55" s="2">
        <v>11436.78</v>
      </c>
      <c r="Q55" s="2">
        <v>4534.1400000000003</v>
      </c>
      <c r="R55" s="2">
        <v>5431.47</v>
      </c>
      <c r="S55" s="2">
        <v>5420.28</v>
      </c>
      <c r="T55" s="2">
        <v>4843.2299999999996</v>
      </c>
      <c r="U55" s="2">
        <v>9194.56</v>
      </c>
      <c r="V55" s="2">
        <v>14522.67</v>
      </c>
      <c r="W55" s="2">
        <v>34587.82</v>
      </c>
      <c r="X55" s="2">
        <v>53254.37</v>
      </c>
      <c r="Y55" s="2">
        <v>38859.620000000003</v>
      </c>
      <c r="Z55" s="2">
        <v>29791.14</v>
      </c>
      <c r="AA55" s="2">
        <v>32448.7</v>
      </c>
      <c r="AB55" s="2">
        <v>8651.31</v>
      </c>
      <c r="AC55" s="2">
        <v>3679.38</v>
      </c>
      <c r="AD55" s="2">
        <v>27934.94</v>
      </c>
      <c r="AE55" s="2">
        <v>6319.95</v>
      </c>
      <c r="AF55" s="2">
        <v>4941.75</v>
      </c>
      <c r="AG55" s="2">
        <v>21139.61</v>
      </c>
      <c r="AH55" s="2">
        <v>14350.68</v>
      </c>
      <c r="AI55" s="2">
        <v>12176.17</v>
      </c>
      <c r="AJ55" s="2">
        <v>9558.06</v>
      </c>
      <c r="AK55" s="2">
        <v>3086.81</v>
      </c>
      <c r="AL55" s="2">
        <v>1925.26</v>
      </c>
      <c r="AM55" s="2">
        <v>2226.46</v>
      </c>
      <c r="AN55" s="2">
        <v>7117.95</v>
      </c>
      <c r="AO55" s="2">
        <v>6024.74</v>
      </c>
      <c r="AP55" s="2">
        <v>2410.52</v>
      </c>
      <c r="AQ55" s="2">
        <v>4425.71</v>
      </c>
      <c r="AR55" s="2">
        <v>3452.11</v>
      </c>
      <c r="AS55" s="2">
        <v>2828.39</v>
      </c>
      <c r="AT55" s="2">
        <v>6476.05</v>
      </c>
      <c r="AU55" s="2">
        <v>15440.76</v>
      </c>
      <c r="AV55" s="2">
        <v>8968.9500000000007</v>
      </c>
      <c r="AW55" s="2">
        <v>1461.64</v>
      </c>
      <c r="AX55" s="2">
        <v>4786.9399999999996</v>
      </c>
      <c r="AY55" s="2">
        <v>3832.68</v>
      </c>
      <c r="AZ55" s="2">
        <v>2950.65</v>
      </c>
      <c r="BA55" s="2">
        <v>2397.8200000000002</v>
      </c>
      <c r="BB55" s="2">
        <v>2417</v>
      </c>
      <c r="BC55" s="2">
        <v>8862.7000000000007</v>
      </c>
      <c r="BD55" s="2">
        <v>2111.56</v>
      </c>
      <c r="BE55" s="2">
        <v>4544.5</v>
      </c>
      <c r="BF55" s="2">
        <v>2851.38</v>
      </c>
      <c r="BG55" s="2">
        <v>1973.54</v>
      </c>
      <c r="BH55" s="2">
        <v>2804.65</v>
      </c>
      <c r="BI55" s="2">
        <v>1230.8399999999999</v>
      </c>
    </row>
    <row r="56" spans="1:61">
      <c r="A56" s="1">
        <v>53</v>
      </c>
      <c r="B56" s="2">
        <v>3224.37</v>
      </c>
      <c r="C56" s="2">
        <v>2652.62</v>
      </c>
      <c r="D56" s="2">
        <v>2812.74</v>
      </c>
      <c r="E56" s="2">
        <v>2622.89</v>
      </c>
      <c r="F56" s="2">
        <v>3025.71</v>
      </c>
      <c r="G56" s="2">
        <v>4954.96</v>
      </c>
      <c r="H56" s="2">
        <v>14204.23</v>
      </c>
      <c r="I56" s="2">
        <v>19145.43</v>
      </c>
      <c r="J56" s="2">
        <v>7627.27</v>
      </c>
      <c r="K56" s="2">
        <v>14017.15</v>
      </c>
      <c r="L56" s="2">
        <v>1544.46</v>
      </c>
      <c r="M56" s="2">
        <v>1850.2</v>
      </c>
      <c r="N56" s="2">
        <v>4002.49</v>
      </c>
      <c r="O56" s="2">
        <v>8752.7800000000007</v>
      </c>
      <c r="P56" s="2">
        <v>8711.17</v>
      </c>
      <c r="Q56" s="2">
        <v>3105.11</v>
      </c>
      <c r="R56" s="2">
        <v>5678.37</v>
      </c>
      <c r="S56" s="2">
        <v>5123.43</v>
      </c>
      <c r="T56" s="2">
        <v>3708.82</v>
      </c>
      <c r="U56" s="2">
        <v>6484.22</v>
      </c>
      <c r="V56" s="2">
        <v>10056.32</v>
      </c>
      <c r="W56" s="2">
        <v>29231.98</v>
      </c>
      <c r="X56" s="2">
        <v>46768.59</v>
      </c>
      <c r="Y56" s="2">
        <v>32465.86</v>
      </c>
      <c r="Z56" s="2">
        <v>31995.46</v>
      </c>
      <c r="AA56" s="2">
        <v>25604.12</v>
      </c>
      <c r="AB56" s="2">
        <v>5602.35</v>
      </c>
      <c r="AC56" s="2">
        <v>2960.34</v>
      </c>
      <c r="AD56" s="2">
        <v>23409</v>
      </c>
      <c r="AE56" s="2">
        <v>4612.37</v>
      </c>
      <c r="AF56" s="2">
        <v>4219.83</v>
      </c>
      <c r="AG56" s="2">
        <v>17561.04</v>
      </c>
      <c r="AH56" s="2">
        <v>11563.89</v>
      </c>
      <c r="AI56" s="2">
        <v>9933.51</v>
      </c>
      <c r="AJ56" s="2">
        <v>6832.53</v>
      </c>
      <c r="AK56" s="2">
        <v>2521.71</v>
      </c>
      <c r="AL56" s="2">
        <v>1593.57</v>
      </c>
      <c r="AM56" s="2">
        <v>1650.61</v>
      </c>
      <c r="AN56" s="2">
        <v>6404.52</v>
      </c>
      <c r="AO56" s="2">
        <v>4091.19</v>
      </c>
      <c r="AP56" s="2">
        <v>2173.7600000000002</v>
      </c>
      <c r="AQ56" s="2">
        <v>3643.25</v>
      </c>
      <c r="AR56" s="2">
        <v>3273.29</v>
      </c>
      <c r="AS56" s="2">
        <v>2691.86</v>
      </c>
      <c r="AT56" s="2">
        <v>5826.84</v>
      </c>
      <c r="AU56" s="2">
        <v>10435.31</v>
      </c>
      <c r="AV56" s="2">
        <v>6904.56</v>
      </c>
      <c r="AW56" s="2">
        <v>1034.8399999999999</v>
      </c>
      <c r="AX56" s="2">
        <v>3469.63</v>
      </c>
      <c r="AY56" s="2">
        <v>2726.6</v>
      </c>
      <c r="AZ56" s="2">
        <v>2445.54</v>
      </c>
      <c r="BA56" s="2">
        <v>1865.67</v>
      </c>
      <c r="BB56" s="2">
        <v>1388.2</v>
      </c>
      <c r="BC56" s="2">
        <v>6939.24</v>
      </c>
      <c r="BD56" s="2">
        <v>1542.53</v>
      </c>
      <c r="BE56" s="2">
        <v>4141.32</v>
      </c>
      <c r="BF56" s="2">
        <v>1787.56</v>
      </c>
      <c r="BG56" s="2">
        <v>1365.66</v>
      </c>
      <c r="BH56" s="2">
        <v>2191.7800000000002</v>
      </c>
      <c r="BI56" s="2">
        <v>1006.35</v>
      </c>
    </row>
    <row r="57" spans="1:61">
      <c r="A57" s="1">
        <v>54</v>
      </c>
      <c r="B57" s="2">
        <v>2648.58</v>
      </c>
      <c r="C57" s="2">
        <v>2610.2399999999998</v>
      </c>
      <c r="D57" s="2">
        <v>2475.44</v>
      </c>
      <c r="E57" s="2">
        <v>2522.48</v>
      </c>
      <c r="F57" s="2">
        <v>3431.51</v>
      </c>
      <c r="G57" s="2">
        <v>4349.74</v>
      </c>
      <c r="H57" s="2">
        <v>19689.419999999998</v>
      </c>
      <c r="I57" s="2">
        <v>19514.09</v>
      </c>
      <c r="J57" s="2">
        <v>8043.87</v>
      </c>
      <c r="K57" s="2">
        <v>14674.13</v>
      </c>
      <c r="L57" s="2">
        <v>1451.04</v>
      </c>
      <c r="M57" s="2">
        <v>2140.09</v>
      </c>
      <c r="N57" s="2">
        <v>4712.3500000000004</v>
      </c>
      <c r="O57" s="2">
        <v>8230.57</v>
      </c>
      <c r="P57" s="2">
        <v>9081.26</v>
      </c>
      <c r="Q57" s="2">
        <v>3223.77</v>
      </c>
      <c r="R57" s="2">
        <v>4916.76</v>
      </c>
      <c r="S57" s="2">
        <v>4480.6000000000004</v>
      </c>
      <c r="T57" s="2">
        <v>3409.39</v>
      </c>
      <c r="U57" s="2">
        <v>7019.22</v>
      </c>
      <c r="V57" s="2">
        <v>10749.31</v>
      </c>
      <c r="W57" s="2">
        <v>24610.15</v>
      </c>
      <c r="X57" s="2">
        <v>45423.33</v>
      </c>
      <c r="Y57" s="2">
        <v>30064.19</v>
      </c>
      <c r="Z57" s="2">
        <v>28318.69</v>
      </c>
      <c r="AA57" s="2">
        <v>23407.14</v>
      </c>
      <c r="AB57" s="2">
        <v>5948.9</v>
      </c>
      <c r="AC57" s="2">
        <v>3091.19</v>
      </c>
      <c r="AD57" s="2">
        <v>24251.66</v>
      </c>
      <c r="AE57" s="2">
        <v>5179.45</v>
      </c>
      <c r="AF57" s="2">
        <v>4521.8999999999996</v>
      </c>
      <c r="AG57" s="2">
        <v>18787.349999999999</v>
      </c>
      <c r="AH57" s="2">
        <v>9379.14</v>
      </c>
      <c r="AI57" s="2">
        <v>9299.52</v>
      </c>
      <c r="AJ57" s="2">
        <v>7737.83</v>
      </c>
      <c r="AK57" s="2">
        <v>1903.02</v>
      </c>
      <c r="AL57" s="2">
        <v>1800.67</v>
      </c>
      <c r="AM57" s="2">
        <v>1703.93</v>
      </c>
      <c r="AN57" s="2">
        <v>5765.93</v>
      </c>
      <c r="AO57" s="2">
        <v>4119.88</v>
      </c>
      <c r="AP57" s="2">
        <v>2110.37</v>
      </c>
      <c r="AQ57" s="2">
        <v>3498.94</v>
      </c>
      <c r="AR57" s="2">
        <v>3067.31</v>
      </c>
      <c r="AS57" s="2">
        <v>2774.14</v>
      </c>
      <c r="AT57" s="2">
        <v>5624.21</v>
      </c>
      <c r="AU57" s="2">
        <v>10586.51</v>
      </c>
      <c r="AV57" s="2">
        <v>6393.77</v>
      </c>
      <c r="AW57" s="2">
        <v>1090.31</v>
      </c>
      <c r="AX57" s="2">
        <v>3635.88</v>
      </c>
      <c r="AY57" s="2">
        <v>2950.35</v>
      </c>
      <c r="AZ57" s="2">
        <v>2191.23</v>
      </c>
      <c r="BA57" s="2">
        <v>2058.61</v>
      </c>
      <c r="BB57" s="2">
        <v>1641.21</v>
      </c>
      <c r="BC57" s="2">
        <v>6793.33</v>
      </c>
      <c r="BD57" s="2">
        <v>1604.96</v>
      </c>
      <c r="BE57" s="2">
        <v>4576.92</v>
      </c>
      <c r="BF57" s="2">
        <v>2547.6</v>
      </c>
      <c r="BG57" s="2">
        <v>1360.87</v>
      </c>
      <c r="BH57" s="2">
        <v>2412.25</v>
      </c>
      <c r="BI57" s="2">
        <v>1049.97</v>
      </c>
    </row>
    <row r="58" spans="1:61">
      <c r="A58" s="1">
        <v>55</v>
      </c>
      <c r="B58" s="2">
        <v>2875.76</v>
      </c>
      <c r="C58" s="2">
        <v>2534.16</v>
      </c>
      <c r="D58" s="2">
        <v>2482.6</v>
      </c>
      <c r="E58" s="2">
        <v>2706.94</v>
      </c>
      <c r="F58" s="2">
        <v>3031.73</v>
      </c>
      <c r="G58" s="2">
        <v>4911.2299999999996</v>
      </c>
      <c r="H58" s="2">
        <v>13769.2</v>
      </c>
      <c r="I58" s="2">
        <v>19356.39</v>
      </c>
      <c r="J58" s="2">
        <v>7921.17</v>
      </c>
      <c r="K58" s="2">
        <v>13694.86</v>
      </c>
      <c r="L58" s="2">
        <v>1537.88</v>
      </c>
      <c r="M58" s="2">
        <v>1857.03</v>
      </c>
      <c r="N58" s="2">
        <v>4788.68</v>
      </c>
      <c r="O58" s="2">
        <v>7289.58</v>
      </c>
      <c r="P58" s="2">
        <v>10257.959999999999</v>
      </c>
      <c r="Q58" s="2">
        <v>3914.73</v>
      </c>
      <c r="R58" s="2">
        <v>5477.31</v>
      </c>
      <c r="S58" s="2">
        <v>5044.8900000000003</v>
      </c>
      <c r="T58" s="2">
        <v>3487.8</v>
      </c>
      <c r="U58" s="2">
        <v>6869.37</v>
      </c>
      <c r="V58" s="2">
        <v>11680.23</v>
      </c>
      <c r="W58" s="2">
        <v>26316.79</v>
      </c>
      <c r="X58" s="2">
        <v>41445.75</v>
      </c>
      <c r="Y58" s="2">
        <v>31866.79</v>
      </c>
      <c r="Z58" s="2">
        <v>21866.46</v>
      </c>
      <c r="AA58" s="2">
        <v>26736.69</v>
      </c>
      <c r="AB58" s="2">
        <v>7581.81</v>
      </c>
      <c r="AC58" s="2">
        <v>2683.48</v>
      </c>
      <c r="AD58" s="2">
        <v>21482.94</v>
      </c>
      <c r="AE58" s="2">
        <v>4943.05</v>
      </c>
      <c r="AF58" s="2">
        <v>4723.91</v>
      </c>
      <c r="AG58" s="2">
        <v>17440.66</v>
      </c>
      <c r="AH58" s="2">
        <v>13731.75</v>
      </c>
      <c r="AI58" s="2">
        <v>8673.08</v>
      </c>
      <c r="AJ58" s="2">
        <v>8939.19</v>
      </c>
      <c r="AK58" s="2">
        <v>2424.38</v>
      </c>
      <c r="AL58" s="2">
        <v>1530.58</v>
      </c>
      <c r="AM58" s="2">
        <v>1953.54</v>
      </c>
      <c r="AN58" s="2">
        <v>5488.58</v>
      </c>
      <c r="AO58" s="2">
        <v>5044.6499999999996</v>
      </c>
      <c r="AP58" s="2">
        <v>2001.68</v>
      </c>
      <c r="AQ58" s="2">
        <v>3068.49</v>
      </c>
      <c r="AR58" s="2">
        <v>3378.51</v>
      </c>
      <c r="AS58" s="2">
        <v>2179.34</v>
      </c>
      <c r="AT58" s="2">
        <v>5527.87</v>
      </c>
      <c r="AU58" s="2">
        <v>11715.87</v>
      </c>
      <c r="AV58" s="2">
        <v>7160.52</v>
      </c>
      <c r="AW58" s="2">
        <v>1230.32</v>
      </c>
      <c r="AX58" s="2">
        <v>3483.12</v>
      </c>
      <c r="AY58" s="2">
        <v>2715.01</v>
      </c>
      <c r="AZ58" s="2">
        <v>2170.35</v>
      </c>
      <c r="BA58" s="2">
        <v>2151.06</v>
      </c>
      <c r="BB58" s="2">
        <v>1726.34</v>
      </c>
      <c r="BC58" s="2">
        <v>7403.61</v>
      </c>
      <c r="BD58" s="2">
        <v>1384.52</v>
      </c>
      <c r="BE58" s="2">
        <v>3978.9</v>
      </c>
      <c r="BF58" s="2">
        <v>2255.11</v>
      </c>
      <c r="BG58" s="2">
        <v>1476.15</v>
      </c>
      <c r="BH58" s="2">
        <v>2650.29</v>
      </c>
      <c r="BI58" s="2">
        <v>1112.43</v>
      </c>
    </row>
    <row r="59" spans="1:61">
      <c r="A59" s="1">
        <v>56</v>
      </c>
      <c r="B59" s="2">
        <v>3714.47</v>
      </c>
      <c r="C59" s="2">
        <v>3336.45</v>
      </c>
      <c r="D59" s="2">
        <v>2766.36</v>
      </c>
      <c r="E59" s="2">
        <v>2744.63</v>
      </c>
      <c r="F59" s="2">
        <v>3124.87</v>
      </c>
      <c r="G59" s="2">
        <v>7130.64</v>
      </c>
      <c r="H59" s="2">
        <v>16979.349999999999</v>
      </c>
      <c r="I59" s="2">
        <v>22945.49</v>
      </c>
      <c r="J59" s="2">
        <v>7682.32</v>
      </c>
      <c r="K59" s="2">
        <v>15620.59</v>
      </c>
      <c r="L59" s="2">
        <v>1633.12</v>
      </c>
      <c r="M59" s="2">
        <v>2204.7399999999998</v>
      </c>
      <c r="N59" s="2">
        <v>4902.42</v>
      </c>
      <c r="O59" s="2">
        <v>9853.4500000000007</v>
      </c>
      <c r="P59" s="2">
        <v>9516.2199999999993</v>
      </c>
      <c r="Q59" s="2">
        <v>3881.47</v>
      </c>
      <c r="R59" s="2">
        <v>5507.93</v>
      </c>
      <c r="S59" s="2">
        <v>5238.3599999999997</v>
      </c>
      <c r="T59" s="2">
        <v>3554.67</v>
      </c>
      <c r="U59" s="2">
        <v>7778.46</v>
      </c>
      <c r="V59" s="2">
        <v>12759.05</v>
      </c>
      <c r="W59" s="2">
        <v>28453.05</v>
      </c>
      <c r="X59" s="2">
        <v>50256.46</v>
      </c>
      <c r="Y59" s="2">
        <v>32673.09</v>
      </c>
      <c r="Z59" s="2">
        <v>29313.31</v>
      </c>
      <c r="AA59" s="2">
        <v>27517.06</v>
      </c>
      <c r="AB59" s="2">
        <v>5842.31</v>
      </c>
      <c r="AC59" s="2">
        <v>2894.19</v>
      </c>
      <c r="AD59" s="2">
        <v>29552.78</v>
      </c>
      <c r="AE59" s="2">
        <v>7295.01</v>
      </c>
      <c r="AF59" s="2">
        <v>4708.6000000000004</v>
      </c>
      <c r="AG59" s="2">
        <v>17905.78</v>
      </c>
      <c r="AH59" s="2">
        <v>12874.46</v>
      </c>
      <c r="AI59" s="2">
        <v>9314.64</v>
      </c>
      <c r="AJ59" s="2">
        <v>7945.13</v>
      </c>
      <c r="AK59" s="2">
        <v>2609.23</v>
      </c>
      <c r="AL59" s="2">
        <v>1784.01</v>
      </c>
      <c r="AM59" s="2">
        <v>2087.08</v>
      </c>
      <c r="AN59" s="2">
        <v>6896.1</v>
      </c>
      <c r="AO59" s="2">
        <v>4422.93</v>
      </c>
      <c r="AP59" s="2">
        <v>2234.91</v>
      </c>
      <c r="AQ59" s="2">
        <v>3760.84</v>
      </c>
      <c r="AR59" s="2">
        <v>3425.65</v>
      </c>
      <c r="AS59" s="2">
        <v>2354.65</v>
      </c>
      <c r="AT59" s="2">
        <v>5628.63</v>
      </c>
      <c r="AU59" s="2">
        <v>16816.439999999999</v>
      </c>
      <c r="AV59" s="2">
        <v>7424.83</v>
      </c>
      <c r="AW59" s="2">
        <v>1264.73</v>
      </c>
      <c r="AX59" s="2">
        <v>3835.09</v>
      </c>
      <c r="AY59" s="2">
        <v>3199.05</v>
      </c>
      <c r="AZ59" s="2">
        <v>2587.77</v>
      </c>
      <c r="BA59" s="2">
        <v>2301.66</v>
      </c>
      <c r="BB59" s="2">
        <v>1745.08</v>
      </c>
      <c r="BC59" s="2">
        <v>7779.91</v>
      </c>
      <c r="BD59" s="2">
        <v>1919.72</v>
      </c>
      <c r="BE59" s="2">
        <v>4689.16</v>
      </c>
      <c r="BF59" s="2">
        <v>2053.87</v>
      </c>
      <c r="BG59" s="2">
        <v>1662.62</v>
      </c>
      <c r="BH59" s="2">
        <v>2714.18</v>
      </c>
      <c r="BI59" s="2">
        <v>1264.9100000000001</v>
      </c>
    </row>
    <row r="60" spans="1:61">
      <c r="A60" s="1">
        <v>57</v>
      </c>
      <c r="B60" s="2">
        <v>4318.71</v>
      </c>
      <c r="C60" s="2">
        <v>3679.25</v>
      </c>
      <c r="D60" s="2">
        <v>3126.3</v>
      </c>
      <c r="E60" s="2">
        <v>3988.41</v>
      </c>
      <c r="F60" s="2">
        <v>4641.99</v>
      </c>
      <c r="G60" s="2">
        <v>6432.72</v>
      </c>
      <c r="H60" s="2">
        <v>21964.18</v>
      </c>
      <c r="I60" s="2">
        <v>27486.01</v>
      </c>
      <c r="J60" s="2">
        <v>10580.02</v>
      </c>
      <c r="K60" s="2">
        <v>21786.58</v>
      </c>
      <c r="L60" s="2">
        <v>1994.38</v>
      </c>
      <c r="M60" s="2">
        <v>2829.76</v>
      </c>
      <c r="N60" s="2">
        <v>6012.88</v>
      </c>
      <c r="O60" s="2">
        <v>10898.74</v>
      </c>
      <c r="P60" s="2">
        <v>13042.95</v>
      </c>
      <c r="Q60" s="2">
        <v>5215.12</v>
      </c>
      <c r="R60" s="2">
        <v>6223.87</v>
      </c>
      <c r="S60" s="2">
        <v>6916.28</v>
      </c>
      <c r="T60" s="2">
        <v>5486.79</v>
      </c>
      <c r="U60" s="2">
        <v>10113.59</v>
      </c>
      <c r="V60" s="2">
        <v>16198.2</v>
      </c>
      <c r="W60" s="2">
        <v>37237.25</v>
      </c>
      <c r="X60" s="2">
        <v>63746.54</v>
      </c>
      <c r="Y60" s="2">
        <v>47918.31</v>
      </c>
      <c r="Z60" s="2">
        <v>36304.120000000003</v>
      </c>
      <c r="AA60" s="2">
        <v>40404.93</v>
      </c>
      <c r="AB60" s="2">
        <v>8661.44</v>
      </c>
      <c r="AC60" s="2">
        <v>3956.69</v>
      </c>
      <c r="AD60" s="2">
        <v>35328.68</v>
      </c>
      <c r="AE60" s="2">
        <v>7610.16</v>
      </c>
      <c r="AF60" s="2">
        <v>5732.89</v>
      </c>
      <c r="AG60" s="2">
        <v>19663.560000000001</v>
      </c>
      <c r="AH60" s="2">
        <v>13511.92</v>
      </c>
      <c r="AI60" s="2">
        <v>12059.65</v>
      </c>
      <c r="AJ60" s="2">
        <v>8904.86</v>
      </c>
      <c r="AK60" s="2">
        <v>3406</v>
      </c>
      <c r="AL60" s="2">
        <v>2379.11</v>
      </c>
      <c r="AM60" s="2">
        <v>2387</v>
      </c>
      <c r="AN60" s="2">
        <v>7937.85</v>
      </c>
      <c r="AO60" s="2">
        <v>6674.04</v>
      </c>
      <c r="AP60" s="2">
        <v>2630.39</v>
      </c>
      <c r="AQ60" s="2">
        <v>4527.43</v>
      </c>
      <c r="AR60" s="2">
        <v>4686.04</v>
      </c>
      <c r="AS60" s="2">
        <v>3769.43</v>
      </c>
      <c r="AT60" s="2">
        <v>6754.47</v>
      </c>
      <c r="AU60" s="2">
        <v>16263.12</v>
      </c>
      <c r="AV60" s="2">
        <v>10202.32</v>
      </c>
      <c r="AW60" s="2">
        <v>1749.19</v>
      </c>
      <c r="AX60" s="2">
        <v>4655.13</v>
      </c>
      <c r="AY60" s="2">
        <v>3903.35</v>
      </c>
      <c r="AZ60" s="2">
        <v>3556.27</v>
      </c>
      <c r="BA60" s="2">
        <v>2519.5500000000002</v>
      </c>
      <c r="BB60" s="2">
        <v>1774.96</v>
      </c>
      <c r="BC60" s="2">
        <v>9241.57</v>
      </c>
      <c r="BD60" s="2">
        <v>2401.9299999999998</v>
      </c>
      <c r="BE60" s="2">
        <v>5618.16</v>
      </c>
      <c r="BF60" s="2">
        <v>2529.59</v>
      </c>
      <c r="BG60" s="2">
        <v>2026.66</v>
      </c>
      <c r="BH60" s="2">
        <v>3403.53</v>
      </c>
      <c r="BI60" s="2">
        <v>1369.03</v>
      </c>
    </row>
    <row r="61" spans="1:61">
      <c r="A61" s="1">
        <v>58</v>
      </c>
      <c r="B61" s="2">
        <v>5216.1899999999996</v>
      </c>
      <c r="C61" s="2">
        <v>4468.78</v>
      </c>
      <c r="D61" s="2">
        <v>3565.05</v>
      </c>
      <c r="E61" s="2">
        <v>3542.55</v>
      </c>
      <c r="F61" s="2">
        <v>4653.37</v>
      </c>
      <c r="G61" s="2">
        <v>7198.59</v>
      </c>
      <c r="H61" s="2">
        <v>25912.98</v>
      </c>
      <c r="I61" s="2">
        <v>31109.29</v>
      </c>
      <c r="J61" s="2">
        <v>12569.34</v>
      </c>
      <c r="K61" s="2">
        <v>27301.67</v>
      </c>
      <c r="L61" s="2">
        <v>2186.08</v>
      </c>
      <c r="M61" s="2">
        <v>3220.85</v>
      </c>
      <c r="N61" s="2">
        <v>6772.13</v>
      </c>
      <c r="O61" s="2">
        <v>12564.97</v>
      </c>
      <c r="P61" s="2">
        <v>14805.53</v>
      </c>
      <c r="Q61" s="2">
        <v>5980.05</v>
      </c>
      <c r="R61" s="2">
        <v>8804.99</v>
      </c>
      <c r="S61" s="2">
        <v>8280.0499999999993</v>
      </c>
      <c r="T61" s="2">
        <v>5956.24</v>
      </c>
      <c r="U61" s="2">
        <v>11406.52</v>
      </c>
      <c r="V61" s="2">
        <v>17338.39</v>
      </c>
      <c r="W61" s="2">
        <v>39175.019999999997</v>
      </c>
      <c r="X61" s="2">
        <v>69014.789999999994</v>
      </c>
      <c r="Y61" s="2">
        <v>53142.1</v>
      </c>
      <c r="Z61" s="2">
        <v>41606.78</v>
      </c>
      <c r="AA61" s="2">
        <v>39776.53</v>
      </c>
      <c r="AB61" s="2">
        <v>10061.049999999999</v>
      </c>
      <c r="AC61" s="2">
        <v>4148.01</v>
      </c>
      <c r="AD61" s="2">
        <v>39590.730000000003</v>
      </c>
      <c r="AE61" s="2">
        <v>9630.7199999999993</v>
      </c>
      <c r="AF61" s="2">
        <v>6733.06</v>
      </c>
      <c r="AG61" s="2">
        <v>24771.68</v>
      </c>
      <c r="AH61" s="2">
        <v>17186.349999999999</v>
      </c>
      <c r="AI61" s="2">
        <v>12666.96</v>
      </c>
      <c r="AJ61" s="2">
        <v>11580.32</v>
      </c>
      <c r="AK61" s="2">
        <v>3587.72</v>
      </c>
      <c r="AL61" s="2">
        <v>2672.13</v>
      </c>
      <c r="AM61" s="2">
        <v>2748.49</v>
      </c>
      <c r="AN61" s="2">
        <v>8238.8700000000008</v>
      </c>
      <c r="AO61" s="2">
        <v>6451.19</v>
      </c>
      <c r="AP61" s="2">
        <v>2950.43</v>
      </c>
      <c r="AQ61" s="2">
        <v>5454.06</v>
      </c>
      <c r="AR61" s="2">
        <v>4817.6400000000003</v>
      </c>
      <c r="AS61" s="2">
        <v>3771.13</v>
      </c>
      <c r="AT61" s="2">
        <v>8049.35</v>
      </c>
      <c r="AU61" s="2">
        <v>20126.919999999998</v>
      </c>
      <c r="AV61" s="2">
        <v>11431.29</v>
      </c>
      <c r="AW61" s="2">
        <v>1810.36</v>
      </c>
      <c r="AX61" s="2">
        <v>5375.73</v>
      </c>
      <c r="AY61" s="2">
        <v>4526.88</v>
      </c>
      <c r="AZ61" s="2">
        <v>4217.55</v>
      </c>
      <c r="BA61" s="2">
        <v>3403.22</v>
      </c>
      <c r="BB61" s="2">
        <v>2562.0500000000002</v>
      </c>
      <c r="BC61" s="2">
        <v>11427.33</v>
      </c>
      <c r="BD61" s="2">
        <v>2665.37</v>
      </c>
      <c r="BE61" s="2">
        <v>6645.85</v>
      </c>
      <c r="BF61" s="2">
        <v>3445.7</v>
      </c>
      <c r="BG61" s="2">
        <v>2452.4</v>
      </c>
      <c r="BH61" s="2">
        <v>3597.41</v>
      </c>
      <c r="BI61" s="2">
        <v>1625.16</v>
      </c>
    </row>
    <row r="62" spans="1:61">
      <c r="A62" s="1">
        <v>59</v>
      </c>
      <c r="B62" s="2">
        <v>3401.71</v>
      </c>
      <c r="C62" s="2">
        <v>3196.22</v>
      </c>
      <c r="D62" s="2">
        <v>2628.93</v>
      </c>
      <c r="E62" s="2">
        <v>2749.05</v>
      </c>
      <c r="F62" s="2">
        <v>2893.85</v>
      </c>
      <c r="G62" s="2">
        <v>5988.4</v>
      </c>
      <c r="H62" s="2">
        <v>21514.76</v>
      </c>
      <c r="I62" s="2">
        <v>27373.96</v>
      </c>
      <c r="J62" s="2">
        <v>9262.2199999999993</v>
      </c>
      <c r="K62" s="2">
        <v>20670.849999999999</v>
      </c>
      <c r="L62" s="2">
        <v>1969.68</v>
      </c>
      <c r="M62" s="2">
        <v>2481.75</v>
      </c>
      <c r="N62" s="2">
        <v>6090.42</v>
      </c>
      <c r="O62" s="2">
        <v>11499.17</v>
      </c>
      <c r="P62" s="2">
        <v>11755.44</v>
      </c>
      <c r="Q62" s="2">
        <v>4722.18</v>
      </c>
      <c r="R62" s="2">
        <v>5324.89</v>
      </c>
      <c r="S62" s="2">
        <v>6478.88</v>
      </c>
      <c r="T62" s="2">
        <v>4484.75</v>
      </c>
      <c r="U62" s="2">
        <v>7925.61</v>
      </c>
      <c r="V62" s="2">
        <v>13240.48</v>
      </c>
      <c r="W62" s="2">
        <v>30571.63</v>
      </c>
      <c r="X62" s="2">
        <v>55402.73</v>
      </c>
      <c r="Y62" s="2">
        <v>40047.410000000003</v>
      </c>
      <c r="Z62" s="2">
        <v>32477.35</v>
      </c>
      <c r="AA62" s="2">
        <v>34268.07</v>
      </c>
      <c r="AB62" s="2">
        <v>7406.33</v>
      </c>
      <c r="AC62" s="2">
        <v>3724.96</v>
      </c>
      <c r="AD62" s="2">
        <v>34607.760000000002</v>
      </c>
      <c r="AE62" s="2">
        <v>6304.94</v>
      </c>
      <c r="AF62" s="2">
        <v>5187.54</v>
      </c>
      <c r="AG62" s="2">
        <v>17611.53</v>
      </c>
      <c r="AH62" s="2">
        <v>14659.06</v>
      </c>
      <c r="AI62" s="2">
        <v>11129.47</v>
      </c>
      <c r="AJ62" s="2">
        <v>9071.26</v>
      </c>
      <c r="AK62" s="2">
        <v>3019.01</v>
      </c>
      <c r="AL62" s="2">
        <v>2026.27</v>
      </c>
      <c r="AM62" s="2">
        <v>2186.0300000000002</v>
      </c>
      <c r="AN62" s="2">
        <v>6993.37</v>
      </c>
      <c r="AO62" s="2">
        <v>4700.3</v>
      </c>
      <c r="AP62" s="2">
        <v>2454.88</v>
      </c>
      <c r="AQ62" s="2">
        <v>4565.59</v>
      </c>
      <c r="AR62" s="2">
        <v>3874.55</v>
      </c>
      <c r="AS62" s="2">
        <v>2719.21</v>
      </c>
      <c r="AT62" s="2">
        <v>6657.37</v>
      </c>
      <c r="AU62" s="2">
        <v>17488.060000000001</v>
      </c>
      <c r="AV62" s="2">
        <v>9292.1200000000008</v>
      </c>
      <c r="AW62" s="2">
        <v>1505.33</v>
      </c>
      <c r="AX62" s="2">
        <v>4864.0200000000004</v>
      </c>
      <c r="AY62" s="2">
        <v>3595.63</v>
      </c>
      <c r="AZ62" s="2">
        <v>3020.34</v>
      </c>
      <c r="BA62" s="2">
        <v>2411.1</v>
      </c>
      <c r="BB62" s="2">
        <v>2320</v>
      </c>
      <c r="BC62" s="2">
        <v>8603.35</v>
      </c>
      <c r="BD62" s="2">
        <v>2272.41</v>
      </c>
      <c r="BE62" s="2">
        <v>4566.4399999999996</v>
      </c>
      <c r="BF62" s="2">
        <v>3053.77</v>
      </c>
      <c r="BG62" s="2">
        <v>1706.39</v>
      </c>
      <c r="BH62" s="2">
        <v>3188.94</v>
      </c>
      <c r="BI62" s="2">
        <v>1236.33</v>
      </c>
    </row>
    <row r="63" spans="1:61">
      <c r="A63" s="1">
        <v>60</v>
      </c>
      <c r="B63" s="2">
        <v>3819.11</v>
      </c>
      <c r="C63" s="2">
        <v>3090.7</v>
      </c>
      <c r="D63" s="2">
        <v>2613.9899999999998</v>
      </c>
      <c r="E63" s="2">
        <v>2534.2399999999998</v>
      </c>
      <c r="F63" s="2">
        <v>2848.73</v>
      </c>
      <c r="G63" s="2">
        <v>5468.15</v>
      </c>
      <c r="H63" s="2">
        <v>16621.48</v>
      </c>
      <c r="I63" s="2">
        <v>22707.27</v>
      </c>
      <c r="J63" s="2">
        <v>8186.28</v>
      </c>
      <c r="K63" s="2">
        <v>14897.4</v>
      </c>
      <c r="L63" s="2">
        <v>1646.78</v>
      </c>
      <c r="M63" s="2">
        <v>1817.85</v>
      </c>
      <c r="N63" s="2">
        <v>4051.75</v>
      </c>
      <c r="O63" s="2">
        <v>9310.01</v>
      </c>
      <c r="P63" s="2">
        <v>9702.11</v>
      </c>
      <c r="Q63" s="2">
        <v>3102.82</v>
      </c>
      <c r="R63" s="2">
        <v>5204.59</v>
      </c>
      <c r="S63" s="2">
        <v>4294.3900000000003</v>
      </c>
      <c r="T63" s="2">
        <v>4140.13</v>
      </c>
      <c r="U63" s="2">
        <v>6918.38</v>
      </c>
      <c r="V63" s="2">
        <v>9218.07</v>
      </c>
      <c r="W63" s="2">
        <v>28012.59</v>
      </c>
      <c r="X63" s="2">
        <v>46415.19</v>
      </c>
      <c r="Y63" s="2">
        <v>28958.54</v>
      </c>
      <c r="Z63" s="2">
        <v>25891.279999999999</v>
      </c>
      <c r="AA63" s="2">
        <v>25884.79</v>
      </c>
      <c r="AB63" s="2">
        <v>6754.93</v>
      </c>
      <c r="AC63" s="2">
        <v>2324.25</v>
      </c>
      <c r="AD63" s="2">
        <v>23662.32</v>
      </c>
      <c r="AE63" s="2">
        <v>6080.98</v>
      </c>
      <c r="AF63" s="2">
        <v>4474.7700000000004</v>
      </c>
      <c r="AG63" s="2">
        <v>15963.04</v>
      </c>
      <c r="AH63" s="2">
        <v>9216.82</v>
      </c>
      <c r="AI63" s="2">
        <v>8987.81</v>
      </c>
      <c r="AJ63" s="2">
        <v>6959.59</v>
      </c>
      <c r="AK63" s="2">
        <v>2290.13</v>
      </c>
      <c r="AL63" s="2">
        <v>1811.71</v>
      </c>
      <c r="AM63" s="2">
        <v>1660.29</v>
      </c>
      <c r="AN63" s="2">
        <v>5066.37</v>
      </c>
      <c r="AO63" s="2">
        <v>4209.03</v>
      </c>
      <c r="AP63" s="2">
        <v>1943.1</v>
      </c>
      <c r="AQ63" s="2">
        <v>3188.94</v>
      </c>
      <c r="AR63" s="2">
        <v>3341.72</v>
      </c>
      <c r="AS63" s="2">
        <v>2436.42</v>
      </c>
      <c r="AT63" s="2">
        <v>6182.49</v>
      </c>
      <c r="AU63" s="2">
        <v>14281.08</v>
      </c>
      <c r="AV63" s="2">
        <v>7181.9</v>
      </c>
      <c r="AW63" s="2">
        <v>1297.44</v>
      </c>
      <c r="AX63" s="2">
        <v>3196.41</v>
      </c>
      <c r="AY63" s="2">
        <v>2826.75</v>
      </c>
      <c r="AZ63" s="2">
        <v>2576.8200000000002</v>
      </c>
      <c r="BA63" s="2">
        <v>1973.61</v>
      </c>
      <c r="BB63" s="2">
        <v>1600.47</v>
      </c>
      <c r="BC63" s="2">
        <v>6018.2</v>
      </c>
      <c r="BD63" s="2">
        <v>1893.53</v>
      </c>
      <c r="BE63" s="2">
        <v>3829.16</v>
      </c>
      <c r="BF63" s="2">
        <v>2400.7399999999998</v>
      </c>
      <c r="BG63" s="2">
        <v>1391.04</v>
      </c>
      <c r="BH63" s="2">
        <v>2329.59</v>
      </c>
      <c r="BI63" s="2">
        <v>895.54</v>
      </c>
    </row>
    <row r="64" spans="1:61">
      <c r="A64" s="1">
        <v>61</v>
      </c>
      <c r="B64" s="2">
        <v>2733.09</v>
      </c>
      <c r="C64" s="2">
        <v>2407.89</v>
      </c>
      <c r="D64" s="2">
        <v>2507.5</v>
      </c>
      <c r="E64" s="2">
        <v>2245.52</v>
      </c>
      <c r="F64" s="2">
        <v>2138.6799999999998</v>
      </c>
      <c r="G64" s="2">
        <v>4374.22</v>
      </c>
      <c r="H64" s="2">
        <v>17572.39</v>
      </c>
      <c r="I64" s="2">
        <v>22179.439999999999</v>
      </c>
      <c r="J64" s="2">
        <v>9145.73</v>
      </c>
      <c r="K64" s="2">
        <v>15869.25</v>
      </c>
      <c r="L64" s="2">
        <v>1678.48</v>
      </c>
      <c r="M64" s="2">
        <v>2171.1799999999998</v>
      </c>
      <c r="N64" s="2">
        <v>4907.7700000000004</v>
      </c>
      <c r="O64" s="2">
        <v>6853.7</v>
      </c>
      <c r="P64" s="2">
        <v>10059.959999999999</v>
      </c>
      <c r="Q64" s="2">
        <v>3376.48</v>
      </c>
      <c r="R64" s="2">
        <v>4356.95</v>
      </c>
      <c r="S64" s="2">
        <v>5077.1099999999997</v>
      </c>
      <c r="T64" s="2">
        <v>3479.55</v>
      </c>
      <c r="U64" s="2">
        <v>6981.26</v>
      </c>
      <c r="V64" s="2">
        <v>10701.52</v>
      </c>
      <c r="W64" s="2">
        <v>25338.91</v>
      </c>
      <c r="X64" s="2">
        <v>44587.040000000001</v>
      </c>
      <c r="Y64" s="2">
        <v>28051</v>
      </c>
      <c r="Z64" s="2">
        <v>31265.15</v>
      </c>
      <c r="AA64" s="2">
        <v>31219.93</v>
      </c>
      <c r="AB64" s="2">
        <v>5871.92</v>
      </c>
      <c r="AC64" s="2">
        <v>2662.47</v>
      </c>
      <c r="AD64" s="2">
        <v>24553.85</v>
      </c>
      <c r="AE64" s="2">
        <v>5958.78</v>
      </c>
      <c r="AF64" s="2">
        <v>3777.69</v>
      </c>
      <c r="AG64" s="2">
        <v>16566.72</v>
      </c>
      <c r="AH64" s="2">
        <v>12223.1</v>
      </c>
      <c r="AI64" s="2">
        <v>7701.89</v>
      </c>
      <c r="AJ64" s="2">
        <v>7943.78</v>
      </c>
      <c r="AK64" s="2">
        <v>2611.02</v>
      </c>
      <c r="AL64" s="2">
        <v>1542.08</v>
      </c>
      <c r="AM64" s="2">
        <v>1558.79</v>
      </c>
      <c r="AN64" s="2">
        <v>5949.9</v>
      </c>
      <c r="AO64" s="2">
        <v>5065.3900000000003</v>
      </c>
      <c r="AP64" s="2">
        <v>1872.98</v>
      </c>
      <c r="AQ64" s="2">
        <v>3552.66</v>
      </c>
      <c r="AR64" s="2">
        <v>3174.31</v>
      </c>
      <c r="AS64" s="2">
        <v>2371.87</v>
      </c>
      <c r="AT64" s="2">
        <v>4444.3900000000003</v>
      </c>
      <c r="AU64" s="2">
        <v>12639.84</v>
      </c>
      <c r="AV64" s="2">
        <v>6705.24</v>
      </c>
      <c r="AW64" s="2">
        <v>1219.46</v>
      </c>
      <c r="AX64" s="2">
        <v>3493.26</v>
      </c>
      <c r="AY64" s="2">
        <v>2779.45</v>
      </c>
      <c r="AZ64" s="2">
        <v>2470.61</v>
      </c>
      <c r="BA64" s="2">
        <v>2278.5700000000002</v>
      </c>
      <c r="BB64" s="2">
        <v>1604.56</v>
      </c>
      <c r="BC64" s="2">
        <v>7293.73</v>
      </c>
      <c r="BD64" s="2">
        <v>1720.18</v>
      </c>
      <c r="BE64" s="2">
        <v>3613.06</v>
      </c>
      <c r="BF64" s="2">
        <v>2476.13</v>
      </c>
      <c r="BG64" s="2">
        <v>1517.96</v>
      </c>
      <c r="BH64" s="2">
        <v>2449.58</v>
      </c>
      <c r="BI64" s="2">
        <v>1040.5999999999999</v>
      </c>
    </row>
    <row r="65" spans="1:61">
      <c r="A65" s="1">
        <v>62</v>
      </c>
      <c r="B65" s="2">
        <v>3127.89</v>
      </c>
      <c r="C65" s="2">
        <v>2461</v>
      </c>
      <c r="D65" s="2">
        <v>2652.8</v>
      </c>
      <c r="E65" s="2">
        <v>2191.48</v>
      </c>
      <c r="F65" s="2">
        <v>2794.32</v>
      </c>
      <c r="G65" s="2">
        <v>5270.31</v>
      </c>
      <c r="H65" s="2">
        <v>18465.919999999998</v>
      </c>
      <c r="I65" s="2">
        <v>22596.16</v>
      </c>
      <c r="J65" s="2">
        <v>8445.32</v>
      </c>
      <c r="K65" s="2">
        <v>13785.78</v>
      </c>
      <c r="L65" s="2">
        <v>1547.8</v>
      </c>
      <c r="M65" s="2">
        <v>2158.7800000000002</v>
      </c>
      <c r="N65" s="2">
        <v>4523.66</v>
      </c>
      <c r="O65" s="2">
        <v>8226.19</v>
      </c>
      <c r="P65" s="2">
        <v>9511.39</v>
      </c>
      <c r="Q65" s="2">
        <v>3489.72</v>
      </c>
      <c r="R65" s="2">
        <v>5519.42</v>
      </c>
      <c r="S65" s="2">
        <v>4906.43</v>
      </c>
      <c r="T65" s="2">
        <v>3269.32</v>
      </c>
      <c r="U65" s="2">
        <v>8218.5</v>
      </c>
      <c r="V65" s="2">
        <v>11080.11</v>
      </c>
      <c r="W65" s="2">
        <v>30912.3</v>
      </c>
      <c r="X65" s="2">
        <v>42692.23</v>
      </c>
      <c r="Y65" s="2">
        <v>34252.480000000003</v>
      </c>
      <c r="Z65" s="2">
        <v>31906.57</v>
      </c>
      <c r="AA65" s="2">
        <v>23867.78</v>
      </c>
      <c r="AB65" s="2">
        <v>6026.04</v>
      </c>
      <c r="AC65" s="2">
        <v>2915.31</v>
      </c>
      <c r="AD65" s="2">
        <v>23415.9</v>
      </c>
      <c r="AE65" s="2">
        <v>5590.66</v>
      </c>
      <c r="AF65" s="2">
        <v>4674.42</v>
      </c>
      <c r="AG65" s="2">
        <v>18586.8</v>
      </c>
      <c r="AH65" s="2">
        <v>9902.44</v>
      </c>
      <c r="AI65" s="2">
        <v>9444.02</v>
      </c>
      <c r="AJ65" s="2">
        <v>7232.35</v>
      </c>
      <c r="AK65" s="2">
        <v>2342.81</v>
      </c>
      <c r="AL65" s="2">
        <v>1560.73</v>
      </c>
      <c r="AM65" s="2">
        <v>1969.78</v>
      </c>
      <c r="AN65" s="2">
        <v>6060.44</v>
      </c>
      <c r="AO65" s="2">
        <v>4605.8</v>
      </c>
      <c r="AP65" s="2">
        <v>2054.23</v>
      </c>
      <c r="AQ65" s="2">
        <v>3413.59</v>
      </c>
      <c r="AR65" s="2">
        <v>3139.84</v>
      </c>
      <c r="AS65" s="2">
        <v>2468.81</v>
      </c>
      <c r="AT65" s="2">
        <v>5227.22</v>
      </c>
      <c r="AU65" s="2">
        <v>14887.79</v>
      </c>
      <c r="AV65" s="2">
        <v>7331.9</v>
      </c>
      <c r="AW65" s="2">
        <v>1277.69</v>
      </c>
      <c r="AX65" s="2">
        <v>3858.88</v>
      </c>
      <c r="AY65" s="2">
        <v>2527.7600000000002</v>
      </c>
      <c r="AZ65" s="2">
        <v>2339.0500000000002</v>
      </c>
      <c r="BA65" s="2">
        <v>1703.2</v>
      </c>
      <c r="BB65" s="2">
        <v>1682.08</v>
      </c>
      <c r="BC65" s="2">
        <v>6842.91</v>
      </c>
      <c r="BD65" s="2">
        <v>1876.81</v>
      </c>
      <c r="BE65" s="2">
        <v>4172.46</v>
      </c>
      <c r="BF65" s="2">
        <v>1997.52</v>
      </c>
      <c r="BG65" s="2">
        <v>1703.53</v>
      </c>
      <c r="BH65" s="2">
        <v>2489.86</v>
      </c>
      <c r="BI65" s="2">
        <v>992.37</v>
      </c>
    </row>
    <row r="66" spans="1:61">
      <c r="A66" s="1">
        <v>63</v>
      </c>
      <c r="B66" s="2">
        <v>3820.95</v>
      </c>
      <c r="C66" s="2">
        <v>2938.02</v>
      </c>
      <c r="D66" s="2">
        <v>2441.46</v>
      </c>
      <c r="E66" s="2">
        <v>2686.89</v>
      </c>
      <c r="F66" s="2">
        <v>3328.83</v>
      </c>
      <c r="G66" s="2">
        <v>5079.8</v>
      </c>
      <c r="H66" s="2">
        <v>18810.28</v>
      </c>
      <c r="I66" s="2">
        <v>18827.18</v>
      </c>
      <c r="J66" s="2">
        <v>7229.95</v>
      </c>
      <c r="K66" s="2">
        <v>17427.099999999999</v>
      </c>
      <c r="L66" s="2">
        <v>1454.49</v>
      </c>
      <c r="M66" s="2">
        <v>2049.42</v>
      </c>
      <c r="N66" s="2">
        <v>5643.57</v>
      </c>
      <c r="O66" s="2">
        <v>9887.4599999999991</v>
      </c>
      <c r="P66" s="2">
        <v>9406.44</v>
      </c>
      <c r="Q66" s="2">
        <v>3637.96</v>
      </c>
      <c r="R66" s="2">
        <v>5098.3</v>
      </c>
      <c r="S66" s="2">
        <v>5513.05</v>
      </c>
      <c r="T66" s="2">
        <v>3589.98</v>
      </c>
      <c r="U66" s="2">
        <v>8840.49</v>
      </c>
      <c r="V66" s="2">
        <v>10646.54</v>
      </c>
      <c r="W66" s="2">
        <v>30747.09</v>
      </c>
      <c r="X66" s="2">
        <v>49404.92</v>
      </c>
      <c r="Y66" s="2">
        <v>36312.39</v>
      </c>
      <c r="Z66" s="2">
        <v>32460</v>
      </c>
      <c r="AA66" s="2">
        <v>27620.39</v>
      </c>
      <c r="AB66" s="2">
        <v>6845.76</v>
      </c>
      <c r="AC66" s="2">
        <v>2794.98</v>
      </c>
      <c r="AD66" s="2">
        <v>23926.01</v>
      </c>
      <c r="AE66" s="2">
        <v>5417.86</v>
      </c>
      <c r="AF66" s="2">
        <v>4398.5600000000004</v>
      </c>
      <c r="AG66" s="2">
        <v>17935.48</v>
      </c>
      <c r="AH66" s="2">
        <v>10839.48</v>
      </c>
      <c r="AI66" s="2">
        <v>10522.5</v>
      </c>
      <c r="AJ66" s="2">
        <v>7973.43</v>
      </c>
      <c r="AK66" s="2">
        <v>2932.04</v>
      </c>
      <c r="AL66" s="2">
        <v>1813.01</v>
      </c>
      <c r="AM66" s="2">
        <v>1888.42</v>
      </c>
      <c r="AN66" s="2">
        <v>6433</v>
      </c>
      <c r="AO66" s="2">
        <v>5891.38</v>
      </c>
      <c r="AP66" s="2">
        <v>2419.7600000000002</v>
      </c>
      <c r="AQ66" s="2">
        <v>3700.81</v>
      </c>
      <c r="AR66" s="2">
        <v>3606.02</v>
      </c>
      <c r="AS66" s="2">
        <v>2580.56</v>
      </c>
      <c r="AT66" s="2">
        <v>5510.58</v>
      </c>
      <c r="AU66" s="2">
        <v>14340.62</v>
      </c>
      <c r="AV66" s="2">
        <v>8831.1299999999992</v>
      </c>
      <c r="AW66" s="2">
        <v>1480.67</v>
      </c>
      <c r="AX66" s="2">
        <v>3573.55</v>
      </c>
      <c r="AY66" s="2">
        <v>2589.69</v>
      </c>
      <c r="AZ66" s="2">
        <v>2547.5</v>
      </c>
      <c r="BA66" s="2">
        <v>2161.6</v>
      </c>
      <c r="BB66" s="2">
        <v>1829.74</v>
      </c>
      <c r="BC66" s="2">
        <v>7368.22</v>
      </c>
      <c r="BD66" s="2">
        <v>1862.21</v>
      </c>
      <c r="BE66" s="2">
        <v>4892.62</v>
      </c>
      <c r="BF66" s="2">
        <v>2401.81</v>
      </c>
      <c r="BG66" s="2">
        <v>1730.38</v>
      </c>
      <c r="BH66" s="2">
        <v>2250.77</v>
      </c>
      <c r="BI66" s="2">
        <v>1161.78</v>
      </c>
    </row>
    <row r="67" spans="1:61">
      <c r="A67" s="1">
        <v>64</v>
      </c>
      <c r="B67" s="2">
        <v>4312.41</v>
      </c>
      <c r="C67" s="2">
        <v>3757.92</v>
      </c>
      <c r="D67" s="2">
        <v>3080.82</v>
      </c>
      <c r="E67" s="2">
        <v>3059.42</v>
      </c>
      <c r="F67" s="2">
        <v>3587.77</v>
      </c>
      <c r="G67" s="2">
        <v>7232.86</v>
      </c>
      <c r="H67" s="2">
        <v>23573.48</v>
      </c>
      <c r="I67" s="2">
        <v>30130.39</v>
      </c>
      <c r="J67" s="2">
        <v>10466.68</v>
      </c>
      <c r="K67" s="2">
        <v>23135.63</v>
      </c>
      <c r="L67" s="2">
        <v>2137.2199999999998</v>
      </c>
      <c r="M67" s="2">
        <v>2555.98</v>
      </c>
      <c r="N67" s="2">
        <v>6214.31</v>
      </c>
      <c r="O67" s="2">
        <v>11132.14</v>
      </c>
      <c r="P67" s="2">
        <v>12999.31</v>
      </c>
      <c r="Q67" s="2">
        <v>4913.83</v>
      </c>
      <c r="R67" s="2">
        <v>6713.91</v>
      </c>
      <c r="S67" s="2">
        <v>6401.58</v>
      </c>
      <c r="T67" s="2">
        <v>4577.6099999999997</v>
      </c>
      <c r="U67" s="2">
        <v>9842.2999999999993</v>
      </c>
      <c r="V67" s="2">
        <v>13223.26</v>
      </c>
      <c r="W67" s="2">
        <v>38473.449999999997</v>
      </c>
      <c r="X67" s="2">
        <v>58838.59</v>
      </c>
      <c r="Y67" s="2">
        <v>46235.03</v>
      </c>
      <c r="Z67" s="2">
        <v>34811.54</v>
      </c>
      <c r="AA67" s="2">
        <v>39595.47</v>
      </c>
      <c r="AB67" s="2">
        <v>9245.48</v>
      </c>
      <c r="AC67" s="2">
        <v>3513.82</v>
      </c>
      <c r="AD67" s="2">
        <v>31670.09</v>
      </c>
      <c r="AE67" s="2">
        <v>7615.57</v>
      </c>
      <c r="AF67" s="2">
        <v>5396</v>
      </c>
      <c r="AG67" s="2">
        <v>22702.3</v>
      </c>
      <c r="AH67" s="2">
        <v>14312.3</v>
      </c>
      <c r="AI67" s="2">
        <v>12250.14</v>
      </c>
      <c r="AJ67" s="2">
        <v>10155.620000000001</v>
      </c>
      <c r="AK67" s="2">
        <v>3438.41</v>
      </c>
      <c r="AL67" s="2">
        <v>2296.14</v>
      </c>
      <c r="AM67" s="2">
        <v>2280.41</v>
      </c>
      <c r="AN67" s="2">
        <v>7169.11</v>
      </c>
      <c r="AO67" s="2">
        <v>6438.74</v>
      </c>
      <c r="AP67" s="2">
        <v>2709.38</v>
      </c>
      <c r="AQ67" s="2">
        <v>4590.71</v>
      </c>
      <c r="AR67" s="2">
        <v>4121.7</v>
      </c>
      <c r="AS67" s="2">
        <v>3117.01</v>
      </c>
      <c r="AT67" s="2">
        <v>7514.31</v>
      </c>
      <c r="AU67" s="2">
        <v>18353.5</v>
      </c>
      <c r="AV67" s="2">
        <v>9450.94</v>
      </c>
      <c r="AW67" s="2">
        <v>1457.99</v>
      </c>
      <c r="AX67" s="2">
        <v>4944.97</v>
      </c>
      <c r="AY67" s="2">
        <v>3835.19</v>
      </c>
      <c r="AZ67" s="2">
        <v>2925.84</v>
      </c>
      <c r="BA67" s="2">
        <v>2886.48</v>
      </c>
      <c r="BB67" s="2">
        <v>2066.66</v>
      </c>
      <c r="BC67" s="2">
        <v>9244.7000000000007</v>
      </c>
      <c r="BD67" s="2">
        <v>2398.59</v>
      </c>
      <c r="BE67" s="2">
        <v>5301.67</v>
      </c>
      <c r="BF67" s="2">
        <v>2771.45</v>
      </c>
      <c r="BG67" s="2">
        <v>1989.45</v>
      </c>
      <c r="BH67" s="2">
        <v>3079.65</v>
      </c>
      <c r="BI67" s="2">
        <v>1367.82</v>
      </c>
    </row>
    <row r="68" spans="1:61">
      <c r="A68" s="1">
        <v>65</v>
      </c>
      <c r="B68" s="2">
        <v>4607.4399999999996</v>
      </c>
      <c r="C68" s="2">
        <v>4334.79</v>
      </c>
      <c r="D68" s="2">
        <v>4248.84</v>
      </c>
      <c r="E68" s="2">
        <v>3849.36</v>
      </c>
      <c r="F68" s="2">
        <v>3922.8</v>
      </c>
      <c r="G68" s="2">
        <v>8653.5400000000009</v>
      </c>
      <c r="H68" s="2">
        <v>26612.84</v>
      </c>
      <c r="I68" s="2">
        <v>34518.35</v>
      </c>
      <c r="J68" s="2">
        <v>12507.6</v>
      </c>
      <c r="K68" s="2">
        <v>25911.13</v>
      </c>
      <c r="L68" s="2">
        <v>2493.61</v>
      </c>
      <c r="M68" s="2">
        <v>3021.67</v>
      </c>
      <c r="N68" s="2">
        <v>6556.55</v>
      </c>
      <c r="O68" s="2">
        <v>14553.99</v>
      </c>
      <c r="P68" s="2">
        <v>15441.74</v>
      </c>
      <c r="Q68" s="2">
        <v>5545.84</v>
      </c>
      <c r="R68" s="2">
        <v>8094.9</v>
      </c>
      <c r="S68" s="2">
        <v>7350.04</v>
      </c>
      <c r="T68" s="2">
        <v>5596.54</v>
      </c>
      <c r="U68" s="2">
        <v>11760.07</v>
      </c>
      <c r="V68" s="2">
        <v>16027.74</v>
      </c>
      <c r="W68" s="2">
        <v>41515.21</v>
      </c>
      <c r="X68" s="2">
        <v>72107.09</v>
      </c>
      <c r="Y68" s="2">
        <v>50014.69</v>
      </c>
      <c r="Z68" s="2">
        <v>45379.199999999997</v>
      </c>
      <c r="AA68" s="2">
        <v>44273.33</v>
      </c>
      <c r="AB68" s="2">
        <v>10204.19</v>
      </c>
      <c r="AC68" s="2">
        <v>4198.8</v>
      </c>
      <c r="AD68" s="2">
        <v>41132.18</v>
      </c>
      <c r="AE68" s="2">
        <v>8917.07</v>
      </c>
      <c r="AF68" s="2">
        <v>6270.44</v>
      </c>
      <c r="AG68" s="2">
        <v>24251.34</v>
      </c>
      <c r="AH68" s="2">
        <v>19511.84</v>
      </c>
      <c r="AI68" s="2">
        <v>14341.97</v>
      </c>
      <c r="AJ68" s="2">
        <v>11499.09</v>
      </c>
      <c r="AK68" s="2">
        <v>3479.88</v>
      </c>
      <c r="AL68" s="2">
        <v>2406.3000000000002</v>
      </c>
      <c r="AM68" s="2">
        <v>2641.8</v>
      </c>
      <c r="AN68" s="2">
        <v>9156.25</v>
      </c>
      <c r="AO68" s="2">
        <v>7015.45</v>
      </c>
      <c r="AP68" s="2">
        <v>3123.8</v>
      </c>
      <c r="AQ68" s="2">
        <v>5319.6</v>
      </c>
      <c r="AR68" s="2">
        <v>4625.71</v>
      </c>
      <c r="AS68" s="2">
        <v>3867.84</v>
      </c>
      <c r="AT68" s="2">
        <v>8650.7199999999993</v>
      </c>
      <c r="AU68" s="2">
        <v>20897.310000000001</v>
      </c>
      <c r="AV68" s="2">
        <v>9230.9</v>
      </c>
      <c r="AW68" s="2">
        <v>1646.06</v>
      </c>
      <c r="AX68" s="2">
        <v>5908.03</v>
      </c>
      <c r="AY68" s="2">
        <v>4482.4799999999996</v>
      </c>
      <c r="AZ68" s="2">
        <v>3391.17</v>
      </c>
      <c r="BA68" s="2">
        <v>2819.77</v>
      </c>
      <c r="BB68" s="2">
        <v>2737.99</v>
      </c>
      <c r="BC68" s="2">
        <v>11171.58</v>
      </c>
      <c r="BD68" s="2">
        <v>2619.46</v>
      </c>
      <c r="BE68" s="2">
        <v>6176.68</v>
      </c>
      <c r="BF68" s="2">
        <v>3618.44</v>
      </c>
      <c r="BG68" s="2">
        <v>2271.86</v>
      </c>
      <c r="BH68" s="2">
        <v>3810.91</v>
      </c>
      <c r="BI68" s="2">
        <v>1788.55</v>
      </c>
    </row>
    <row r="69" spans="1:61">
      <c r="A69" s="1">
        <v>66</v>
      </c>
      <c r="B69" s="2">
        <v>3887.63</v>
      </c>
      <c r="C69" s="2">
        <v>3051.56</v>
      </c>
      <c r="D69" s="2">
        <v>2834.94</v>
      </c>
      <c r="E69" s="2">
        <v>2960.6</v>
      </c>
      <c r="F69" s="2">
        <v>3096.7</v>
      </c>
      <c r="G69" s="2">
        <v>6094.62</v>
      </c>
      <c r="H69" s="2">
        <v>22641.79</v>
      </c>
      <c r="I69" s="2">
        <v>24489.02</v>
      </c>
      <c r="J69" s="2">
        <v>9296.27</v>
      </c>
      <c r="K69" s="2">
        <v>18802.93</v>
      </c>
      <c r="L69" s="2">
        <v>1934.17</v>
      </c>
      <c r="M69" s="2">
        <v>2552.1999999999998</v>
      </c>
      <c r="N69" s="2">
        <v>5610.85</v>
      </c>
      <c r="O69" s="2">
        <v>10217.549999999999</v>
      </c>
      <c r="P69" s="2">
        <v>11356.68</v>
      </c>
      <c r="Q69" s="2">
        <v>3881.55</v>
      </c>
      <c r="R69" s="2">
        <v>6432.76</v>
      </c>
      <c r="S69" s="2">
        <v>6000.48</v>
      </c>
      <c r="T69" s="2">
        <v>4144.3500000000004</v>
      </c>
      <c r="U69" s="2">
        <v>10019.82</v>
      </c>
      <c r="V69" s="2">
        <v>13823.91</v>
      </c>
      <c r="W69" s="2">
        <v>33231.199999999997</v>
      </c>
      <c r="X69" s="2">
        <v>52886.14</v>
      </c>
      <c r="Y69" s="2">
        <v>33251.67</v>
      </c>
      <c r="Z69" s="2">
        <v>30501.52</v>
      </c>
      <c r="AA69" s="2">
        <v>37647.71</v>
      </c>
      <c r="AB69" s="2">
        <v>6129.34</v>
      </c>
      <c r="AC69" s="2">
        <v>3423.94</v>
      </c>
      <c r="AD69" s="2">
        <v>28802.2</v>
      </c>
      <c r="AE69" s="2">
        <v>6495.4</v>
      </c>
      <c r="AF69" s="2">
        <v>5369.02</v>
      </c>
      <c r="AG69" s="2">
        <v>22109.5</v>
      </c>
      <c r="AH69" s="2">
        <v>12209.82</v>
      </c>
      <c r="AI69" s="2">
        <v>10415.48</v>
      </c>
      <c r="AJ69" s="2">
        <v>8020.28</v>
      </c>
      <c r="AK69" s="2">
        <v>3034.15</v>
      </c>
      <c r="AL69" s="2">
        <v>2093.9499999999998</v>
      </c>
      <c r="AM69" s="2">
        <v>1864.77</v>
      </c>
      <c r="AN69" s="2">
        <v>7623.77</v>
      </c>
      <c r="AO69" s="2">
        <v>6237.83</v>
      </c>
      <c r="AP69" s="2">
        <v>2200.33</v>
      </c>
      <c r="AQ69" s="2">
        <v>4206.78</v>
      </c>
      <c r="AR69" s="2">
        <v>3429.88</v>
      </c>
      <c r="AS69" s="2">
        <v>2719.01</v>
      </c>
      <c r="AT69" s="2">
        <v>6174.29</v>
      </c>
      <c r="AU69" s="2">
        <v>16461.650000000001</v>
      </c>
      <c r="AV69" s="2">
        <v>7372.64</v>
      </c>
      <c r="AW69" s="2">
        <v>1441.79</v>
      </c>
      <c r="AX69" s="2">
        <v>4412.91</v>
      </c>
      <c r="AY69" s="2">
        <v>3539.54</v>
      </c>
      <c r="AZ69" s="2">
        <v>2895.3</v>
      </c>
      <c r="BA69" s="2">
        <v>2365.63</v>
      </c>
      <c r="BB69" s="2">
        <v>2139.27</v>
      </c>
      <c r="BC69" s="2">
        <v>9311.0499999999993</v>
      </c>
      <c r="BD69" s="2">
        <v>1862.41</v>
      </c>
      <c r="BE69" s="2">
        <v>5429.57</v>
      </c>
      <c r="BF69" s="2">
        <v>2912.41</v>
      </c>
      <c r="BG69" s="2">
        <v>1912.01</v>
      </c>
      <c r="BH69" s="2">
        <v>2509.4499999999998</v>
      </c>
      <c r="BI69" s="2">
        <v>1282.33</v>
      </c>
    </row>
    <row r="70" spans="1:61">
      <c r="A70" s="1">
        <v>67</v>
      </c>
      <c r="B70" s="2">
        <v>2956.22</v>
      </c>
      <c r="C70" s="2">
        <v>2771.86</v>
      </c>
      <c r="D70" s="2">
        <v>2370.79</v>
      </c>
      <c r="E70" s="2">
        <v>2846.51</v>
      </c>
      <c r="F70" s="2">
        <v>2710.24</v>
      </c>
      <c r="G70" s="2">
        <v>6396.26</v>
      </c>
      <c r="H70" s="2">
        <v>19020.759999999998</v>
      </c>
      <c r="I70" s="2">
        <v>19999.27</v>
      </c>
      <c r="J70" s="2">
        <v>7007.53</v>
      </c>
      <c r="K70" s="2">
        <v>15478.85</v>
      </c>
      <c r="L70" s="2">
        <v>1691.89</v>
      </c>
      <c r="M70" s="2">
        <v>2255.54</v>
      </c>
      <c r="N70" s="2">
        <v>4758.88</v>
      </c>
      <c r="O70" s="2">
        <v>7318.92</v>
      </c>
      <c r="P70" s="2">
        <v>9099.8700000000008</v>
      </c>
      <c r="Q70" s="2">
        <v>3028.42</v>
      </c>
      <c r="R70" s="2">
        <v>4938.1400000000003</v>
      </c>
      <c r="S70" s="2">
        <v>5720.49</v>
      </c>
      <c r="T70" s="2">
        <v>3634.16</v>
      </c>
      <c r="U70" s="2">
        <v>6354.97</v>
      </c>
      <c r="V70" s="2">
        <v>12549.23</v>
      </c>
      <c r="W70" s="2">
        <v>29278.799999999999</v>
      </c>
      <c r="X70" s="2">
        <v>44481.06</v>
      </c>
      <c r="Y70" s="2">
        <v>34182.39</v>
      </c>
      <c r="Z70" s="2">
        <v>28277.919999999998</v>
      </c>
      <c r="AA70" s="2">
        <v>28940.01</v>
      </c>
      <c r="AB70" s="2">
        <v>6544.74</v>
      </c>
      <c r="AC70" s="2">
        <v>3079.92</v>
      </c>
      <c r="AD70" s="2">
        <v>23238.07</v>
      </c>
      <c r="AE70" s="2">
        <v>5741.55</v>
      </c>
      <c r="AF70" s="2">
        <v>3915.08</v>
      </c>
      <c r="AG70" s="2">
        <v>15078.61</v>
      </c>
      <c r="AH70" s="2">
        <v>12345.92</v>
      </c>
      <c r="AI70" s="2">
        <v>7821.13</v>
      </c>
      <c r="AJ70" s="2">
        <v>7186.35</v>
      </c>
      <c r="AK70" s="2">
        <v>2375.73</v>
      </c>
      <c r="AL70" s="2">
        <v>1737</v>
      </c>
      <c r="AM70" s="2">
        <v>1616.42</v>
      </c>
      <c r="AN70" s="2">
        <v>5993.41</v>
      </c>
      <c r="AO70" s="2">
        <v>4414.41</v>
      </c>
      <c r="AP70" s="2">
        <v>1898.71</v>
      </c>
      <c r="AQ70" s="2">
        <v>3688.41</v>
      </c>
      <c r="AR70" s="2">
        <v>2843.92</v>
      </c>
      <c r="AS70" s="2">
        <v>2453.4</v>
      </c>
      <c r="AT70" s="2">
        <v>5179.54</v>
      </c>
      <c r="AU70" s="2">
        <v>11819.69</v>
      </c>
      <c r="AV70" s="2">
        <v>7029.74</v>
      </c>
      <c r="AW70" s="2">
        <v>1217.02</v>
      </c>
      <c r="AX70" s="2">
        <v>3828.45</v>
      </c>
      <c r="AY70" s="2">
        <v>2853.56</v>
      </c>
      <c r="AZ70" s="2">
        <v>2576.86</v>
      </c>
      <c r="BA70" s="2">
        <v>1770.56</v>
      </c>
      <c r="BB70" s="2">
        <v>1528.96</v>
      </c>
      <c r="BC70" s="2">
        <v>6811.76</v>
      </c>
      <c r="BD70" s="2">
        <v>1806.59</v>
      </c>
      <c r="BE70" s="2">
        <v>4480.4799999999996</v>
      </c>
      <c r="BF70" s="2">
        <v>1973</v>
      </c>
      <c r="BG70" s="2">
        <v>1452.7</v>
      </c>
      <c r="BH70" s="2">
        <v>2530.06</v>
      </c>
      <c r="BI70" s="2">
        <v>1007.44</v>
      </c>
    </row>
    <row r="71" spans="1:61">
      <c r="A71" s="1">
        <v>68</v>
      </c>
      <c r="B71" s="2">
        <v>3762.03</v>
      </c>
      <c r="C71" s="2">
        <v>2942.37</v>
      </c>
      <c r="D71" s="2">
        <v>2658.95</v>
      </c>
      <c r="E71" s="2">
        <v>2394.35</v>
      </c>
      <c r="F71" s="2">
        <v>2758.78</v>
      </c>
      <c r="G71" s="2">
        <v>4604.2299999999996</v>
      </c>
      <c r="H71" s="2">
        <v>16806.080000000002</v>
      </c>
      <c r="I71" s="2">
        <v>23991.89</v>
      </c>
      <c r="J71" s="2">
        <v>7167.51</v>
      </c>
      <c r="K71" s="2">
        <v>12709.41</v>
      </c>
      <c r="L71" s="2">
        <v>1429.42</v>
      </c>
      <c r="M71" s="2">
        <v>1870.79</v>
      </c>
      <c r="N71" s="2">
        <v>4606.6499999999996</v>
      </c>
      <c r="O71" s="2">
        <v>7974.68</v>
      </c>
      <c r="P71" s="2">
        <v>7827.88</v>
      </c>
      <c r="Q71" s="2">
        <v>3168.54</v>
      </c>
      <c r="R71" s="2">
        <v>5185.57</v>
      </c>
      <c r="S71" s="2">
        <v>5557.9</v>
      </c>
      <c r="T71" s="2">
        <v>3659.44</v>
      </c>
      <c r="U71" s="2">
        <v>7195.84</v>
      </c>
      <c r="V71" s="2">
        <v>11208.1</v>
      </c>
      <c r="W71" s="2">
        <v>22674.61</v>
      </c>
      <c r="X71" s="2">
        <v>46850.29</v>
      </c>
      <c r="Y71" s="2">
        <v>28302.68</v>
      </c>
      <c r="Z71" s="2">
        <v>24963.81</v>
      </c>
      <c r="AA71" s="2">
        <v>28708.2</v>
      </c>
      <c r="AB71" s="2">
        <v>5871.49</v>
      </c>
      <c r="AC71" s="2">
        <v>2606.27</v>
      </c>
      <c r="AD71" s="2">
        <v>22767.47</v>
      </c>
      <c r="AE71" s="2">
        <v>5195.76</v>
      </c>
      <c r="AF71" s="2">
        <v>4314.16</v>
      </c>
      <c r="AG71" s="2">
        <v>13877.43</v>
      </c>
      <c r="AH71" s="2">
        <v>12236.33</v>
      </c>
      <c r="AI71" s="2">
        <v>8867.99</v>
      </c>
      <c r="AJ71" s="2">
        <v>6570.29</v>
      </c>
      <c r="AK71" s="2">
        <v>2895.74</v>
      </c>
      <c r="AL71" s="2">
        <v>1683.4</v>
      </c>
      <c r="AM71" s="2">
        <v>1568.22</v>
      </c>
      <c r="AN71" s="2">
        <v>4870.6000000000004</v>
      </c>
      <c r="AO71" s="2">
        <v>4437.1499999999996</v>
      </c>
      <c r="AP71" s="2">
        <v>2215.9499999999998</v>
      </c>
      <c r="AQ71" s="2">
        <v>3865.53</v>
      </c>
      <c r="AR71" s="2">
        <v>3164.26</v>
      </c>
      <c r="AS71" s="2">
        <v>3091.67</v>
      </c>
      <c r="AT71" s="2">
        <v>4665.8</v>
      </c>
      <c r="AU71" s="2">
        <v>12077.65</v>
      </c>
      <c r="AV71" s="2">
        <v>7869.44</v>
      </c>
      <c r="AW71" s="2">
        <v>1234.6199999999999</v>
      </c>
      <c r="AX71" s="2">
        <v>3361.37</v>
      </c>
      <c r="AY71" s="2">
        <v>2834.21</v>
      </c>
      <c r="AZ71" s="2">
        <v>2250.3000000000002</v>
      </c>
      <c r="BA71" s="2">
        <v>2170.27</v>
      </c>
      <c r="BB71" s="2">
        <v>1575.33</v>
      </c>
      <c r="BC71" s="2">
        <v>5609.79</v>
      </c>
      <c r="BD71" s="2">
        <v>1606.59</v>
      </c>
      <c r="BE71" s="2">
        <v>3746.53</v>
      </c>
      <c r="BF71" s="2">
        <v>2274.3000000000002</v>
      </c>
      <c r="BG71" s="2">
        <v>1531.73</v>
      </c>
      <c r="BH71" s="2">
        <v>2305.64</v>
      </c>
      <c r="BI71" s="2">
        <v>1150.96</v>
      </c>
    </row>
    <row r="72" spans="1:61">
      <c r="A72" s="1">
        <v>69</v>
      </c>
      <c r="B72" s="2">
        <v>3051.25</v>
      </c>
      <c r="C72" s="2">
        <v>3107.64</v>
      </c>
      <c r="D72" s="2">
        <v>1971.41</v>
      </c>
      <c r="E72" s="2">
        <v>2673.71</v>
      </c>
      <c r="F72" s="2">
        <v>2851.02</v>
      </c>
      <c r="G72" s="2">
        <v>5927.67</v>
      </c>
      <c r="H72" s="2">
        <v>14466.83</v>
      </c>
      <c r="I72" s="2">
        <v>21855.38</v>
      </c>
      <c r="J72" s="2">
        <v>8322.3799999999992</v>
      </c>
      <c r="K72" s="2">
        <v>13711.36</v>
      </c>
      <c r="L72" s="2">
        <v>1527.04</v>
      </c>
      <c r="M72" s="2">
        <v>2215.9499999999998</v>
      </c>
      <c r="N72" s="2">
        <v>5225.22</v>
      </c>
      <c r="O72" s="2">
        <v>8335.77</v>
      </c>
      <c r="P72" s="2">
        <v>7673.71</v>
      </c>
      <c r="Q72" s="2">
        <v>3170.56</v>
      </c>
      <c r="R72" s="2">
        <v>4146.0600000000004</v>
      </c>
      <c r="S72" s="2">
        <v>5047.53</v>
      </c>
      <c r="T72" s="2">
        <v>3976.24</v>
      </c>
      <c r="U72" s="2">
        <v>7402.6</v>
      </c>
      <c r="V72" s="2">
        <v>10989.02</v>
      </c>
      <c r="W72" s="2">
        <v>26867.91</v>
      </c>
      <c r="X72" s="2">
        <v>44242.559999999998</v>
      </c>
      <c r="Y72" s="2">
        <v>30454.9</v>
      </c>
      <c r="Z72" s="2">
        <v>24700.75</v>
      </c>
      <c r="AA72" s="2">
        <v>26497.62</v>
      </c>
      <c r="AB72" s="2">
        <v>5943.91</v>
      </c>
      <c r="AC72" s="2">
        <v>2818.15</v>
      </c>
      <c r="AD72" s="2">
        <v>25504.05</v>
      </c>
      <c r="AE72" s="2">
        <v>5347.21</v>
      </c>
      <c r="AF72" s="2">
        <v>4450.12</v>
      </c>
      <c r="AG72" s="2">
        <v>12791.2</v>
      </c>
      <c r="AH72" s="2">
        <v>11014.74</v>
      </c>
      <c r="AI72" s="2">
        <v>8258.59</v>
      </c>
      <c r="AJ72" s="2">
        <v>7361.07</v>
      </c>
      <c r="AK72" s="2">
        <v>2642.74</v>
      </c>
      <c r="AL72" s="2">
        <v>1502.44</v>
      </c>
      <c r="AM72" s="2">
        <v>1722.97</v>
      </c>
      <c r="AN72" s="2">
        <v>5578.26</v>
      </c>
      <c r="AO72" s="2">
        <v>5364.02</v>
      </c>
      <c r="AP72" s="2">
        <v>1950.49</v>
      </c>
      <c r="AQ72" s="2">
        <v>3182.88</v>
      </c>
      <c r="AR72" s="2">
        <v>3451.27</v>
      </c>
      <c r="AS72" s="2">
        <v>2428.16</v>
      </c>
      <c r="AT72" s="2">
        <v>4990.25</v>
      </c>
      <c r="AU72" s="2">
        <v>12161.38</v>
      </c>
      <c r="AV72" s="2">
        <v>7626.23</v>
      </c>
      <c r="AW72" s="2">
        <v>1172.19</v>
      </c>
      <c r="AX72" s="2">
        <v>4065.92</v>
      </c>
      <c r="AY72" s="2">
        <v>3037.35</v>
      </c>
      <c r="AZ72" s="2">
        <v>2495.2600000000002</v>
      </c>
      <c r="BA72" s="2">
        <v>2093.4699999999998</v>
      </c>
      <c r="BB72" s="2">
        <v>1874.18</v>
      </c>
      <c r="BC72" s="2">
        <v>6814.37</v>
      </c>
      <c r="BD72" s="2">
        <v>1719.02</v>
      </c>
      <c r="BE72" s="2">
        <v>4398.18</v>
      </c>
      <c r="BF72" s="2">
        <v>2288.94</v>
      </c>
      <c r="BG72" s="2">
        <v>1495.66</v>
      </c>
      <c r="BH72" s="2">
        <v>2338.77</v>
      </c>
      <c r="BI72" s="2">
        <v>1073.52</v>
      </c>
    </row>
    <row r="73" spans="1:61">
      <c r="A73" s="1">
        <v>70</v>
      </c>
      <c r="B73" s="2">
        <v>3230.41</v>
      </c>
      <c r="C73" s="2">
        <v>2862.22</v>
      </c>
      <c r="D73" s="2">
        <v>2862.37</v>
      </c>
      <c r="E73" s="2">
        <v>2723.93</v>
      </c>
      <c r="F73" s="2">
        <v>2755.11</v>
      </c>
      <c r="G73" s="2">
        <v>6113.73</v>
      </c>
      <c r="H73" s="2">
        <v>19379.689999999999</v>
      </c>
      <c r="I73" s="2">
        <v>20333.43</v>
      </c>
      <c r="J73" s="2">
        <v>8716.07</v>
      </c>
      <c r="K73" s="2">
        <v>15526.6</v>
      </c>
      <c r="L73" s="2">
        <v>1799.2</v>
      </c>
      <c r="M73" s="2">
        <v>2307.87</v>
      </c>
      <c r="N73" s="2">
        <v>4911.87</v>
      </c>
      <c r="O73" s="2">
        <v>8434.76</v>
      </c>
      <c r="P73" s="2">
        <v>10004.549999999999</v>
      </c>
      <c r="Q73" s="2">
        <v>4087.48</v>
      </c>
      <c r="R73" s="2">
        <v>5572.17</v>
      </c>
      <c r="S73" s="2">
        <v>5120.47</v>
      </c>
      <c r="T73" s="2">
        <v>3669.86</v>
      </c>
      <c r="U73" s="2">
        <v>8144.39</v>
      </c>
      <c r="V73" s="2">
        <v>11033.47</v>
      </c>
      <c r="W73" s="2">
        <v>27148.07</v>
      </c>
      <c r="X73" s="2">
        <v>44416.95</v>
      </c>
      <c r="Y73" s="2">
        <v>33062.82</v>
      </c>
      <c r="Z73" s="2">
        <v>28376.98</v>
      </c>
      <c r="AA73" s="2">
        <v>27189.84</v>
      </c>
      <c r="AB73" s="2">
        <v>7119.61</v>
      </c>
      <c r="AC73" s="2">
        <v>3097.81</v>
      </c>
      <c r="AD73" s="2">
        <v>30515.39</v>
      </c>
      <c r="AE73" s="2">
        <v>5954.22</v>
      </c>
      <c r="AF73" s="2">
        <v>4131.3900000000003</v>
      </c>
      <c r="AG73" s="2">
        <v>18224.07</v>
      </c>
      <c r="AH73" s="2">
        <v>10991.17</v>
      </c>
      <c r="AI73" s="2">
        <v>9074.08</v>
      </c>
      <c r="AJ73" s="2">
        <v>9386.5400000000009</v>
      </c>
      <c r="AK73" s="2">
        <v>2445.98</v>
      </c>
      <c r="AL73" s="2">
        <v>1965.31</v>
      </c>
      <c r="AM73" s="2">
        <v>1925.95</v>
      </c>
      <c r="AN73" s="2">
        <v>6327.93</v>
      </c>
      <c r="AO73" s="2">
        <v>4920.6400000000003</v>
      </c>
      <c r="AP73" s="2">
        <v>1958.67</v>
      </c>
      <c r="AQ73" s="2">
        <v>4161.72</v>
      </c>
      <c r="AR73" s="2">
        <v>3055.77</v>
      </c>
      <c r="AS73" s="2">
        <v>2853.61</v>
      </c>
      <c r="AT73" s="2">
        <v>5187.42</v>
      </c>
      <c r="AU73" s="2">
        <v>13806.77</v>
      </c>
      <c r="AV73" s="2">
        <v>6930.83</v>
      </c>
      <c r="AW73" s="2">
        <v>1386.32</v>
      </c>
      <c r="AX73" s="2">
        <v>4434.67</v>
      </c>
      <c r="AY73" s="2">
        <v>3051.58</v>
      </c>
      <c r="AZ73" s="2">
        <v>2415.4299999999998</v>
      </c>
      <c r="BA73" s="2">
        <v>2080.69</v>
      </c>
      <c r="BB73" s="2">
        <v>1535.63</v>
      </c>
      <c r="BC73" s="2">
        <v>7882.03</v>
      </c>
      <c r="BD73" s="2">
        <v>1827.77</v>
      </c>
      <c r="BE73" s="2">
        <v>4203.29</v>
      </c>
      <c r="BF73" s="2">
        <v>2446.52</v>
      </c>
      <c r="BG73" s="2">
        <v>1727.18</v>
      </c>
      <c r="BH73" s="2">
        <v>2812.2</v>
      </c>
      <c r="BI73" s="2">
        <v>1144.3399999999999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 №1-2</vt:lpstr>
      <vt:lpstr>Задание №3</vt:lpstr>
      <vt:lpstr>Задание №4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Gavko</cp:lastModifiedBy>
  <dcterms:created xsi:type="dcterms:W3CDTF">2018-08-04T12:25:52Z</dcterms:created>
  <dcterms:modified xsi:type="dcterms:W3CDTF">2025-12-05T05:48:20Z</dcterms:modified>
</cp:coreProperties>
</file>